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8_{12ABA7F7-2064-4E65-9697-3CBFE216CBC1}" xr6:coauthVersionLast="36" xr6:coauthVersionMax="36" xr10:uidLastSave="{00000000-0000-0000-0000-000000000000}"/>
  <bookViews>
    <workbookView xWindow="0" yWindow="0" windowWidth="21570" windowHeight="7980" activeTab="2" xr2:uid="{00000000-000D-0000-FFFF-FFFF00000000}"/>
  </bookViews>
  <sheets>
    <sheet name="Planilha2" sheetId="3" r:id="rId1"/>
    <sheet name="fernando de verdade" sheetId="1" r:id="rId2"/>
    <sheet name="Planilha1" sheetId="2" r:id="rId3"/>
  </sheets>
  <definedNames>
    <definedName name="_xlnm._FilterDatabase" localSheetId="1" hidden="1">'fernando de verdade'!$A$1:$G$7707</definedName>
    <definedName name="Ação_Orçamentária">'fernando de verdade'!$C$2:$C$1048576</definedName>
    <definedName name="fonte">'fernando de verdade'!$A:$G</definedName>
    <definedName name="fonte_de">'fernando de verdade'!$A:$G</definedName>
    <definedName name="fonte_de_dados">'fernando de verdade'!$A:$G</definedName>
    <definedName name="jan_23">'fernando de verdade'!$B$2:$G$2</definedName>
    <definedName name="Programa_Orçamentário">'fernando de verdade'!$B$2:$B$1048576</definedName>
    <definedName name="Valor_Empenhado">'fernando de verdade'!$D$2:$D$1048576</definedName>
    <definedName name="Valor_Liquidado">'fernando de verdade'!$E$2:$E$1048576</definedName>
    <definedName name="Valor_Pago">'fernando de verdade'!$F$2:$F$1048576</definedName>
    <definedName name="Valor_Restos_a_Pagar_Pagos">'fernando de verdade'!$G$2:$G$1048576</definedName>
  </definedNames>
  <calcPr calcId="191029"/>
  <pivotCaches>
    <pivotCache cacheId="3" r:id="rId4"/>
  </pivotCaches>
</workbook>
</file>

<file path=xl/calcChain.xml><?xml version="1.0" encoding="utf-8"?>
<calcChain xmlns="http://schemas.openxmlformats.org/spreadsheetml/2006/main">
  <c r="P15" i="2" l="1"/>
  <c r="P14" i="2"/>
  <c r="P12" i="2"/>
</calcChain>
</file>

<file path=xl/sharedStrings.xml><?xml version="1.0" encoding="utf-8"?>
<sst xmlns="http://schemas.openxmlformats.org/spreadsheetml/2006/main" count="16615" uniqueCount="1347">
  <si>
    <t>Mês Ano</t>
  </si>
  <si>
    <t>Programa Orçamentário</t>
  </si>
  <si>
    <t>Ação Orçamentária</t>
  </si>
  <si>
    <t>Valor Empenhado</t>
  </si>
  <si>
    <t>Valor Liquidado</t>
  </si>
  <si>
    <t>Valor Pago</t>
  </si>
  <si>
    <t>Valor Restos a Pagar Pagos</t>
  </si>
  <si>
    <t>0905 - OPERACOES ESPECIAIS: SERVICO DA DIVIDA INTERNA (JUROS EAMORTIZACOES)</t>
  </si>
  <si>
    <t>0455 - SERVICOS DA DIVIDA PUBLICA FEDERAL INTERNA</t>
  </si>
  <si>
    <t>5025 - CULTURA</t>
  </si>
  <si>
    <t>219S - DESENVOLVIMENTO E FORTALECIMENTO DA ECONOMIA CRIATIVA</t>
  </si>
  <si>
    <t>0903 - OPERACOES ESPECIAIS: TRANSFERENCIAS CONSTITUCIONAIS E AS DECORRENTES DE LEGISLACAO ESPECIFICA</t>
  </si>
  <si>
    <t>0C33 - TRANSFERENCIA AO FUNDO DE MANUTENCAO E DESENVOLVIMENTO DA EDUCACAO BASICA E DE VALORIZACAO DOS PROFISSIONAIS DA EDUCACAO - FUNDEB</t>
  </si>
  <si>
    <t>2214 - NOVA PREVIDENCIA</t>
  </si>
  <si>
    <t>4405 - TELEATENDIMENTO PREVIDENCIARIO</t>
  </si>
  <si>
    <t>5020 - DESENVOLVIMENTO CIENTIFICO, TECNOLOGICO E PRODUTIVO EM SAUDE</t>
  </si>
  <si>
    <t>15VZ - CONSTRUCAO DA SEDE DA FIOCRUZ AMAZONAS</t>
  </si>
  <si>
    <t>2208 - TECNOLOGIAS APLICADAS, INOVACAO E DESENVOLVIMENTO SUSTENTAVEL</t>
  </si>
  <si>
    <t>0741 - EQUALIZACAO DE TAXA DE JUROS EM FINANCIAMENTO A INOVACAO TECNOLOGICA (LEI N. 10.332, DE 2001)</t>
  </si>
  <si>
    <t>3001 - ENERGIA ELETRICA</t>
  </si>
  <si>
    <t>20LI - ESTUDOS PARA O PLANEJAMENTO DO SETOR ENERGETICO</t>
  </si>
  <si>
    <t>3006 - TRANSPORTE TERRESTRE E TRANSITO</t>
  </si>
  <si>
    <t>7XJ0 - CONSTRUCAO DE TRECHO RODOVIARIO - JACUI - ALPINOPOLIS - NA BR-265/MG</t>
  </si>
  <si>
    <t>6012 - DEFESA NACIONAL</t>
  </si>
  <si>
    <t>218X - OPERACOES DE GARANTIA DA LEI E DA ORDEM</t>
  </si>
  <si>
    <t>1040 - GOVERNANCA FUNDIARIA</t>
  </si>
  <si>
    <t>0061 - CONCESSAO DE CREDITO PARA AQUISICAO DE IMOVEIS RURAIS E INVESTIMENTOS BASICOS - FUNDO DE TERRAS</t>
  </si>
  <si>
    <t>2206 - POLITICA NUCLEAR</t>
  </si>
  <si>
    <t>20V1 - FABRICACAO DE EQUIPAMENTOS PESADOS PARA AS INDUSTRIAS NUCLEAR E DE ALTA TECNOLOGIA</t>
  </si>
  <si>
    <t>2204 - BRASIL NA FRONTEIRA DO CONHECIMENTO</t>
  </si>
  <si>
    <t>215L - FOMENTO A PESQUISA E AO DESENVOLVIMENTO CIENTIFICO E TECNOLOGICO</t>
  </si>
  <si>
    <t>2222 - SANEAMENTO BASICO</t>
  </si>
  <si>
    <t>21CA - IMPLANTACAO, AMPLIACAO E MELHORIA DE SISTEMAS PUBLICOS DE ABASTECIMENTO DE AGUA EM MUNICIPIOS COM ATE 50.000 HABITANTES, EXCLUSIVE EM REGIOES METROPOLITANAS (RM) OU REGIOES INTEGRADAS DE DESENVOLVIMENTO ECONOMICO (RIDE)</t>
  </si>
  <si>
    <t>1166 - TURISMO SOCIAL NO BRASIL: UMA VIAGEM DE INCLUSAO</t>
  </si>
  <si>
    <t>10V0 - APOIO A PROJETOS DE INFRAESTRUTURA TURISTICA</t>
  </si>
  <si>
    <t>2201 - BRASIL MODERNIZA</t>
  </si>
  <si>
    <t>15OP - ESTRUTURACAO DO GOVERNO DIGITAL</t>
  </si>
  <si>
    <t>1031 - AGROPECUARIA SUSTENTAVEL</t>
  </si>
  <si>
    <t>0301 - SUBVENCAO ECONOMICA EM OPERACOES DE INVESTIMENTO RURAL E AGROINDUSTRIAL (LEI N. 8.427, DE 1992)</t>
  </si>
  <si>
    <t>2C42 - PARTICIPACAO PUBLICA NA AGENDA REGULATORIA DO SETOR ELETRICO</t>
  </si>
  <si>
    <t>0032 - PROGRAMA DE GESTAO E MANUTENCAO DO PODER EXECUTIVO</t>
  </si>
  <si>
    <t>20XT - PRESTACAO DE SERVICOS MEDICO HOSPITALARES E PESQUISA MEDICAS DO HOSPITAL DAS FORCAS ARMADAS</t>
  </si>
  <si>
    <t>0909 - OPERACOES ESPECIAIS: OUTROS ENCARGOS ESPECIAIS</t>
  </si>
  <si>
    <t>0023 - OBRIGACOES COM A GARANTIA DE CONTRATOS DE FINANCIAMENTO HABITACIONAL</t>
  </si>
  <si>
    <t>1041 - CONSERVACAO E USO SUSTENTAVEL DA BIODIVERSIDADE E DOS RECURSOS NATURAIS</t>
  </si>
  <si>
    <t>2E87 - APOIO A FORMULACAO E IMPLEMENTACAO DE POLITICAS E PROGRAMAS PARA PROTECAO E DEFESA ANIMAL</t>
  </si>
  <si>
    <t>5021 - GESTAO E ORGANIZACAO DO SUS</t>
  </si>
  <si>
    <t>218U - APOIO AO CUSTEIO DE DESPESAS INSTITUCIONAIS DE ENTIDADES REPRESENTATIVAS DOS ENTES ESTADUAIS E MUNICIPAIS NO AMBITO DA SAUDE - CONASS E CONASEMS</t>
  </si>
  <si>
    <t>0910 - OPERACOES ESPECIAIS: GESTAO DA PARTICIPACAO EM ORGANISMOS E ENTIDADES NACIONAIS E INTERNACIONAIS</t>
  </si>
  <si>
    <t>00HE - CONTRIBUICAO AO TRATADO INTERNACIONAL SOBRE RECURSOS FITOGENETICOS PARA A ALIMENTACAO E AGRICULTURA - TIRFAA (MRE)</t>
  </si>
  <si>
    <t>2221 - RECURSOS HIDRICOS</t>
  </si>
  <si>
    <t>14RP - REABILITACAO DE BARRAGENS E DE OUTRAS INFRAESTRUTURAS HIDRICAS</t>
  </si>
  <si>
    <t>154K - CONSTRUCAO DA INFRAESTRUTURA DO INSTITUTO NACIONAL DO SEMIARIDO - INSA</t>
  </si>
  <si>
    <t>0902 - OPERACOES ESPECIAIS: FINANCIAMENTOS COM RETORNO</t>
  </si>
  <si>
    <t>0029 - FINANCIAMENTO AOS SETORES PRODUTIVOS DA REGIAO CENTRO-OESTE</t>
  </si>
  <si>
    <t>2058 - DEFESA NACIONAL</t>
  </si>
  <si>
    <t>219D - ADEQUACAO DE ATIVOS DE INFRAESTRUTURA DAS ORGANIZACOES MILITARES</t>
  </si>
  <si>
    <t>8715 - PRESERVACAO, ORGANIZACAO, DISSEMINACAO E ACESSO AO CONHECIMENTO E AO PATRIMONIO CULTURAL DA SAUDE</t>
  </si>
  <si>
    <t>1418 - CONSTRUCAO DE TRECHO RODOVIARIO - FERREIRA GOMES - OIAPOQUE (FRONTEIRA COM A GUIANA FRANCESA) - NA BR-156/AP</t>
  </si>
  <si>
    <t>0046 - TRANSFERENCIA DA COTA-PARTE DOS ESTADOS E DF EXPORTADORES NA ARRECADACAO DO IPI (CF, ART. 159)</t>
  </si>
  <si>
    <t>217J - ATUACAO DE ORGAOS COLEGIADOS INTEGRANTES DA ESTRUTURA DO MCTI</t>
  </si>
  <si>
    <t>2052 - PESCA E AQUICULTURA</t>
  </si>
  <si>
    <t>2819 - FUNCIONAMENTO DE ESTACOES E CENTROS DE PESQUISA EM AQUICULTURA</t>
  </si>
  <si>
    <t>3004 - AVIACAO CIVIL</t>
  </si>
  <si>
    <t>15V2 - REFORMA E REAPARELHAMENTO DO AEROPORTO CIVIL DE ALCANTARA/MA</t>
  </si>
  <si>
    <t>5014 - ESTATISTICAS E AVALIACOES EDUCACIONAIS</t>
  </si>
  <si>
    <t>4014 - CENSO ESCOLAR DA EDUCACAO BASICA</t>
  </si>
  <si>
    <t>4185 - FOMENTO A PROJETOS INSTITUCIONAIS PARA PESQUISA NO SETOR DE TECNOLOGIA DA INFORMACAO (CT-INFO)</t>
  </si>
  <si>
    <t>2205 - CONECTA BRASIL</t>
  </si>
  <si>
    <t>15UJ - DESENVOLVIMENTO E LANCAMENTO DE SATELITE GEOESTACIONARIO DE DEFESA E COMUNICACAO ESTRATEGICA - SGDC</t>
  </si>
  <si>
    <t>4001 - COMUNICACAO PUBLICA E DIVULGACAO DE ATOS E MATERIAS DO GOVERNO FEDERAL</t>
  </si>
  <si>
    <t>20B5 - FORTALECIMENTO DO SISTEMA PUBLICO DE RADIODIFUSAO E COMUNICACAO</t>
  </si>
  <si>
    <t>0E64 - SUBVENCAO ECONOMICA DESTINADA A HABITACAO DE INTERESSE SOCIAL EM CIDADES COM MENOS DE 50.000 HABITANTES (LEI N. 14.118, DE 2021)</t>
  </si>
  <si>
    <t>212H - MANUTENCAO DE CONTRATO DE GESTAO COM ORGANIZACOES SOCIAIS (LEI N. 9.637, DE 15 DE MAIO DE 1998)</t>
  </si>
  <si>
    <t>156N - OBTENCAO DE MEIOS DO EXERCITO</t>
  </si>
  <si>
    <t>2207 - PROGRAMA ESPACIAL BRASILEIRO</t>
  </si>
  <si>
    <t>7F40 - IMPLANTACAO DO CENTRO ESPACIAL DE ALCANTARA - CEA</t>
  </si>
  <si>
    <t>2109 - PROGRAMA DE GESTAO E MANUTENCAO DO MINISTERIO DA EDUCACAO</t>
  </si>
  <si>
    <t>4572 - CAPACITACAO DE SERVIDORES PUBLICOS FEDERAIS EM PROCESSO DE QUALIFICACAO E REQUALIFICACAO</t>
  </si>
  <si>
    <t>2037 - CONSOLIDACAO DO SISTEMA UNICO DE ASSISTENCIA SOCIAL (SUAS)</t>
  </si>
  <si>
    <t>2B31 - ESTRUTURACAO DA REDE DE SERVICOS DE PROTECAO SOCIAL ESPECIAL</t>
  </si>
  <si>
    <t>2068 - SANEAMENTO BASICO</t>
  </si>
  <si>
    <t>6908 - FOMENTO A EDUCACAO EM SAUDE AMBIENTAL VOLTADA A PROMOCAO DA SAUDE</t>
  </si>
  <si>
    <t>0045 - TRANSFERENCIA AO FUNDO DE PARTICIPACAO DOS MUNICIPIOS - FPM (CF, ART.159)</t>
  </si>
  <si>
    <t>0158 - FINANCIAMENTO DE PROGRAMAS DE DESENVOLVIMENTO ECONOMICO A CARGO DO BNDES</t>
  </si>
  <si>
    <t>20VB - PESQUISA, DESENVOLVIMENTO TECNOLOGICO E FORMACAO DE CAPITAL HUMANO PARA O SETOR ESPACIAL</t>
  </si>
  <si>
    <t>20Q7 - PRESERVACAO DO PATRIMONIO HISTORICO E CULTURAL DE CIENCIA E DA SAUDE NA FIOCRUZ</t>
  </si>
  <si>
    <t>2B68 - RELACOES COM OS USUARIOS DE SERVICOS DE TELECOMUNICACOES</t>
  </si>
  <si>
    <t>0300 - SUBVENCAO ECONOMICA PARA GARANTIA E SUSTENTACAO DE PRECOS NA COMERCIALIZACAO DE PRODUTOS AGROPECUARIOS (LEI N. 8.427, DE 1992)</t>
  </si>
  <si>
    <t>6881 - MODERNIZACAO E DESENVOLVIMENTO DE SISTEMAS DE INFORMACAO DA FUNASA</t>
  </si>
  <si>
    <t>2212 - MELHORIA DO AMBIENTE DE NEGOCIOS E DA PRODUTIVIDADE</t>
  </si>
  <si>
    <t>210C - PROMOCAO DO DESENVOLVIMENTO DE MICRO E PEQUENAS EMPRESAS, MICROEEMPRENDEDOR INDIVIDUAL, POTENCIAL EMPREENDEDOR E ARTESANATO</t>
  </si>
  <si>
    <t>2216 - POLITICA EXTERNA</t>
  </si>
  <si>
    <t>2534 - FORMACAO E APERFEICOAMENTO DE DIPLOMATAS</t>
  </si>
  <si>
    <t>2134 - PROGRAMA DE GESTAO E MANUTENCAO DO MINISTERIO DA MULHER, DA FAMILIA E DOS DIREITOS HUMANOS</t>
  </si>
  <si>
    <t>2000 - ADMINISTRACAO DA UNIDADE</t>
  </si>
  <si>
    <t>2084 - RECURSOS HIDRICOS</t>
  </si>
  <si>
    <t>14RX - IMPLANTACAO DO SISTEMA INTEGRADO DE ABASTECIMENTO DE AGUA CAMPO ALEGRE DE LOURDES NO ESTADO DA BAHIA</t>
  </si>
  <si>
    <t>2015 - FORTALECIMENTO DO SISTEMA UNICO DE SAUDE (SUS)</t>
  </si>
  <si>
    <t>13DW - CONSTRUCAO DO CENTRO DE PROCESSAMENTO FINAL DE IMUNOBIOLOGICOS</t>
  </si>
  <si>
    <t>2049 - MORADIA DIGNA</t>
  </si>
  <si>
    <t>6011 - COOPERACAO COM O DESENVOLVIMENTO NACIONAL</t>
  </si>
  <si>
    <t>20IG - APOIO AO PROGRAMA FORCAS NO ESPORTE (PROFESP) E PROJETO JOAO DO PULO (PJP)</t>
  </si>
  <si>
    <t>2211 - INSERCAO ECONOMICA INTERNACIONAL</t>
  </si>
  <si>
    <t>0A84 - FINANCIAMENTO DE OPERACOES NO AMBITO DO PROGRAMA DE FINANCIAMENTO AS EXPORTACOES - PROEX (LEI N. 10.184, DE 2001)</t>
  </si>
  <si>
    <t>5026 - ESPORTE</t>
  </si>
  <si>
    <t>00SL - APOIO A IMPLANTACAO E MODERNIZACAO DE INFRAESTRUTURA PARA ESPORTE EDUCACIONAL, RECREATIVO E DE LAZER</t>
  </si>
  <si>
    <t>5013 - EDUCACAO SUPERIOR - GRADUACAO, POS-GRADUACAO, ENSINO, PESQUISA E EXTENSAO</t>
  </si>
  <si>
    <t>20RZ - ADMINISTRACAO DO FINANCIAMENTO ESTUDANTIL - FIES</t>
  </si>
  <si>
    <t>0556 - APOIO FINANCEIRO A FUNDACAO GETULIO VARGAS</t>
  </si>
  <si>
    <t>0027 - PAGAMENTOS NO AMBITO DO SEGURO DE CREDITO A EXPORTACAO</t>
  </si>
  <si>
    <t>15VW - CONSTRUCAO DA FABRICA DE PLATAFORMAS VEGETAIS DE PRODUCAO DE IMUNOBIOLOGICOS DA FIOCRUZ CEARA</t>
  </si>
  <si>
    <t>2024 - COMERCIO EXTERIOR</t>
  </si>
  <si>
    <t>153V - DESENVOLVIMENTO DO PORTAL UNICO DE COMERCIO EXTERIOR</t>
  </si>
  <si>
    <t>5016 - SEGURANCA PUBLICA, COMBATE A CORRUPCAO, AO CRIME ORGANIZADO E AO CRIME VIOLENTO</t>
  </si>
  <si>
    <t>00R2 - APRIMORAMENTO DA SEGURANCA PUBLICA NACIONAL</t>
  </si>
  <si>
    <t>0044 - TRANSFERENCIA AO FUNDO DE PARTICIPACAO DOS ESTADOS E DO DISTRITO FEDERAL - FPE (CF, ART.159)</t>
  </si>
  <si>
    <t>211D - COORDENACAO TECNICA DA AMAZONIA AZUL TECNOLOGIAS DE DEFESA SA - AMAZUL</t>
  </si>
  <si>
    <t>2217 - DESENVOLVIMENTO REGIONAL, TERRITORIAL E URBANO</t>
  </si>
  <si>
    <t>15DV - POLOS DE AGRICULTURA IRRIGADA</t>
  </si>
  <si>
    <t>0031 - PROGRAMA DE GESTAO E MANUTENCAO DO MINISTERIO PUBLICO</t>
  </si>
  <si>
    <t>4264 - DEFESA DO INTERESSE PUBLICO NO PROCESSO JUDICIARIO - MINISTERIO PUBLICO FEDERAL</t>
  </si>
  <si>
    <t>110Q - ADEQUACAO DE TRECHO RODOVIARIO - PEDRA BRANCA - DIVISA SE/AL - NA BR-101/SE</t>
  </si>
  <si>
    <t>2036 - CONTROLE DE TRANSITO NA MALHA RODOVIARIA FEDERAL</t>
  </si>
  <si>
    <t>0272 - DIVIDAS INTERNAS DAS ADMINISTRACOES DIRETA E INDIRETA DOS ESTADOS, DO DISTRITO FEDERAL E DOS MUNICIPIOS, ASSUMIDAS PELA UNIAO (LEI N. 8.727, DE 1993)</t>
  </si>
  <si>
    <t>0461 - PROMOCAO DA PESQUISA E DO DESENVOLVIMENTO CIENTIFICO E TECNOLOGICO</t>
  </si>
  <si>
    <t>4214 - FOMENTO A PESQUISA E AO DESENVOLVIMENTO DE CONHECIMENTOS CIENTIFICOS</t>
  </si>
  <si>
    <t>1043 - QUALIDADE AMBIENTAL URBANA</t>
  </si>
  <si>
    <t>21A9 - IMPLEMENTACAO DE PROGRAMAS, PLANOS E ACOES PARA MELHORIA DA QUALIDADE AMBIENTAL URBANA</t>
  </si>
  <si>
    <t>15XF - MODERNIZACAO DA INFRAESTRUTURA DA PRESIDENCIA DA REPUBLICA</t>
  </si>
  <si>
    <t>20ZK - ADMINISTRACAO DOS INVESTIMENTOS, FINANCIAMENTOS E ATIVIDADES DO FUNDO SETORIAL DO AUDIOVISUAL (LEI N. 11.437, DE 2006)</t>
  </si>
  <si>
    <t>20X8 - PRESTACAO DE ENSINO DE GRADUACAO E POS-GRADUACAO DO INSTITUTO TECNOLOGICO DE AERONAUTICA - ITA</t>
  </si>
  <si>
    <t>5018 - ATENCAO ESPECIALIZADA A SAUDE</t>
  </si>
  <si>
    <t>21CD - IMPLEMENTACAO DE POLITICAS DE ATENCAO ESPECIALIZADA A SAUDE</t>
  </si>
  <si>
    <t>0012 - FINANCIAMENTOS AO AGRONEGOCIO CAFE (LEI N. 8.427, DE 1992)</t>
  </si>
  <si>
    <t>216G - OPERACIONALIZACAO DO FUNDO DE ESTABILIDADE DO SEGURO RURAL - FESR</t>
  </si>
  <si>
    <t>21BM - DESENVOLVIMENTO DE POLITICAS DE SEGURANCA PUBLICA, PREVENCAO E ENFRENTAMENTO A CRIMINALIDADE</t>
  </si>
  <si>
    <t>21C8 - OPERACAO DA INFRAESTRUTURA DA REDE DE SERVICO DE COMUNICACAO DE DADOS DO PROGRAMA CONECTA BRASIL</t>
  </si>
  <si>
    <t>210R - MONITORAMENTO DE CONFLITOS AGRARIOS E PACIFICACAO NO CAMPO</t>
  </si>
  <si>
    <t>00SE - TRANSFERENCIA TEMPORARIA A ESTADOS, DISTRITO FEDERAL E MUNICIPIOS NOS TERMOS DA LEI COMPLEMENTAR N. 176/2020</t>
  </si>
  <si>
    <t>8758 - APERFEICOAMENTO, AVALIACAO E DESENVOLVIMENTO DE ACOES E SERVICOS ESPECIALIZADOS EM ONCOLOGIA - INCA</t>
  </si>
  <si>
    <t>2804 - PUBLICACOES OFICIAIS</t>
  </si>
  <si>
    <t>15UX - REFORMA E REAPARELHAMENTO DO AEROPORTO DE COARI/AM</t>
  </si>
  <si>
    <t>5019 - ATENCAO PRIMARIA A SAUDE</t>
  </si>
  <si>
    <t>20AI - AUXILIO-REABILITACAO PSICOSSOCIAL AOS EGRESSOS DE LONGAS INTERNACOES PSIQUIATRICAS NO SISTEMA UNICO DE SAUDE (DE VOLTA PRA CASA)</t>
  </si>
  <si>
    <t>2997 - FOMENTO A PROJETOS INSTITUCIONAIS PARA PESQUISA NO SETOR DE SAUDE (CT-SAUDE)</t>
  </si>
  <si>
    <t>00LX - TRANSFERENCIA DOS RECURSOS DA COBRANCA AS AGENCIAS DE AGUAS (LEIS N. 9.433/1997 E N. 10.881/2004)</t>
  </si>
  <si>
    <t>6344 - REGULACAO E SUPERVISAO DOS CURSOS DE GRADUACAO E DE INSTITUICOES PUBLICAS E PRIVADAS DE ENSINO SUPERIOR</t>
  </si>
  <si>
    <t>4907 - OUVIDORIA GERAL DO MINISTERIO DA CIDADANIA</t>
  </si>
  <si>
    <t>00PK - INDENIZACOES A SERVIDORES CIVIS E MILITARES EM SERVICO NO EXTERIOR</t>
  </si>
  <si>
    <t>09HW - CONCESSAO DE BOLSA A ATLETAS</t>
  </si>
  <si>
    <t>00RW - SUBVENCAO ECONOMICA EM OPERACOES DE INVESTIMENTO RURAL E AGROINDUSTRIAL DESTINADAS A EMPRESAS CEREALISTAS (LEI N. 13.986, DE 2020)</t>
  </si>
  <si>
    <t>6182 - FUNCIONAMENTO E FORTALECIMENTO DO SISTEMA DE OUVIDORIAS DO SUS</t>
  </si>
  <si>
    <t>21D8 - ADEQUACAO E MODERNIZACAO DOS HOSPITAIS UNIVERSITARIOS FEDERAIS</t>
  </si>
  <si>
    <t>2215 - POLITICA ECONOMICA E EQUILIBRIO FISCAL</t>
  </si>
  <si>
    <t>20VH - SUPERVISAO, REGULACAO E ORIENTACAO DOS MERCADOS DE SEGUROS, RESSEGUROS, CAPITALIZACAO E PREVIDENCIA COMPLEMENTAR ABERTA</t>
  </si>
  <si>
    <t>4703 - REGULAMENTACAO DOS SERVICOS DE ENERGIA ELETRICA</t>
  </si>
  <si>
    <t>21E6 - CURSOS DA ESCOLA SUPERIOR DE DEFESA</t>
  </si>
  <si>
    <t>21B0 - PROMOCAO DA CONCORRENCIA, COMPETITIVIDADE E MELHORIA REGULATORIA</t>
  </si>
  <si>
    <t>2223 - A HORA DO TURISMO</t>
  </si>
  <si>
    <t>21DB - ESTRUTURACAO E ORDENAMENTO DOS DESTINOS TURISTICOS BRASILEIROS</t>
  </si>
  <si>
    <t>210J - SUPERVISAO DO MERCADO DE VALORES MOBILIARIOS</t>
  </si>
  <si>
    <t>5023 - VIGILANCIA EM SAUDE</t>
  </si>
  <si>
    <t>21CH - IMPLANTACAO DE MELHORIAS HABITACIONAIS PARA CONTROLE DA DOENCA DE CHAGAS</t>
  </si>
  <si>
    <t>2077 - AGROPECUARIA SUSTENTAVEL</t>
  </si>
  <si>
    <t>8606 - APOIO AO DESENVOLVIMENTO E CONTROLE DA AGRICULTURA ORGANICA - PRO-ORGANICO</t>
  </si>
  <si>
    <t>0617 - OPERACIONALIZACAO DO FUNDO DE COMPENSACAO E VARIACOES SALARIAIS - FCVS</t>
  </si>
  <si>
    <t>7652 - IMPLANTACAO DE MELHORIAS SANITARIAS DOMICILIARES PARA PREVENCAO E CONTROLE DE DOENCAS E AGRAVOS EM LOCALIDADES URBANAS DE MUNICIPIOS COM POPULACAO ATE 50.000 HABITANTES</t>
  </si>
  <si>
    <t>4880 - FISCALIZACAO DOS SERVICOS DE ENERGIA ELETRICA</t>
  </si>
  <si>
    <t>00TE - APOIO A GESTAO DE PROJETOS PUBLICOS DE IRRIGACAO</t>
  </si>
  <si>
    <t>7S59 - CONSTRUCAO DE TRECHO RODOVIARIO - ENTRONCAMENTO BR-364 - ENTRONCAMENTO BR-365 - NA BR-154/MG</t>
  </si>
  <si>
    <t>20WH - CONTROLE AMBIENTAL DE PRODUTOS, SUBSTANCIAS, RESIDUOS E ATIVIDADES POTENCIALMENTE POLUIDORAS</t>
  </si>
  <si>
    <t>4786 - CAPACITACAO E MONITORAMENTO DA JUVENTUDE RURAL (PROJETO AMANHA)</t>
  </si>
  <si>
    <t>7S57 - CONSTRUCAO DE TRECHO RODOVIARIO - ENTRONCAMENTO BR-163 (RIO VERDE DE MATO GROSSO) - ENTRONCAMENTO BR-262 (AQUIDAUANA) - NA BR-419/MS</t>
  </si>
  <si>
    <t>00SV - COBERTURA DE DESPESAS DE ADMINISTRACAO E DE DESPESAS OPERACIONAIS DO FUNDO NACIONAL DE DESENVOLVIMENTO CIENTIFICO E TECNOLOGICO (LEI N. 11.540, DE 12 DE NOVEMBRO DE 2007, E DECRETO N. 6.938, DE 13 DE AGOSTO DE 2009)</t>
  </si>
  <si>
    <t>0868 - CONTRIBUICAO A ORGANIZACAO DO TRATADO DE COOPERACAO AMAZONICA - OTCA (MRE)</t>
  </si>
  <si>
    <t>2108 - PROGRAMA DE GESTAO E MANUTENCAO DO MINISTERIO DA DEFESA</t>
  </si>
  <si>
    <t>2004 - ASSISTENCIA MEDICA E ODONTOLOGICA AOS SERVIDORES CIVIS, EMPREGADOS, MILITARES E SEUS DEPENDENTES</t>
  </si>
  <si>
    <t>20AL - APOIO AOS ESTADOS, DISTRITO FEDERAL E MUNICIPIOS PARA A VIGILANCIA EM SAUDE</t>
  </si>
  <si>
    <t>12OB - GESTAO DE PROJETOS PUBLICOS DE IRRIGACAO</t>
  </si>
  <si>
    <t>15P6 - AMPLIACAO E MODERNIZACAO DA INFRAESTRUTURA PARA O ESTUDO DA BIODIVERSIDADE, INOVACAO TECNOLOGICA E SUSTENTABILIDADE DOS ECOSSISTEMAS AMAZONICOS FRENTE AS MUDANCAS GLOBAIS</t>
  </si>
  <si>
    <t>2027 - CULTURA: DIMENSAO ESSENCIAL DO DESENVOLVIMENTO</t>
  </si>
  <si>
    <t>5538 - PRESERVACAO DO PATRIMONIO CULTURAL DAS CIDADES HISTORICAS</t>
  </si>
  <si>
    <t>0007 - CONTRIBUICAO A AGENCIA INTERNACIONAL DE PESOS E MEDIDAS - BIPM (ME)</t>
  </si>
  <si>
    <t>7W95 - ADEQUACAO DE TRECHO RODOVIARIO - TERESINA - PARNAIBA - NA BR-343/PI</t>
  </si>
  <si>
    <t>5017 - ASSISTENCIA FARMACEUTICA NO SUS</t>
  </si>
  <si>
    <t>20YR - MANUTENCAO E FUNCIONAMENTO DO PROGRAMA FARMACIA POPULAR DO BRASIL PELO SISTEMA DE GRATUIDADE</t>
  </si>
  <si>
    <t>3003 - PETROLEO, GAS, DERIVADOS E BIOCOMBUSTIVEIS</t>
  </si>
  <si>
    <t>21BC - ESTUDOS DA INDUSTRIA DE PETROLEO E GAS NATURAL</t>
  </si>
  <si>
    <t>0A12 - CONCESSAO DE BOLSA PERMANENCIA NO ENSINO SUPERIOR</t>
  </si>
  <si>
    <t>20YS - MANUTENCAO E FUNCIONAMENTO DO PROGRAMA FARMACIA POPULAR DO BRASIL PELO SISTEMA DE CO-PAGAMENTO</t>
  </si>
  <si>
    <t>110I - CONSTRUCAO DE TRECHO RODOVIARIO - ALTAMIRA - RUROPOLIS - NA BR-230/PA</t>
  </si>
  <si>
    <t>00TN - APOIO A IMPLANTACAO, AMPLIACAO OU MELHORIAS EM SISTEMAS DE ABASTECIMENTO DE AGUA EM MUNICIPIOS COM POPULACAO SUPERIOR A 50 MIL HABITANTES OU MUNICIPIOS INTEGRANTES DE REGIOES METROPOLITANAS OU DE REGIOES INTEGRADAS DE DE</t>
  </si>
  <si>
    <t>0906 - OPERACOES ESPECIAIS: SERVICO DA DIVIDA EXTERNA (JUROS EAMORTIZACOES)</t>
  </si>
  <si>
    <t>0425 - SERVICOS DA DIVIDA PUBLICA FEDERAL EXTERNA</t>
  </si>
  <si>
    <t>00NS - INATIVOS DA POLICIA MILITAR E DO CORPO DE BOMBEIROS DO DISTRITO FEDERAL</t>
  </si>
  <si>
    <t>2080 - EDUCACAO DE QUALIDADE PARA TODOS</t>
  </si>
  <si>
    <t>20RX - REESTRUTURACAO E MODERNIZACAO DOS HOSPITAIS UNIVERSITARIOS FEDERAIS - REHUF</t>
  </si>
  <si>
    <t>14T5 - IMPLANTACAO DO SISTEMA INTEGRADO DE MONITORAMENTO DE FRONTEIRAS - SISFRON</t>
  </si>
  <si>
    <t>0030 - PROGRAMA DE GESTAO E MANUTENCAO DA DEFENSORIA PUBLICA DA UNIAO</t>
  </si>
  <si>
    <t>21CZ - APOIO A ASSISTENCIA JURIDICA AO CIDADAO</t>
  </si>
  <si>
    <t>4000 - ESTUDOS, PESQUISAS E AVALIACOES DE POLITICAS EDUCACIONAIS</t>
  </si>
  <si>
    <t>10L3 - ADEQUACAO DE TRECHO RODOVIARIO - CAUCAIA - ENTRONCAMENTO ACESSO AO PORTO DE PECEM - NA BR-222/CE</t>
  </si>
  <si>
    <t>1211 - IMPLEMENTACAO DE INFRAESTRUTURA BASICA NOS MUNICIPIOS DA REGIAO DO CALHA NORTE</t>
  </si>
  <si>
    <t>00NY - TRANSFERENCIA DE RECURSOS PARA A CONTA DE DESENVOLVIMENTO ENERGETICO (LEI N. 10.438, DE 26 DE ABRIL DE 2002)</t>
  </si>
  <si>
    <t>8305 - ATENCAO DE REFERENCIA E PESQUISA CLINICA</t>
  </si>
  <si>
    <t>2209 - BRASIL, NOSSO PROPOSITO</t>
  </si>
  <si>
    <t>4743 - COORDENACAO E GOVERNANCA DAS EMPRESAS ESTATAIS FEDERAIS</t>
  </si>
  <si>
    <t>0294 - SUBVENCAO ECONOMICA NAS OPERACOES DE CUSTEIO AGROPECUARIO (LEI N. 8.427, DE 1992)</t>
  </si>
  <si>
    <t>2062 - PROMOCAO, PROTECAO E DEFESA DOS DIREITOS HUMANOS DE CRIANCAS E ADOLESCENTES</t>
  </si>
  <si>
    <t>14UF - CONSTRUCAO, REFORMA, EQUIPAGEM E AMPLIACAO DE UNIDADES DE ATENDIMENTO SOCIOEDUCATIVO</t>
  </si>
  <si>
    <t>13YE - ADEQUACAO DE TRECHO RODOVIARIO - ENTRONCAMENTO BR-104/408/PB-095 (CAMPINA GRANDE) - ENTRONCAMENTO BR-110/361 (PATOS) - NA BR-230/PB</t>
  </si>
  <si>
    <t>7V00 - CONSTRUCAO DE TRECHO RODOVIARIO - ENTRONCAMENTO BR-316 (INICIO DO CONTORNO DE TIMON) - POVOADO MONTIVIDEL - NA BR-226/MA</t>
  </si>
  <si>
    <t>2219 - MOBILIDADE URBANA</t>
  </si>
  <si>
    <t>2D49 - ESTUDOS, PROJETOS E DESENVOLVIMENTO INSTITUCIONAL NO SETOR DA MOBILIDADE URBANA</t>
  </si>
  <si>
    <t>1M49 - MODERNIZACAO DOS RECURSOS DE TECNOLOGIA DA INFORMACAO E COMUNICACAO</t>
  </si>
  <si>
    <t>5012 - EDUCACAO PROFISSIONAL E TECNOLOGICA</t>
  </si>
  <si>
    <t>21D6 - IMPLEMENTACAO DE CENTROS DE REFERENCIA DOS INSTITUTOS FEDERAIS</t>
  </si>
  <si>
    <t>00UB - TRANSFERENCIA AOS ENTES FEDERATIVOS PARA O PAGAMENTO DOS VENCIMENTOS DOS AGENTES DE COMBATE AS ENDEMIAS</t>
  </si>
  <si>
    <t>0030 - FINANCIAMENTO AOS SETORES PRODUTIVOS DO SEMIARIDO DA REGIAO NORDESTE</t>
  </si>
  <si>
    <t>20ZO - PROMOCAO, FISCALIZACAO E GESTAO DO COMERCIO EXTERIOR</t>
  </si>
  <si>
    <t>15UI - IMPLANTACAO DE INFRAESTRUTURA DE REDE DE COMUNICACAO DE DADOS PARA INCLUSAO DIGITAL</t>
  </si>
  <si>
    <t>152D - CONSTRUCAO DO SISTEMA ADUTOR RAMAL DO AGRESTE PERNAMBUCANO</t>
  </si>
  <si>
    <t>00TO - APOIO A IMPLANTACAO, AMPLIACAO OU MELHORIAS DE SISTEMAS DE ESGOTAMENTO SANITARIO EM MUNICIPIOS COM POPULACAO SUPERIOR A 50 MIL HABITANTES OU MUNICIPIOS INTEGRANTES DE REGIOES METROPOLITANAS OU DE REGIOES INTEGRADAS DE DE</t>
  </si>
  <si>
    <t>210F - DESENVOLVIMENTO DA AVIACAO CIVIL (GESTAO)</t>
  </si>
  <si>
    <t>5028 - INCLUSAO SOCIAL POR MEIO DO BOLSA FAMILIA E DA ARTICULACAO DE POLITICAS PUBLICAS</t>
  </si>
  <si>
    <t>00SF - AUXILIO EMERGENCIAL RESIDUAL PARA ENFRENTAMENTO DA EMERGENCIA DE SAUDE PUBLICA DE IMPORTANCIA INTERNACIONAL DECORRENTE DO CORONAVIRUS (COVID-19)</t>
  </si>
  <si>
    <t>6380 - FOMENTO AO DESENVOLVIMENTO DA EDUCACAO PROFISSIONAL E TECNOLOGICA</t>
  </si>
  <si>
    <t>21AB - MONITORAMENTO, AVALIACAO E CONTROLE DE SUBSTANCIAS, PRODUTOS QUIMICOS E BIOLOGICOS E DE ATIVIDADES POTENCIALMENTE POLUIDORAS E UTILIZADORAS DE RECURSOS AMBIENTAIS</t>
  </si>
  <si>
    <t>2086 - TRANSPORTE AQUAVIARIO</t>
  </si>
  <si>
    <t>127G - CONSTRUCAO DE TERMINAIS FLUVIAIS</t>
  </si>
  <si>
    <t>0A53 - TRANSFERENCIAS DAS PARTICIPACOES PELA PRODUCAO DE PETROLEO E GAS NATURAL (LEI N. 9.478, DE 1997)</t>
  </si>
  <si>
    <t>2B52 - DESENVOLVIMENTO INSTITUCIONAL DA GESTAO ORCAMENTARIA, FINANCEIRA E CONTABIL DO FUNDO NACIONAL DE SAUDE E DOS FUNDOS ESTADUAIS E MUNICIPAIS DE SAUDE</t>
  </si>
  <si>
    <t>0267 - SUBVENCAO ECONOMICA EM OPERACOES NO AMBITO DO PROGRAMA DE FINANCIAMENTO AS EXPORTACOES - PROEX (LEI N. 10.184, DE 2001)</t>
  </si>
  <si>
    <t>2213 - MODERNIZACAO TRABALHISTA E TRABALHO DIGNO</t>
  </si>
  <si>
    <t>20YW - PRODUCAO DE CONHECIMENTO APLICADO PARA SUBSIDIAR POLITICAS PUBLICAS QUE PROMOVAM O TRABALHO SEGURO, SAUDAVEL E PRODUTIVO</t>
  </si>
  <si>
    <t>21AE - EVOLUCAO DOS SERVICOS DE RADIODIFUSAO</t>
  </si>
  <si>
    <t>00GY - FINANCIAMENTO IMOBILIARIO PARA O PESSOAL DA MARINHA</t>
  </si>
  <si>
    <t>12KG - ADEQUACAO DE TRAVESSIA URBANA EM SANTA MARIA - NA BR-158/287/RS</t>
  </si>
  <si>
    <t>00QH - CONCESSAO DE BOLSAS NO AMBITO DO PROGRAMA DE ESTIMULO A REESTRUTURACAO E AO FORTALECIMENTO DAS INSTITUICOES DE ENSINO SUPERIOR (PROIES)</t>
  </si>
  <si>
    <t>219K - GESTAO DAS COLECOES VIVAS, DO PATRIMONIO HISTORICO-CULTURAL E DAS ATIVIDADES DE DISSEMINACAO DO CONHECIMENTO NO JARDIM BOTANICO DO RIO DE JANEIRO</t>
  </si>
  <si>
    <t>8727 - APERFEICOAMENTO DO SISTEMA DE INFORMACAO PARA SAUDE SUPLEMENTAR</t>
  </si>
  <si>
    <t>7X42 - ADEQUACAO DA TRAVESSIA URBANA DE PETROLINA NAS BR?S-407/428/PE</t>
  </si>
  <si>
    <t>11AA - CONSTRUCAO DA BARRAGEM FRONTEIRAS</t>
  </si>
  <si>
    <t>210K - APOIO AO DESENVOLVIMENTO DE PROGRAMAS E PROJETOS NAS AREAS CIENTIFICA, TECNOLOGICA E DE INOVACAO NA AREA DE ATUACAO DA SUFRAMA</t>
  </si>
  <si>
    <t>11VA - CONSTRUCAO DE TRECHO RODOVIARIO - DIVISA PA/MT - RIBEIRAO CASCALHEIRA - NA BR-158/MT</t>
  </si>
  <si>
    <t>1N08 - APOIO A IMPLANTACAO, AMPLIACAO OU MELHORIAS DE SISTEMAS DE ESGOTAMENTO SANITARIO EM MUNICIPIOS COM POPULACAO SUPERIOR A 50 MIL HABITANTES OU MUNICIPIOS INTEGRANTES DE REGIOES METROPOLITANAS OU DE REGIOES INTEGRADAS DE DE</t>
  </si>
  <si>
    <t>2230 - GESTAO DA DOCUMENTACAO E DISSEMINACAO DE INFORMACOES</t>
  </si>
  <si>
    <t>1N47 - CONSTRUCAO DE NAVIOS-PATRULHA DE 500 TONELADAS (NPA 500T) - CLASSE MACAE</t>
  </si>
  <si>
    <t>2E79 - EXPANSAO E CONSOLIDACAO DA ATENCAO BASICA (POLITICA NACIONAL DE ATENCAO BASICA-PNAB)</t>
  </si>
  <si>
    <t>0999 - TRANSFERENCIA DE REPARTICAO DA CONTRIBUICAO DE INTERVENCAO NO DOMINIO ECONOMICO - CIDE COMBUSTIVEIS</t>
  </si>
  <si>
    <t>0901 - OPERACOES ESPECIAIS: CUMPRIMENTO DE SENTENCAS JUDICIAIS</t>
  </si>
  <si>
    <t>00QG - ANISTIADOS POLITICOS - RETROATIVOS CONCEDIDOS POR DECISOES JUDICIAIS</t>
  </si>
  <si>
    <t>20VY - IMPLEMENTACAO DE ACOES DE CIDADANIA E EDUCACAO AMBIENTAL</t>
  </si>
  <si>
    <t>21A8 - FORMULACAO E IMPLEMENTACAO DE ESTRATEGIAS PARA PROMOVER A CONSERVACAO, A RECUPERACAO E O USO SUSTENTAVEL DA BIODIVERSIDADE, DA VEGETACAO NATIVA E DO PATRIMONIO GENETICO</t>
  </si>
  <si>
    <t>12EA - REFORMAS DE EDIFICACOES DO MINISTERIO DA CIENCIA, TECNOLOGIA E INOVACOES</t>
  </si>
  <si>
    <t>00RL - FORMACAO E EXPANSAO DA CAPACITACAO DE RECURSOS HUMANOS EM ATIVIDADES DE PESQUISA TECNOLOGICA, EMPREENDEDORISMO E INOVACAO</t>
  </si>
  <si>
    <t>21B7 - GESTAO E OPERACIONALIZACAO DO TERRA BRASIL</t>
  </si>
  <si>
    <t>00M2 - INTEGRALIZACAO DE COTAS EM FUNDOS DE GARANTIA DE OPERACOES DE CREDITO EDUCATIVO</t>
  </si>
  <si>
    <t>20QN - GESTAO DE ASSUNTOS INTERNACIONAIS</t>
  </si>
  <si>
    <t>00LV - FORMACAO, CAPACITACAO E FIXACAO DE RECURSOS HUMANOS PARA O DESENVOLVIMENTO CIENTIFICO</t>
  </si>
  <si>
    <t>2076 - DESENVOLVIMENTO E PROMOCAO DO TURISMO</t>
  </si>
  <si>
    <t>15R3 - APOIO A CONSOLIDACAO, REESTRUTURACAO E MODERNIZACAO DAS INSTITUICOES FEDERAIS DE ENSINO SUPERIOR</t>
  </si>
  <si>
    <t>6014 - PREVENCAO E CONTROLE DO DESMATAMENTO E DOS INCENDIOS NOS BIOMAS</t>
  </si>
  <si>
    <t>214P - FISCALIZACAO AMBIENTAL E PREVENCAO E COMBATE A INCENDIOS FLORESTAIS</t>
  </si>
  <si>
    <t>6148 - ASSISTENCIA MEDICA QUALIFICADA E GRATUITA A TODOS OS NIVEIS DA POPULACAO E DESENVOLVIMENTO DE ATIVIDADES EDUCACIONAIS E DE PESQUISA NO CAMPO DA SAUDE - REDE SARAH DE HOSPITAIS DE REABILITACAO</t>
  </si>
  <si>
    <t>212S - DESENVOLVIMENTO, SUSTENTABILIDADE E FOMENTO DOS REGIMES DE PREVIDENCIA</t>
  </si>
  <si>
    <t>00PI - APOIO A ALIMENTACAO ESCOLAR NA EDUCACAO BASICA (PNAE)</t>
  </si>
  <si>
    <t>20UQ - APOIO A PROJETOS DE TECNOLOGIAS APLICADAS</t>
  </si>
  <si>
    <t>2357 - FOMENTO A PROJETOS INSTITUCIONAIS PARA PESQUISA NO SETOR ESPACIAL (CT-ESPACIAL)</t>
  </si>
  <si>
    <t>6432 - PESQUISA, DESENVOLVIMENTO, FABRICACAO E COMERCIALIZACAO DE COMPONENTES SEMICONDUTORES</t>
  </si>
  <si>
    <t>8622 - PROMOCAO DO COOPERATIVISMO E ASSOCIATIVISMO PARA O DESENVOLVIMENTO AGROPECUARIO</t>
  </si>
  <si>
    <t>4002 - SEGURANCA INSTITUCIONAL</t>
  </si>
  <si>
    <t>21AP - APOIO A IMPLEMENTACAO DA POLITICA NACIONAL DE SEGURANCA DA INFORMACAO</t>
  </si>
  <si>
    <t>7X91 - CONSTRUCAO DA 1. ETAPA (FASE I) DO CANAL DO XINGO</t>
  </si>
  <si>
    <t>2105 - PROGRAMA DE GESTAO E MANUTENCAO DO MINISTERIO DA AGRICULTURA, PECUARIA E ABASTECIMENTO</t>
  </si>
  <si>
    <t>1C09 - CONSTRUCAO DE TRECHO RODOVIARIO - SAO DESIDERIO - DIVISA BA/MG - NA BR-135/BA</t>
  </si>
  <si>
    <t>214S - ESTRUTURACAO E DINAMIZACAO DE ATIVIDADES PRODUTIVAS - ROTAS DE INTEGRACAO NACIONAL</t>
  </si>
  <si>
    <t>5031 - PROTECAO SOCIAL NO AMBITO DO SISTEMA UNICO DE ASSISTENCIA SOCIAL (SUAS)</t>
  </si>
  <si>
    <t>8249 - FUNCIONAMENTO DOS CONSELHOS DE ASSISTENCIA SOCIAL</t>
  </si>
  <si>
    <t>1393 - IMPLANTACAO DA USINA DE ENRIQUECIMENTO DE URANIO EM RESENDE - RJ</t>
  </si>
  <si>
    <t>219W - INTEGRACAO DOS SISTEMAS DE COMUNICACOES DE DEFESA</t>
  </si>
  <si>
    <t>5035 - PROMOCAO DE CIDADANIA POR MEIO DO AUXILIO BRASIL E DA ARTICULACAO DE POLITICAS PUBLICAS</t>
  </si>
  <si>
    <t>21DW - PROCESSAMENTO DE DADOS DO PROGRAMA AUXILIO BRASIL - PAB</t>
  </si>
  <si>
    <t>0581 - ABONO SALARIAL</t>
  </si>
  <si>
    <t>8755 - APERFEICOAMENTO, AVALIACAO E DESENVOLVIMENTO DE ACOES E SERVICOS ESPECIALIZADOS EM CARDIOLOGIA-INC</t>
  </si>
  <si>
    <t>20VR - CONSERVACAO E RECUPERACAO DE BACIAS HIDROGRAFICAS</t>
  </si>
  <si>
    <t>21DE - ESTUDOS E PROJETOS DE INFRAESTRUTURA PARA SEGURANCA HIDRICA</t>
  </si>
  <si>
    <t>0033 - PROGRAMA DE GESTAO E MANUTENCAO DO PODER JUDICIARIO</t>
  </si>
  <si>
    <t>4225 - PROCESSAMENTO DE CAUSAS E GESTAO ADMINISTRATIVA NA JUSTICA MILITAR DA UNIAO</t>
  </si>
  <si>
    <t>7656 - IMPLANTACAO, AMPLIACAO OU MELHORIA DE ACOES E SERVICOS SUSTENTAVEIS DE SANEAMENTO BASICO EM PEQUENAS COMUNIDADES RURAIS (LOCALIDADES DE PEQUENO PORTE) OU EM COMUNIDADES TRADICIONAIS (REMANESCENTES DE QUILOMBOS)</t>
  </si>
  <si>
    <t>20YE - AQUISICAO E DISTRIBUICAO DE IMUNOBIOLOGICOS PARA PREVENCAO E CONTROLE DE DOENCAS</t>
  </si>
  <si>
    <t>4947 - FOMENTO A PROJETOS INSTITUCIONAIS DE CIENCIA E TECNOLOGIA</t>
  </si>
  <si>
    <t>21CQ - GESTAO DO GOVERNO DIGITAL</t>
  </si>
  <si>
    <t>15XX - AQUISICAO DE AERONAVES PARA TRANSPORTE LOGISTICO ESTRATEGICO DE PESSOAL E MATERIAL</t>
  </si>
  <si>
    <t>4339 - QUALIFICACAO DA REGULACAO E FISCALIZACAO DA SAUDE SUPLEMENTAR</t>
  </si>
  <si>
    <t>3005 - TRANSPORTE AQUAVIARIO</t>
  </si>
  <si>
    <t>20LN - OPERACAO DE TERMINAIS HIDROVIARIOS</t>
  </si>
  <si>
    <t>5260 - IMPLANTACAO DO PROJETO PUBLICO DE IRRIGACAO PONTAL COM 7.811,91 HA</t>
  </si>
  <si>
    <t>00H4 - SEGURO DESEMPREGO</t>
  </si>
  <si>
    <t>0223 - TRANSFERENCIA DE COTAS-PARTES DA COMPENSACAO FINANCEIRA - TRATADO DE ITAIPU (LEI N. 8.001, DE 1990 - ART.1.)</t>
  </si>
  <si>
    <t>11ZH - CONSTRUCAO DA FERROVIA NORTE-SUL - OUROVERDE DE GOIAS/GO - SAO SIMAO/GO - EF-151</t>
  </si>
  <si>
    <t>2C01 - PROMOCAO DE INVESTIMENTOS PRIVADOS, FINANCIAMENTO, PARCERIAS E CONCESSOES NO SETOR DE TURISMO</t>
  </si>
  <si>
    <t>0A29 - SUBVENCAO ECONOMICA A PROJETOS DE DESENVOLVIMENTO TECNOLOGICO (LEI N. 10.973, DE 2004)</t>
  </si>
  <si>
    <t>20AE - PROMOCAO DA ASSISTENCIA FARMACEUTICA E INSUMOS ESTRATEGICOS NA ATENCAO BASICA EM SAUDE</t>
  </si>
  <si>
    <t>2868 - COMBUSTIVEIS E LUBRIFICANTES DE AVIACAO</t>
  </si>
  <si>
    <t>5015 - JUSTICA</t>
  </si>
  <si>
    <t>2807 - PROMOCAO E DEFESA DA CONCORRENCIA</t>
  </si>
  <si>
    <t>00TD - APOIO AOS POLOS DE AGRICULTURA IRRIGADA</t>
  </si>
  <si>
    <t>2035 - ESPORTE, CIDADANIA E DESENVOLVIMENTO</t>
  </si>
  <si>
    <t>5450 - IMPLANTACAO E MODERNIZACAO DE INFRAESTRUTURA PARA ESPORTE EDUCACIONAL, RECREATIVO E DE LAZER</t>
  </si>
  <si>
    <t>218S - APOIO AO PLANEJAMENTO, GERENCIAMENTO E ACOMPANHAMENTO DA IMPLEMENTACAO DE EMPREENDIMENTOS DE INFRAESTRUTURA</t>
  </si>
  <si>
    <t>7X78 - ADEQUACAO DE TRECHO RODOVIARIO - SAO JOSE DOS AUSENTES - DIVISA RS/SC - NA BR-285/RS</t>
  </si>
  <si>
    <t>3921 - IMPLANTACAO DE MELHORIAS HABITACIONAIS PARA CONTROLE DA DOENCA DE CHAGAS</t>
  </si>
  <si>
    <t>00SI - AUXILIO EMERGENCIAL 2021 PARA O ENFRENTAMENTO DA EMERGENCIA DE SAUDE PUBLICA DE IMPORTANCIA INTERNACIONAL DECORRENTE DO CORONAVIRUS (COVID-19)</t>
  </si>
  <si>
    <t>00S4 - AUXILIO EMERGENCIAL DE PROTECAO SOCIAL A PESSOAS EM SITUACAO DE VULNERABILIDADE, DEVIDO A PANDEMIA DA COVID-19</t>
  </si>
  <si>
    <t>4368 - PROMOCAO DA ASSISTENCIA FARMACEUTICA POR MEIO DA DISPONIBILIZACAO DE MEDICAMENTOS E INSUMOS EM SAUDE DO COMPONENTE ESTRATEGICO</t>
  </si>
  <si>
    <t>8495 - REALIZACAO DE EVENTOS INTERNACIONAIS OFICIAIS</t>
  </si>
  <si>
    <t>2066 - REFORMA AGRARIA E GOVERNANCA FUNDIARIA</t>
  </si>
  <si>
    <t>210T - PROMOCAO DA EDUCACAO DO CAMPO</t>
  </si>
  <si>
    <t>12EP - INTEGRACAO DO RIO SAO FRANCISCO COM AS BACIAS DO NORDESTE SETENTRIONAL (EIXO LESTE)</t>
  </si>
  <si>
    <t>0369 - TRANSFERENCIA DAS QUOTAS ESTADUAL E MUNICIPAL DO SALARIO-EDUCACAO</t>
  </si>
  <si>
    <t>20YJ - FORTALECIMENTO DO SISTEMA NACIONAL DE VIGILANCIA EM SAUDE</t>
  </si>
  <si>
    <t>5308 - CONSTRUCAO DA BARRAGEM JEQUITAI</t>
  </si>
  <si>
    <t>0427 - CONCESSAO DE CREDITO-INSTALACAO AS FAMILIAS ASSENTADAS</t>
  </si>
  <si>
    <t>218J - ATIVOS MILITARES DOS EX-TERRITORIOS E DO ANTIGO ESTADO DA GUANABARA</t>
  </si>
  <si>
    <t>21B2 - GESTAO E MODERNIZACAO DOS RECURSOS DE TECNOLOGIA DA INFORMACAO E COMUNICACAO</t>
  </si>
  <si>
    <t>2495 - CONTROLE DE BENS SENSIVEIS</t>
  </si>
  <si>
    <t>21BE - FABRICACAO DE EQUIPAMENTOS DESTINADOS A INDUSTRIA DE PETROLEO E GAS, OFFSHORE E OUTROS</t>
  </si>
  <si>
    <t>123U - ADEQUACAO DE TRECHO RODOVIARIO - ENTRONCAMENTO BR-116 (P/GUAIBA) - ENTRONCAMENTO BR-471 (PANTANO GRANDE) - NA BR-290/RS</t>
  </si>
  <si>
    <t>7X75 - ADEQUACAO DE TRECHO RODOVIARIO - FIM DAS OBRAS DE DUPLICACAO - ESTADIO MUNICIPAL (DEMERVAL LOBAO) - NA BR-316/PI</t>
  </si>
  <si>
    <t>4528 - PRODUCAO DE MATERIAL DE EMPREGO MILITAR</t>
  </si>
  <si>
    <t>00N2 - CUMPRIMENTO DE SENTENCA JUDICIAL - INSTITUTO AERUS DE SEGURIDADE SOCIAL - PROCESSO N. 0010295-77.2004.4.01.3400</t>
  </si>
  <si>
    <t>8648 - DESENVOLVIMENTO E FORTALECIMENTO DA ECONOMIA DA SAUDE</t>
  </si>
  <si>
    <t>00PN - PARTICIPACAO DO BRASIL, COMO PAIS NAO MEMBRO, EM ATIVIDADES DE COOPERACAO ECONOMICA JUNTO A ORGANIZACAO PARA COOPERACAO E DESENVOLVIMENTO ECONOMICO - OCDE E SEUS ORGAOS VINCULADOS</t>
  </si>
  <si>
    <t>21DZ - AQUISICAO E DISTRIBUICAO DE INSUMOS PARA PREVENCAO E CONTROLE DE DOENCAS</t>
  </si>
  <si>
    <t>218F - GESTAO E MANUTENCAO DO LEGADO OLIMPICO E PARAOLIMPICO</t>
  </si>
  <si>
    <t>6016 - EDUCACAO ESPECIAL</t>
  </si>
  <si>
    <t>21CO - FUNCIONAMENTO DAS INSTITUICOES FEDERAIS DE EDUCACAO ESPECIAL</t>
  </si>
  <si>
    <t>20ZD - SIMPLIFICACAO E MELHORIA DA REGULACAO DOS SERVICOS DE TELECOMUNICACOES</t>
  </si>
  <si>
    <t>2589 - AVALIACAO E OPERACIONALIZACAO DO BENEFICIO DE PRESTACAO CONTINUADA (BPC) E MANUTENCAO DA RENDA MENSAL VITALICIA (RMV)</t>
  </si>
  <si>
    <t>15AL - REFORMA DE UNIDADES DA ANM</t>
  </si>
  <si>
    <t>009T - SERVICOS PUBLICOS DE SAUDE DO DISTRITO FEDERAL</t>
  </si>
  <si>
    <t>14T0 - AQUISICAO DE AERONAVES DE CACA E SISTEMAS AFINS - PROJETO FX-2</t>
  </si>
  <si>
    <t>0151 - PROTECAO DE TERRAS INDIGENAS, GESTAO TERRITORIAL E ETNODESENVOLVIMENTO</t>
  </si>
  <si>
    <t>1ACY - PROJETO INDIOS ISOLADOS BR-429 - RO</t>
  </si>
  <si>
    <t>21DM - COOPERACAO INTERNACIONAL, ASSESSORIA TECNICA, REPRESENTACAO INSTITUCIONAL E COORDENACAO DA AGENDA DE ASSUNTOS INTERNACIONAIS DA CNEN</t>
  </si>
  <si>
    <t>14XJ - AQUISICAO DE CARGUEIRO TATICO MILITAR DE 10 A 20 TONELADAS - PROJETO KC-390</t>
  </si>
  <si>
    <t>7XE1 - RECONSTRUCAO E MODERNIZACAO DO MUSEU NACIONAL</t>
  </si>
  <si>
    <t>0611 - SUBVENCAO ECONOMICA PARA OPERACOES DECORRENTES DO ALONGAMENTO DE DIVIDAS ORIGINARIAS DE CREDITO RURAL (LEIS N. 9.138, DE 1995 E N. 10.437, DE 2002)</t>
  </si>
  <si>
    <t>20I4 - FOMENTO A PESQUISA E DESENVOLVIMENTO EM AREAS BASICAS E ESTRATEGICAS</t>
  </si>
  <si>
    <t>219A - PISO DE ATENCAO PRIMARIA A SAUDE</t>
  </si>
  <si>
    <t>109H - CONSTRUCAO DE BARRAGENS</t>
  </si>
  <si>
    <t>7W07 - ADEQUACAO DE TRECHO RODOVIARIO - CASTANHAL - SANTA MARIA DO PARA - TREVO DE SALINOPOLIS - DIVISA PA/MA - NA BR-316/PA</t>
  </si>
  <si>
    <t>00M6 - CONCESSAO DE BOLSAS PARA PESQUISA ECONOMICA</t>
  </si>
  <si>
    <t>5029 - PRODUCAO DE DADOS E CONHECIMENTO PARA O APRIMORAMENTO DE POLITICAS PUBLICAS</t>
  </si>
  <si>
    <t>6414 - SISTEMA NACIONAL PARA IDENTIFICACAO E SELECAO DE PUBLICO-ALVO PARA OS PROGRAMAS SOCIAIS DO GOVERNO FEDERAL - CADASTRO UNICO</t>
  </si>
  <si>
    <t>10RM - IMPLANTACAO, AMPLIACAO, MELHORIA OU ADEQUACAO DE SISTEMAS DE ESGOTAMENTO SANITARIO NA AREA DE ATUACAO DA CODEVASF</t>
  </si>
  <si>
    <t>10SC - APOIO A IMPLANTACAO, AMPLIACAO OU MELHORIAS EM SISTEMAS DE ABASTECIMENTO DE AGUA EM MUNICIPIOS COM POPULACAO SUPERIOR A 50 MIL HABITANTES OU MUNICIPIOS INTEGRANTES DE REGIOES METROPOLITANAS OU DE REGIOES INTEGRADAS DE DE</t>
  </si>
  <si>
    <t>20K1 - ADEQUACAO DE PLATAFORMAS PARA O DESENVOLVIMENTO TECNOLOGICO EM SAUDE</t>
  </si>
  <si>
    <t>218H - SUSTENTABILIDADE, FORMALIZACAO, POSICIONAMENTO E APOIO A COMERCIALIZACAO DE PRODUTOS TURISTICOS</t>
  </si>
  <si>
    <t>2042 - PESQUISA E INOVACOES PARA A AGROPECUARIA</t>
  </si>
  <si>
    <t>20Y6 - PESQUISA E DESENVOLVIMENTO DE TECNOLOGIAS PARA A AGROPECUARIA</t>
  </si>
  <si>
    <t>14U2 - IMPLANTACAO, INSTALACAO E MODERNIZACAO DE ESPACOS E EQUIPAMENTOS CULTURAIS</t>
  </si>
  <si>
    <t>116F - IMPLANTACAO, AMPLIACAO, MELHORIAS OU ADEQUACAO DE SISTEMAS DE ABASTECIMENTO DE AGUA EM AREAS DE ATUACAO DA CODEVASF</t>
  </si>
  <si>
    <t>2055 - CURSOS DE ALTOS ESTUDOS DA ESCOLA SUPERIOR DE GUERRA</t>
  </si>
  <si>
    <t>13YK - CONSTRUCAO DE TRECHO RODOVIARIO - LARANJAL DO JARI - ENTRONCAMENTO BR-210/AP-030 - NA BR-156/AP</t>
  </si>
  <si>
    <t>218G - GESTAO, INOVACAO E INTELIGENCIA COMPETITIVA DO TURISMO</t>
  </si>
  <si>
    <t>20XH - REALIZACAO DE ACOES DE COOPERACAO DO EXERCITO</t>
  </si>
  <si>
    <t>13XG - CONSTRUCAO DE TRECHO RODOVIARIO - DIVISA BA/MG (SALTO DA DIVISA) - ENTRONCAMENTO MG-406 (ALMENARA) - NA BR-367/MG</t>
  </si>
  <si>
    <t>20X3 - MOBILIZACAO E LOGISTICA PARA A DEFESA NACIONAL</t>
  </si>
  <si>
    <t>21D1 - GERENCIAMENTO, MELHORIA, MODERNIZACAO E RECUPERACAO DE SISTEMAS DE ARTILHARIA ANTIAEREA</t>
  </si>
  <si>
    <t>109J - CONSTRUCAO DE ADUTORAS</t>
  </si>
  <si>
    <t>210Z - RECONHECIMENTO E INDENIZACAO DE TERRITORIOS QUILOMBOLAS</t>
  </si>
  <si>
    <t>1O21 - IMPLANTACAO DO PROJETO PUBLICO DE IRRIGACAO TABULEIROS LITORANEOS DE PARNAIBA - 2. ETAPA - COM 5.985 HA</t>
  </si>
  <si>
    <t>20SP - OPERACIONALIZACAO DO SISTEMA NACIONAL DE TRANSPLANTES</t>
  </si>
  <si>
    <t>20T6 - FORTALECIMENTO DA SAUDE AMBIENTAL PARA REDUCAO DOS RISCOS A SAUDE HUMANA</t>
  </si>
  <si>
    <t>2113 - FOMENTO A PESQUISA E A INOVACAO TECNOLOGICA (CT-VERDE AMARELO)</t>
  </si>
  <si>
    <t>8581 - ESTRUTURACAO DA REDE DE SERVICOS DE ATENCAO PRIMARIA A SAUDE</t>
  </si>
  <si>
    <t>12FT - IMPLANTACAO DO PROJETO PUBLICO DE IRRIGACAO MARRECAS/JENIPAPO COM 1.000 HA</t>
  </si>
  <si>
    <t>00QV - INDENIZACAO PELA FLEXIBILIZACAO VOLUNTARIA DO REPOUSO REMUNERADO</t>
  </si>
  <si>
    <t>2367 - ANALISE E DIVULGACAO DA POLITICA EXTERNA BRASILEIRA, DE RELACOES INTERNACIONAIS E DA HISTORIA DIPLOMATICA DO BRASIL</t>
  </si>
  <si>
    <t>0534 - FINANCIAMENTO AOS SETORES PRODUTIVOS DA REGIAO NORTE (FNO)</t>
  </si>
  <si>
    <t>2029 - DESENVOLVIMENTO REGIONAL E TERRITORIAL</t>
  </si>
  <si>
    <t>20Y0 - DESENVOLVIMENTO DA AQUICULTURA</t>
  </si>
  <si>
    <t>6516 - APERFEICOAMENTO E AVALIACAO DOS SERVICOS DE HEMOTERAPIA E HEMATOLOGIA</t>
  </si>
  <si>
    <t>20WA - CADASTRO, RECOMPOSICAO E PRODUCAO FLORESTAL</t>
  </si>
  <si>
    <t>099F - CONCESSAO DE SUBVENCAO ECONOMICA AO PREMIO DO SEGURO RURAL (LEI N. 10.823, DE 2003)</t>
  </si>
  <si>
    <t>216Q - APERFEICOAMENTO E FORTALECIMENTO DA GESTAO DE PESSOAS</t>
  </si>
  <si>
    <t>219H - OPERACAO E MANUTENCAO DA BARRAGEM E DA ECLUSA DO CANAL SAO GONCALO</t>
  </si>
  <si>
    <t>4257 - JULGAMENTO DE CAUSAS NA JUSTICA FEDERAL</t>
  </si>
  <si>
    <t>006M - TRANSFERENCIA DO IMPOSTO TERRITORIAL RURAL - ITR</t>
  </si>
  <si>
    <t>21DQ - GESTAO, ADMINISTRACAO E OPERACIONALIZACAO DO PROGRAMA AUXILIO BRASIL</t>
  </si>
  <si>
    <t>211Z - DESENVOLVIMENTO E EXECUCAO DA POLITICA NACIONAL ANTIDOPAGEM</t>
  </si>
  <si>
    <t>20IH - MODERNIZACAO E REVITALIZACAO DE AERONAVES E SISTEMAS EMBARCADOS</t>
  </si>
  <si>
    <t>2583 - PROCESSAMENTO DE DADOS DO BENEFICIO DE PRESTACAO CONTINUADA (BPC) E DA RENDA MENSAL VITALICIA (RMV)</t>
  </si>
  <si>
    <t>20ZG - FORMULACAO E GESTAO DA POLITICA CULTURAL</t>
  </si>
  <si>
    <t>4699 - OUTORGA DE GERACAO, TRANSMISSAO E DISTRIBUICAO DE ENERGIA ELETRICA</t>
  </si>
  <si>
    <t>5034 - PROTECAO A VIDA, FORTALECIMENTO DA FAMILIA, PROMOCAO E DEFESA DOS DIREITOS HUMANOS PARA TODOS</t>
  </si>
  <si>
    <t>0E85 - SUBVENCAO ECONOMICA EM OPERACOES DE FINANCIAMENTO PARA A AQUISICAO DE BENS E SERVICOS DE TECNOLOGIA ASSISTIVA DESTINADOS A PESSOAS COM DEFICIENCIA (LEI N. 12.613, DE 2012)</t>
  </si>
  <si>
    <t>0265 - INDENIZACOES E RESTITUICOES RELATIVAS AO PROGRAMA DE GARANTIA DA ATIVIDADE AGROPECUARIA - PROAGRO (LEI N. 8.171, DE 1991)</t>
  </si>
  <si>
    <t>219F - ACOES DE PROTECAO SOCIAL ESPECIAL</t>
  </si>
  <si>
    <t>2081 - JUSTICA, CIDADANIA E SEGURANCA PUBLICA</t>
  </si>
  <si>
    <t>6067 - APOIO E FOMENTO A PROJETOS DE DEFESA DE DIREITOS DIFUSOS</t>
  </si>
  <si>
    <t>7XM7 - CONSTRUCAO DE TRECHO RODOVIARIO - PORTO VELHO - VILHENA - NA BR-364/RO</t>
  </si>
  <si>
    <t>2220 - MORADIA DIGNA</t>
  </si>
  <si>
    <t>12KF - ADEQUACAO DE TRECHO RODOVIARIO - SAO MIGUEL DO OESTE - DIVISA SC/PR - NA BR-163/SC</t>
  </si>
  <si>
    <t>5027 - INCLUSAO PRODUTIVA DE PESSOAS EM SITUACAO DE VULNERABILIDADE SOCIAL</t>
  </si>
  <si>
    <t>215F - FOMENTO E FORTALECIMENTO DA ECONOMIA SOLIDARIA, ASSOCIATIVISMO E COOPERATIVISMO</t>
  </si>
  <si>
    <t>2016 - FUNCIONAMENTO DO CONSELHO NACIONAL DE SAUDE</t>
  </si>
  <si>
    <t>21BT - PROTECAO, FISCALIZACAO E COMBATE A ILICITOS NA AMAZONIA LEGAL E SUA REGIAO FRONTEIRICA</t>
  </si>
  <si>
    <t>00UK - PAGAMENTO DE AUXILIO AOS TRANSPORTADORES AUTONOMOS DE CARGAS (EMENDA CONSTITUCIONAL N. 123, DE 14 DE JULHO DE 2022)</t>
  </si>
  <si>
    <t>4245 - CLASSIFICACAO BRASILEIRA DE OCUPACOES - CBO</t>
  </si>
  <si>
    <t>4324 - ATENCAO A SAUDE DE POPULACOES RIBEIRINHAS E DE AREAS REMOTAS DA REGIAO AMAZONICA MEDIANTE COOPERACAO COM A MARINHA DO BRASIL E COM O EXERCITO BRASILEIRO</t>
  </si>
  <si>
    <t>2334 - PROTECAO E DEFESA DO CONSUMIDOR</t>
  </si>
  <si>
    <t>8933 - ESTRUTURACAO DE SERVICOS DE ATENCAO AS URGENCIAS E EMERGENCIAS NA REDE ASSISTENCIAL</t>
  </si>
  <si>
    <t>10S6 - APOIO A URBANIZACAO DE ASSENTAMENTOS PRECARIOS POR MEIO DO FUNDO NACIONAL DE HABITACAO DE INTERESSE SOCIAL</t>
  </si>
  <si>
    <t>4923 - PRODUCAO E DISSEMINACAO DE DADOS PARA GESTAO DE POLITICAS DO MINISTERIO DA CIDADANIA</t>
  </si>
  <si>
    <t>21CM - RECOMPOSICAO DOS MEIOS DA FORCA AEREA BRASILEIRA</t>
  </si>
  <si>
    <t>5314 - IMPLANTACAO DO PROJETO PUBLICO DE IRRIGACAO BAIXIO DE IRECE COM 16.615 HA</t>
  </si>
  <si>
    <t>0281 - SUBVENCAO ECONOMICA EM OPERACOES NO AMBITO DO PROGRAMA NACIONAL DE FORTALECIMENTO DA AGRICULTURA FAMILIAR - PRONAF (LEI N. 8.427, DE 1992)</t>
  </si>
  <si>
    <t>6174 - ANALISE DA QUALIDADE DE PRODUTOS E INSUMOS DE SAUDE</t>
  </si>
  <si>
    <t>5033 - SEGURANCA ALIMENTAR E NUTRICIONAL</t>
  </si>
  <si>
    <t>20GD - INCLUSAO PRODUTIVA RURAL</t>
  </si>
  <si>
    <t>21CF - IMPLANTACAO E FUNCIONAMENTO DA SAUDE DIGITAL E TELESSAUDE NO SUS</t>
  </si>
  <si>
    <t>1851 - AQUISICAO DE EQUIPAMENTOS E/OU IMPLANTACAO DE OBRAS DE INFRAESTRUTURA HIDRICA DE PEQUENO E MEDIO VULTO</t>
  </si>
  <si>
    <t>0907 - OPERACOES ESPECIAIS: REFINANCIAMENTO DA DIVIDA INTERNA</t>
  </si>
  <si>
    <t>0365 - REFINANCIAMENTO DA DIVIDA PUBLICA MOBILIARIA FEDERAL INTERNA</t>
  </si>
  <si>
    <t>214J - FISCALIZACAO EM METROLOGIA E QUALIDADE</t>
  </si>
  <si>
    <t>8759 - APERFEICOAMENTO, AVALIACAO E DESENVOLVIMENTO DE ACOES E SERVICOS ESPECIALIZADOS EM TRAUMATOLOGIA E ORTOPEDIA - INTO</t>
  </si>
  <si>
    <t>21CI - IMPLANTACAO DE MELHORIAS SANITARIAS DOMICILIARES PARA PREVENCAO E CONTROLE DE DOENCAS E AGRAVOS EM LOCALIDADES URBANAS DE MUNICIPIOS COM POPULACAO ATE 50.000 HABITANTES</t>
  </si>
  <si>
    <t>7W84 - ADEQUACAO DE TRECHO RODOVIARIO - TRECHO ESTIVA - ENTRONCAMENTO BR-222 (MIRANDA DO NORTE) - NA BR-135/MA</t>
  </si>
  <si>
    <t>4156 - FOMENTO A PROJETOS INSTITUCIONAIS PARA PESQUISA NO SETOR DE PETROLEO E GAS NATURAL (CT-PETRO)</t>
  </si>
  <si>
    <t>7F51 - CONSTRUCAO DE TRECHO RODOVIARIO - DIVISA PI/BA - DIVISA BA/SE - NA BR-235/BA</t>
  </si>
  <si>
    <t>21BH - CONTROLE DA ATUACAO ADMINISTRATIVA E FINANCEIRA DO PODER JUDICIARIO, DO CUMPRIMENTO DOS DEVERES FUNCIONAIS DOS JUIZES E GESTAO DE POLITICAS JUDICIARIAS</t>
  </si>
  <si>
    <t>1151 - ASSISTENCIA TECNICA PARA GESTAO DOS PROJETOS DE MODERNIZACAO DA GESTAO ADMINISTRATIVA E FISCAL DOS MUNICIPIOS</t>
  </si>
  <si>
    <t>20XO - DESENVOLVIMENTO TECNOLOGICO DA MARINHA</t>
  </si>
  <si>
    <t>21AU - OPERACIONALIZACAO E APERFEICOAMENTO DO SISTEMA INTEGRADO NACIONAL DE DIREITOS HUMANOS - SINDH</t>
  </si>
  <si>
    <t>15XT - IMPLANTACAO DE SISTEMAS ADUTORES PARA ABASTECIMENTO DE AGUA DO CANAL DO SERTAO ALAGOANO</t>
  </si>
  <si>
    <t>21BI - DIFUSAO DO CONHECIMENTO SOBRE DEFESA NACIONAL A SOCIEDADE BRASILEIRA E INTERACAO DO ENSINO MILITAR</t>
  </si>
  <si>
    <t>21E8 - PRESTACAO DE ENSINO ASSISTENCIAL DA AERONAUTICA</t>
  </si>
  <si>
    <t>2040 - GESTAO DE RISCOS E DE DESASTRES</t>
  </si>
  <si>
    <t>8865 - APOIO A EXECUCAO DE PROJETOS E OBRAS DE CONTENCAO DE ENCOSTAS EM AREAS URBANAS</t>
  </si>
  <si>
    <t>0122 - SERVICOS URBANOS DE AGUA E ESGOTO</t>
  </si>
  <si>
    <t>10GE - IMPLANTACAO, AMPLIACAO E MELHORIA DE SISTEMAS PUBLICOS DE ESGOTAMENTO SANITARIO EM MUNICIPIOS COM ATE 50.000 HABITANTES, EXCLUSIVE EM REGIOES METROPOLITANAS (RM) OU REGIOES INTEGRADAS DE DESENVOLVIMENTO ECONOMICO (RIDE)</t>
  </si>
  <si>
    <t>00BA - CONTRIBUICAO A ORGANIZACAO DAS NACOES UNIDAS PARA A EDUCACAO, A CIENCIA E A CULTURA - UNESCO (MRE)</t>
  </si>
  <si>
    <t>2292 - SERVICO DE PROCESSAMENTO DE DADOS DE BENEFICIOS PREVIDENCIARIOS</t>
  </si>
  <si>
    <t>00UQ - ASSISTENCIA FINANCEIRA A UNIAO, AOS ESTADOS, AO DISTRITO FEDERAL E AOS MUNICIPIOS, RELACIONADA AO AUXILIO EMERGENCIAL - EMENDA CONSTITUCIONAL N. 123, DE 2022</t>
  </si>
  <si>
    <t>0283 - AMORTIZACAO E ENCARGOS DE FINANCIAMENTO DA DIVIDA CONTRATUAL INTERNA</t>
  </si>
  <si>
    <t>125F - RECUPERACAO AMBIENTAL DA BACIA CARBONIFERA DE SANTA CATARINA</t>
  </si>
  <si>
    <t>2090 - FISCALIZACAO DOS SERVICOS E DA EXPLORACAO DA INFRAESTRUTURA DO TRANSPORTE AQUAVIARIO</t>
  </si>
  <si>
    <t>11H1 - ADEQUACAO DE RAMAL FERROVIARIO EM BARRA MANSA - NA EF-222/RJ</t>
  </si>
  <si>
    <t>00UL - PAGAMENTO DE AUXILIO AOS MOTORISTAS DE TAXI (EMENDA CONSTITUCIONAL N. 123, DE 14 DE JULHO DE 2022)</t>
  </si>
  <si>
    <t>20TU - MANUTENCAO, DESENVOLVIMENTO E MODERNIZACAO DE SISTEMAS INFORMATIZADOS DE COMERCIO EXTERIOR</t>
  </si>
  <si>
    <t>4741 - CADASTROS PUBLICOS E SISTEMAS DE INTEGRACAO DAS ACOES DE TRABALHO E EMPREGO</t>
  </si>
  <si>
    <t>13E4 - PROJETO DE ASSISTENCIA TECNICA AOS SETORES DE ENERGIA E MINERAL - META II</t>
  </si>
  <si>
    <t>15V3 - CONSTRUCAO DA FERROVIA DE INTEGRACAO CENTRO OESTE - TRECHO MARA ROSA (GO) A PORTO VELHO (RO) EF 354</t>
  </si>
  <si>
    <t>2843 - FUNCIONAMENTO DOS SISTEMAS DE TRANSPORTE FERROVIARIO URBANO DE PASSAGEIROS</t>
  </si>
  <si>
    <t>2021 - CIENCIA, TECNOLOGIA E INOVACAO</t>
  </si>
  <si>
    <t>214H - INATIVOS MILITARES DAS FORCAS ARMADAS</t>
  </si>
  <si>
    <t>4003 - GARANTIA DA ESTABILIDADE MONETARIA E FINANCEIRA</t>
  </si>
  <si>
    <t>21AY - PREVENCAO A LAVAGEM DE DINHEIRO E AO FINANCIAMENTO DO TERRORISMO</t>
  </si>
  <si>
    <t>124G - CONSTRUCAO DA FERROVIA DE INTEGRACAO OESTE-LESTE - CAETITE/BA - BARREIRAS/BA - EF-334</t>
  </si>
  <si>
    <t>10IX - ADEQUACAO DE TRECHO RODOVIARIO - ENTRONCAMENTO BR-116/259/451 (GOVERNADOR VALADARES) - ENTRONCAMENTO MG-020 - NA BR-381/MG</t>
  </si>
  <si>
    <t>00TM - APOIO A EMPREENDIMENTOS DE SANEAMENTO INTEGRADO EM MUNICIPIOS COM POPULACAO SUPERIOR A 50 MIL HABITANTES OU MUNICIPIOS INTEGRANTES DE REGIOES METROPOLITANAS OU DE REGIOES INTEGRADAS DE DESENVOLVIMENTO</t>
  </si>
  <si>
    <t>20X0 - COOPERACAO HUMANITARIA INTERNACIONAL E PARTICIPACAO DA SOCIEDADE CIVIL</t>
  </si>
  <si>
    <t>8567 - AUXILIOS PECUNIARIOS AO PESSOAL ATIVO MILITAR DOS EXTINTOS TERRITORIOS (LEI 10.486/2002, ART.65)</t>
  </si>
  <si>
    <t>8861 - GESTAO E APRIMORAMENTO DO PROCESSO DE PLANEJAMENTO E ORCAMENTO</t>
  </si>
  <si>
    <t>20RL - FUNCIONAMENTO DAS INSTITUICOES DA REDE FEDERAL DE EDUCACAO PROFISSIONAL, CIENTIFICA E TECNOLOGICA</t>
  </si>
  <si>
    <t>6217 - ATENCAO A SAUDE NOS SERVICOS AMBULATORIAIS E HOSPITALARES DO MINISTERIO DA SAUDE</t>
  </si>
  <si>
    <t>219Z - CONSERVACAO E RECUPERACAO DE ATIVOS DE INFRAESTRUTURA DA UNIAO</t>
  </si>
  <si>
    <t>00FM - ASSISTENCIA MEDICA E ODONTOLOGICA AS POLICIAS CIVIL E MILITAR E AO CORPO DE BOMBEIROS DO DISTRITO FEDERAL</t>
  </si>
  <si>
    <t>00OQ - CONTRIBUICOES A ORGANISMOS INTERNACIONAIS SEM EXIGENCIA DE PROGRAMACAO ESPECIFICA</t>
  </si>
  <si>
    <t>20QH - ALIMENTACAO E NUTRICAO PARA A SAUDE</t>
  </si>
  <si>
    <t>009W - COMPENSACAO PREVIDENCIARIA</t>
  </si>
  <si>
    <t>2562 - AUDITORIA PREVENTIVA E CORRETIVA EM ROTINAS, PROCEDIMENTOS E PROCESSOS</t>
  </si>
  <si>
    <t>0617 - PROTECAO E PROMOCAO DOS DIREITOS DOS POVOS INDIGENAS</t>
  </si>
  <si>
    <t>21C0 - ENFRENTAMENTO DA EMERGENCIA DE SAUDE PUBLICA DE IMPORTANCIA INTERNACIONAL DECORRENTE DO CORONAVIRUS</t>
  </si>
  <si>
    <t>4705 - PROMOCAO DA ASSISTENCIA FARMACEUTICA POR MEIO DA DISPONIBILIZACAO DE MEDICAMENTOS DO COMPONENTE ESPECIALIZADO</t>
  </si>
  <si>
    <t>0547 - TRANSFERENCIAS DE COTAS-PARTES DA COMPENSACAO FINANCEIRA PELA EXPLORACAO DE RECURSOS MINERAIS (LEI N. 8.001, DE 1990 - ART.2.)</t>
  </si>
  <si>
    <t>4256 - APRECIACAO DE CAUSAS NA JUSTICA DO TRABALHO</t>
  </si>
  <si>
    <t>219E - ACOES DE PROTECAO SOCIAL BASICA</t>
  </si>
  <si>
    <t>14LW - IMPLANTACAO DO SISTEMA DE DEFESA ESTRATEGICO ASTROS</t>
  </si>
  <si>
    <t>14UB - REFORMA E REAPARELHAMENTO DE AEROPORTOS E AERODROMOS DE INTERESSE REGIONAL</t>
  </si>
  <si>
    <t>00H6 - TRANSFERENCIA DO IMPOSTO SOBRE OPERACOES FINANCEIRAS INCIDENTES SOBRE O OURO - IOF OURO</t>
  </si>
  <si>
    <t>21AI - INFRAESTRUTURA E APLICACOES ESPACIAIS</t>
  </si>
  <si>
    <t>10T2 - APOIO A PROJETOS E OBRAS DE REABILITACAO, DE ACESSIBILIDADE E MODERNIZACAO TECNOLOGICA EM AREAS URBANAS</t>
  </si>
  <si>
    <t>2867 - ATIVOS MILITARES DAS FORCAS ARMADAS</t>
  </si>
  <si>
    <t>2536 - DEMARCACAO DE FRONTEIRAS</t>
  </si>
  <si>
    <t>152W - ADEQUACAO E MODERNIZACAO DOS IMOVEIS DE USO ESPECIAL DA ADMINISTRACAO PUBLICA FEDERAL</t>
  </si>
  <si>
    <t>5011 - EDUCACAO BASICA DE QUALIDADE</t>
  </si>
  <si>
    <t>20RP - APOIO A INFRAESTRUTURA PARA A EDUCACAO BASICA</t>
  </si>
  <si>
    <t>21B6 - ASSISTENCIA TECNICA E EXTENSAO RURAL</t>
  </si>
  <si>
    <t>4370 - ATENDIMENTO A POPULACAO PARA PREVENCAO, CONTROLE E TRATAMENTO DE HIV/AIDS, OUTRAS INFECCOES SEXUALMENTE TRANSMISSIVEIS E HEPATITES VIRAIS</t>
  </si>
  <si>
    <t>155H - CONSTRUCAO DA DELEGACIA DE JUIZ DE FORA/MG</t>
  </si>
  <si>
    <t>00JE - FINANCIAMENTO IMOBILIARIO PARA O PESSOAL DA AERONAUTICA</t>
  </si>
  <si>
    <t>123H - CONSTRUCAO DE SUBMARINO DE PROPULSAO NUCLEAR</t>
  </si>
  <si>
    <t>10L1 - ADEQUACAO DE TRECHO RODOVIARIO - RONDONOPOLIS - CUIABA - POSTO GIL - NA BR-163/MT</t>
  </si>
  <si>
    <t>21AT - APOIO NO FUNCIONAMENTO DOS CONSELHOS E COMISSOES DE DIREITOS HUMANOS</t>
  </si>
  <si>
    <t>219V - APOIO AO FUNCIONAMENTO DAS INSTITUICOES FEDERAIS DE EDUCACAO SUPERIOR</t>
  </si>
  <si>
    <t>10GD - IMPLANTACAO, AMPLIACAO E MELHORIA DE SISTEMAS PUBLICOS DE ABASTECIMENTO DE AGUA EM MUNICIPIOS COM ATE 50.000 HABITANTES, EXCLUSIVE EM REGIOES METROPOLITANAS (RM) OU REGIOES INTEGRADAS DE DESENVOLVIMENTO ECONOMICO (RIDE)</t>
  </si>
  <si>
    <t>0487 - CONCESSAO DE BOLSAS DE ESTUDO NO ENSINO SUPERIOR</t>
  </si>
  <si>
    <t>21BD - ESTUDOS DA INDUSTRIA DE BIOCOMBUSTIVEIS</t>
  </si>
  <si>
    <t>20V8 - APOIO A INICIATIVAS E PROJETOS DE INCLUSAO DIGITAL</t>
  </si>
  <si>
    <t>0298 - SUBVENCAO ECONOMICA EM OPERACOES DE COMERCIALIZACAO DE PRODUTOS AGROPECUARIOS (LEI N. 8.427, DE 1992)</t>
  </si>
  <si>
    <t>2317 - ACESSO A INFORMACAO CIENTIFICA E TECNOLOGICA</t>
  </si>
  <si>
    <t>0048 - APOIO A ENTIDADES DE ENSINO SUPERIOR NAO FEDERAIS</t>
  </si>
  <si>
    <t>00UC - TRANSFERENCIA AOS ENTES FEDERATIVOS PARA O PAGAMENTO DOS VENCIMENTOS DOS AGENTES COMUNITARIOS DE SAUDE</t>
  </si>
  <si>
    <t>212M - APOIO E ESTRUTURACAO DE PROJETOS AQUICOLAS NA AREA DE ATUACAO DA CODEVASF</t>
  </si>
  <si>
    <t>21D7 - PROGRAMA DE APOIO PARA A EXPANSAO DA EDUCACAO ONLINE EM UNIVERSIDADES FEDERAIS - REUNI DIGITAL</t>
  </si>
  <si>
    <t>13X7 - ADEQUACAO DE TRECHO RODOVIARIO - DIVISA PE/BA (IBO) - FEIRA DE SANTANA - NA BR-116/BA</t>
  </si>
  <si>
    <t>21DI - REGULARIZACAO AMBIENTAL E FUNDIARIA DE PROJETOS PUBLICOS DE IRRIGACAO</t>
  </si>
  <si>
    <t>20RQ - PRODUCAO, AQUISICAO E DISTRIBUICAO DE LIVROS E MATERIAIS DIDATICOS E PEDAGOGICOS PARA EDUCACAO BASICA</t>
  </si>
  <si>
    <t>20U5 - ENSINO DE GRADUACAO E POS-GRADUACAO EM ESTATISTICAS E GEOCIENCIAS</t>
  </si>
  <si>
    <t>00QC - CONCESSAO DE BOLSAS DE PROGRAMAS DE DESENVOLVIMENTO DA EDUCACAO EM SAUDE</t>
  </si>
  <si>
    <t>2C11 - APOIO TECNICO E ADMINISTRATIVO A EQUIPE DE TRANSICAO DE GOVERNO</t>
  </si>
  <si>
    <t>7N22 - CONSTRUCAO DE TRECHO RODOVIARIO - DIVISA BA/PI - DIVISA PI/MA - NA BR-235/PI</t>
  </si>
  <si>
    <t>217U - APOIO A MANUTENCAO DOS POLOS DE ACADEMIA DA SAUDE</t>
  </si>
  <si>
    <t>6013 - OCEANOS, ZONA COSTEIRA E ANTARTICA</t>
  </si>
  <si>
    <t>2345 - APOIO LOGISTICO A PESQUISA CIENTIFICA NA ANTARTICA</t>
  </si>
  <si>
    <t>10ZW - RECUPERACAO HIDROAMBIENTAL NAS BACIAS HIDROGRAFICAS NA AREA DE ATUACAO DA CODEVASF</t>
  </si>
  <si>
    <t>20GP - JULGAMENTO DE CAUSAS E GESTAO ADMINISTRATIVA NA JUSTICA ELEITORAL</t>
  </si>
  <si>
    <t>10JQ - ADEQUACAO DE TRECHO RODOVIARIO - SAO FRANCISCO DO SUL - JARAGUA DO SUL - NA BR-280/SC</t>
  </si>
  <si>
    <t>14PC - CONSTRUCAO DA SEGUNDA PONTE SOBRE O RIO GUAIBA E ACESSOS - NA BR-116/290/RS</t>
  </si>
  <si>
    <t>7S61 - CONSTRUCAO DE TRECHO RODOVIARIO - NOVO REPARTIMENTO - TUCURUI - NA BR-422/PA</t>
  </si>
  <si>
    <t>20Y3 - PROMOCAO E MARKETING DO TURISMO NO MERCADO NACIONAL</t>
  </si>
  <si>
    <t>108X - IMPLANTACAO DE POSTOS DE PESAGEM</t>
  </si>
  <si>
    <t>2325 - OPERACAO DE PESAGEM E AUTORIZACOES ESPECIAIS DE TRANSITO DE VEICULOS</t>
  </si>
  <si>
    <t>6438 - CAPACITACAO DE RECURSOS HUMANOS PARA TRANSPORTES COLETIVOS URBANOS</t>
  </si>
  <si>
    <t>21CE - IMPLEMENTACAO DE POLITICAS DE ATENCAO PRIMARIA A SAUDE</t>
  </si>
  <si>
    <t>2397 - LEVANTAMENTOS HIDROGEOLOGICOS, ESTUDOS INTEGRADOS EM RECURSOS HIDRICOS PARA GESTAO E AMPLIACAO DA OFERTA HIDRICA</t>
  </si>
  <si>
    <t>2238 - ARRECADACAO TRIBUTARIA E ADUANEIRA</t>
  </si>
  <si>
    <t>8873 - APOIO AO FORTALECIMENTO INSTITUCIONAL DOS AGENTES INTEGRANTES DO SISTEMA NACIONAL DE HABITACAO DE INTERESSE SOCIAL - SNHIS</t>
  </si>
  <si>
    <t>00T1 - APOIO A POLITICA NACIONAL DE DESENVOLVIMENTO URBANO VOLTADO A IMPLANTACAO E QUALIFICACAO VIARIA</t>
  </si>
  <si>
    <t>8690 - FISCALIZACAO E CONTROLE DO USO E OCUPACAO DE IMOVEIS DA UNIAO</t>
  </si>
  <si>
    <t>2478 - PRODUCAO E FORNECIMENTO DE RADIOFARMACOS NO PAIS</t>
  </si>
  <si>
    <t>21BJ - DESENVOLVIMENTO DO DESPORTO NACIONAL E MILITAR</t>
  </si>
  <si>
    <t>219M - IMPLEMENTACAO DO PROGRAMA DE PROTECAO INTEGRADA DE FRONTEIRAS (PPIF)</t>
  </si>
  <si>
    <t>00O0 - CONCESSAO DE BOLSAS DE APOIO A EDUCACAO BASICA</t>
  </si>
  <si>
    <t>15F1 - DISPONIBILIZACAO DE PROPRIOS NACIONAIS RESIDENCIAIS PARA OS COMANDOS MILITARES</t>
  </si>
  <si>
    <t>0A81 - FINANCIAMENTO DE OPERACOES NO AMBITO DO PROGRAMA NACIONAL DE FORTALECIMENTO DA AGRICULTURA FAMILIAR - PRONAF (LEI N. 10.186, DE 2001)</t>
  </si>
  <si>
    <t>20XS - PRESTACAO DE ENSINO ASSISTENCIAL NA FUNDACAO OSORIO</t>
  </si>
  <si>
    <t>0509 - APOIO AO DESENVOLVIMENTO DA EDUCACAO BASICA</t>
  </si>
  <si>
    <t>8585 - ATENCAO A SAUDE DA POPULACAO PARA PROCEDIMENTOS EM MEDIA E ALTA COMPLEXIDADE</t>
  </si>
  <si>
    <t>2684 - ACOES DE INTELIGENCIA</t>
  </si>
  <si>
    <t>2203 - PESQUISA E INOVACAO AGROPECUARIA</t>
  </si>
  <si>
    <t>2113 - PROGRAMA DE GESTAO E MANUTENCAO DO MINISTERIO DA PESCA E AQUICULTURA</t>
  </si>
  <si>
    <t>15F9 - APRIMORAMENTO DA INFRAESTRUTURA DA POLICIA FEDERAL</t>
  </si>
  <si>
    <t>0739 - INDENIZACAO A ANISTIADOS POLITICOS EM PRESTACAO UNICA OU EM PRESTACAO MENSAL, PERMANENTE E CONTINUADA, NOS TERMOS DA LEI N. 10.559, DE 2002</t>
  </si>
  <si>
    <t>2115 - PROGRAMA DE GESTAO E MANUTENCAO DO MINISTERIO DA SAUDE</t>
  </si>
  <si>
    <t>20K2 - FOMENTO A PESQUISA E AO DESENVOLVIMENTO TECNOLOGICO, COM VISTAS AO APRIMORAMENTO E A SUSTENTABILIDADE DOS SERVICOS E ACOES DE SAUDE AMBIENTAL</t>
  </si>
  <si>
    <t>20T4 - ATIVIDADES DO CENTRO DE APOIO A SISTEMAS LOGISTICOS DE DEFESA</t>
  </si>
  <si>
    <t>20LO - OPERACAO DE ECLUSAS</t>
  </si>
  <si>
    <t>21DH - IMPLANTACAO, AMPLIACAO, MELHORIAS OU ADEQUACAO DE SISTEMAS DE ABASTECIMENTO DE AGUA EM AREAS DE ATUACAO DA CODEVASF</t>
  </si>
  <si>
    <t>20XL - SAUDE EM OPERACOES MILITARES</t>
  </si>
  <si>
    <t>2017 - COMUNICACAO INSTITUCIONAL</t>
  </si>
  <si>
    <t>00R3 - RACIONALIZACAO E MODERNIZACAO DO SISTEMA PENAL</t>
  </si>
  <si>
    <t>0312 - SERVICOS PUBLICOS DE EDUCACAO DO DISTRITO FEDERAL</t>
  </si>
  <si>
    <t>21C9 - IMPLANTACAO, AMPLIACAO OU MELHORIA DE ACOES E SERVICOS SUSTENTAVEIS DE SANEAMENTO BASICO EM PEQUENAS COMUNIDADES RURAIS (LOCALIDADES DE PEQUENO PORTE) OU EM COMUNIDADES TRADICIONAIS (REMANESCENTES DE QUILOMBOS)</t>
  </si>
  <si>
    <t>7XI6 - ADEQUACAO DE TRECHO RODOVIARIO - PORTO ALEGRE - NOVO HAMBURGO - NA BR-116/RS</t>
  </si>
  <si>
    <t>217Z - GESTAO DO SISTEMA NACIONAL DE CERTIFICACAO DIGITAL DA INFRAESTRUTURA DE CHAVES PUBLICAS - ICP - BRASIL E DE OUTRAS TECNOLOGIAS DE SEGURANCA DA INFORMACAO E IDENTIFICACAO DIGITAL</t>
  </si>
  <si>
    <t>20Y2 - REGISTRO, MONITORAMENTO E CERTIFICACAO DA ATIVIDADE PESQUEIRA</t>
  </si>
  <si>
    <t>7L04 - ADEQUACAO DE TRECHO RODOVIARIO - PORTO ALEGRE - PELOTAS - NA BR-116/RS</t>
  </si>
  <si>
    <t>2994 - ASSISTENCIA AOS ESTUDANTES DAS INSTITUICOES FEDERAIS DE EDUCACAO PROFISSIONAL E TECNOLOGICA</t>
  </si>
  <si>
    <t>21AS - FORTALECIMENTO DA FAMILIA</t>
  </si>
  <si>
    <t>00T3 - APOIO A SISTEMAS DE TRANSPORTE PUBLICO COLETIVO URBANO</t>
  </si>
  <si>
    <t>00NR - MANUTENCAO DAS POLICIAS CIVIL E MILITAR E DO CORPO DE BOMBEIROS DO DISTRITO FEDERAL</t>
  </si>
  <si>
    <t>0605 - RESSARCIMENTO AO GESTOR DO FUNDO NACIONAL DE DESESTATIZACAO (LEI N. 9.491, DE 1997)</t>
  </si>
  <si>
    <t>1ABD - PROGRAMA DE DESENVOLVIMENTO COM. INDIGENA SARARE</t>
  </si>
  <si>
    <t>21DJ - ESTUDOS E PROJETOS PARA IMPLANTACAO DE PROJETOS PUBLICOS DE IRRIGACAO</t>
  </si>
  <si>
    <t>215A - DESENVOLVIMENTO DAS CADEIAS PRODUTIVAS DA AGROPECUARIA</t>
  </si>
  <si>
    <t>21CP - OPERACIONALIZACAO DO AUXILIO EMERGENCIAL PARA ENFRENTAMENTO DA EMERGENCIA DE SAUDE PUBLICA DE IMPORTANCIA INTERNACIONAL DECORRENTE DO CORONAVIRUS (COVID-19)</t>
  </si>
  <si>
    <t>219G - ESTRUTURACAO DA REDE DE SERVICOS DO SISTEMA UNICO DE ASSISTENCIA SOCIAL (SUAS)</t>
  </si>
  <si>
    <t>00PH - CONCESSAO DE BOLSAS E AUXILIO FINANCEIRO PARA PROMOVER A ALFABETIZACAO, A ELEVACAO DA ESCOLARIDADE E A INTEGRACAO A QUALIFICACAO PROFISSIONAL, NA EDUCACAO DE JOVENS E ADULTOS</t>
  </si>
  <si>
    <t>20WI - IMPLEMENTACAO DA POLITICA NACIONAL DE RECURSOS HIDRICOS</t>
  </si>
  <si>
    <t>21CL - RECOMPOSICAO DO NUCLEO DO PODER NAVAL</t>
  </si>
  <si>
    <t>10SG - APOIO A SISTEMAS DE DRENAGEM URBANA SUSTENTAVEL E DE MANEJO DE AGUAS PLUVIAIS EM MUNICIPIOS CRITICOS SUJEITOS A EVENTOS RECORRENTES DE INUNDACOES, ENXURRADAS E ALAGAMENTOS</t>
  </si>
  <si>
    <t>2137 - FISCALIZACAO DOS ESTOQUES E DAS OPERACOES DE GARANTIA E SUSTENTACAO DE PRECOS NA COMERCIALIZACAO DE PRODUTOS AGROPECUARIOS</t>
  </si>
  <si>
    <t>2B00 - ATUACAO DA FORCA NACIONAL DE SEGURANCA PUBLICA</t>
  </si>
  <si>
    <t>218R - MONITORAMENTO AMBIENTAL E GESTAO DA INFORMACAO SOBRE O MEIO AMBIENTE E EDUCACAO AMBIENTAL</t>
  </si>
  <si>
    <t>2B28 - APOIO AO DESENVOLVIMENTO DE TECNOLOGIAS DE INTERESSE DA DEFESA NACIONAL</t>
  </si>
  <si>
    <t>21BX - BONUS DE EFICIENCIA E PRODUTIVIDADE DE SERVIDORES ATIVOS DA UNIAO</t>
  </si>
  <si>
    <t>122X - IMPLANTACAO DO SISTEMA DE ATENDIMENTO PORTUARIO UNIFICADO</t>
  </si>
  <si>
    <t>21B8 - DESENVOLVIMENTO SUSTENTAVEL DA BIOECONOMIA</t>
  </si>
  <si>
    <t>6179 - COMUNICACAO E INFORMACOES PARA A EDUCACAO EM SAUDE E EM CIENCIA E TECNOLOGIA</t>
  </si>
  <si>
    <t>2048 - MOBILIDADE URBANA E TRANSITO</t>
  </si>
  <si>
    <t>10SS - SISTEMAS DE TRANSPORTE PUBLICO COLETIVO URBANO</t>
  </si>
  <si>
    <t>20QG - ATUACAO INTERNACIONAL DO MINISTERIO DA SAUDE</t>
  </si>
  <si>
    <t>14XS - IMPLEMENTACAO DA CASA DA MULHER BRASILEIRA E DE CENTROS DE ATENDIMENTO AS MULHERES</t>
  </si>
  <si>
    <t>7690 - ESTRUTURACAO DOS SERVICOS DE HEMATOLOGIA E HEMOTERAPIA</t>
  </si>
  <si>
    <t>8287 - APRIMORAMENTO DA ARTICULACAO E COOPERACAO INTERFEDERATIVA EM SAUDE</t>
  </si>
  <si>
    <t>218T - MANUTENCAO E OPERACAO DA INFRAESTRUTURA DE TECNOLOGIA DA INFORMACAO</t>
  </si>
  <si>
    <t>6149 - RESIDENCIA DE PROFISSIONAIS DE SAUDE - SUS</t>
  </si>
  <si>
    <t>4693 - SEGURANCA INSTITUCIONAL DO PRESIDENTE DA REPUBLICA E DO VICE-PRESIDENTE DA REPUBLICA, RESPECTIVOS FAMILIARES, E OUTRAS AUTORIDADES</t>
  </si>
  <si>
    <t>214T - GESTAO, OPERACAO E MANUTENCAO DO PROJETO DE INTEGRACAO DO RIO SAO FRANCISCO - PISF</t>
  </si>
  <si>
    <t>1248 - CONSTRUCAO DE TRECHO RODOVIARIO - MANAUS - DIVISA AM/RO - NA BR-319/AM</t>
  </si>
  <si>
    <t>4926 - REGULACAO E FISCALIZACAO DOS USOS DE RECURSOS HIDRICOS, DOS SERVICOS DE IRRIGACAO E ADUCAO DE AGUA BRUTA E DA SEGURANCA DE BARRAGENS</t>
  </si>
  <si>
    <t>21BP - APRIMORAMENTO DO SISTEMA PENITENCIARIO NACIONAL E INCENTIVO AO DESENVOLVIMENTO DA INTELIGENCIA PENITENCIARIA</t>
  </si>
  <si>
    <t>20ZH - PRESERVACAO DO PATRIMONIO CULTURAL BRASILEIRO</t>
  </si>
  <si>
    <t>2593 - FUNCIONAMENTO DAS UNIDADES DESCENTRALIZADAS DA PREVIDENCIA SOCIAL</t>
  </si>
  <si>
    <t>00M3 - SUBVENCAO ECONOMICA NAS OPERACOES DE FINANCIAMENTO AO SETOR PRODUTIVO PARA O DESENVOLVIMENTO REGIONAL (LEI N. 12.712, DE 2012)</t>
  </si>
  <si>
    <t>0908 - OPERACOES ESPECIAIS: REFINANCIAMENTO DA DIVIDA EXTERNA</t>
  </si>
  <si>
    <t>0243 - REFINANCIAMENTO DA DIVIDA PUBLICA MOBILIARIA FEDERAL EXTERNA</t>
  </si>
  <si>
    <t>15W6 - IMPLANTACAO DO PROGRAMA ESTRATEGICO DO EXERCITO LUCERNA (PRG EE LUCERNA)</t>
  </si>
  <si>
    <t>218K - INATIVOS MILITARES DOS EX-TERRITORIOS E DO ANTIGO ESTADO DA GUANABARA</t>
  </si>
  <si>
    <t>8327 - MANUTENCAO DE SERVICO LABORATORIAL DE REFERENCIA PARA O CONTROLE DE DOENCAS</t>
  </si>
  <si>
    <t>2244 - RECUPERACAO DE CREDITOS, CONSULTORIA, REPRESENTACAO JUDICIAL E EXTRAJUDICIAL DA FAZENDA NACIONAL</t>
  </si>
  <si>
    <t>218E - ARMAZENAMENTO DE REJEITOS RADIATIVOS</t>
  </si>
  <si>
    <t>13X5 - ADEQUACAO DE TRAVESSIA URBANA EM IMPERATRIZ - NA BR-010/MA</t>
  </si>
  <si>
    <t>210U - ORGANIZACAO DA ESTRUTURA FUNDIARIA</t>
  </si>
  <si>
    <t>123G - IMPLANTACAO DE ESTALEIRO E BASE NAVAL PARA CONSTRUCAO E MANUTENCAO DE SUBMARINOS CONVENCIONAIS E NUCLEARES</t>
  </si>
  <si>
    <t>123I - CONSTRUCAO DE SUBMARINOS CONVENCIONAIS</t>
  </si>
  <si>
    <t>20RW - APOIO A FORMACAO PROFISSIONAL, CIENTIFICA E TECNOLOGICA</t>
  </si>
  <si>
    <t>8535 - ESTRUTURACAO DE UNIDADES DE ATENCAO ESPECIALIZADA EM SAUDE</t>
  </si>
  <si>
    <t>15VX - CONSTRUCAO DO CENTRO DE DESENVOLVIMENTO TECNOLOGICO EM SAUDE - CDTS</t>
  </si>
  <si>
    <t>4086 - FUNCIONAMENTO E GESTAO DE INSTITUICOES HOSPITALARES FEDERAIS</t>
  </si>
  <si>
    <t>00QD - PENSOES MILITARES DOS EX-TERRITORIOS E DO ANTIGO ESTADO DA GUANABARA</t>
  </si>
  <si>
    <t>2592 - AUTORIZACAO, MONITORAMENTO E FISCALIZACAO DAS ENTIDADES FECHADAS DE PREVIDENCIA COMPLEMENTAR</t>
  </si>
  <si>
    <t>20YD - EDUCACAO E FORMACAO EM SAUDE</t>
  </si>
  <si>
    <t>2202 - DEFESA AGROPECUARIA</t>
  </si>
  <si>
    <t>20XB - PESQUISA E DESENVOLVIMENTO NO SETOR AEROESPACIAL</t>
  </si>
  <si>
    <t>8719 - VIGILANCIA SANITARIA DE PRODUTOS, SERVICOS E AMBIENTES</t>
  </si>
  <si>
    <t>7N85 - CONSTRUCAO DE TRECHO RODOVIARIO - TIMBE DO SUL - DIVISA SC/RS - NA BR-285/SC</t>
  </si>
  <si>
    <t>6503 - CENSO ESCOLAR DA EDUCACAO SUPERIOR</t>
  </si>
  <si>
    <t>2161 - PRODUCAO E DIVULGACAO DE INFORMACOES METEOROLOGICAS E CLIMATOLOGICAS</t>
  </si>
  <si>
    <t>14VI - IMPLANTACAO DE INFRAESTRUTURAS PARA SEGURANCA HIDRICA</t>
  </si>
  <si>
    <t>00IN - BENEFICIOS DE PRESTACAO CONTINUADA (BPC) A PESSOA COM DEFICIENCIA E DA RENDA MENSAL VITALICIA (RMV) POR INVALIDEZ</t>
  </si>
  <si>
    <t>7674 - MODERNIZACAO DE UNIDADES DA FUNDACAO OSWALDO CRUZ</t>
  </si>
  <si>
    <t>154T - CONSTRUCAO DE UNIDADES OPERACIONAIS E ADMINISTRATIVAS DA PRF</t>
  </si>
  <si>
    <t>218Y - DESPESAS JUDICIAIS DA UNIAO, DE SUAS AUTARQUIAS E FUNDACOES PUBLICAS</t>
  </si>
  <si>
    <t>7XN4 - IMPLANTACAO DO COLEGIO MILITAR DE SAO PAULO (CMSP)</t>
  </si>
  <si>
    <t>6147 - COOPERACAO INTERNACIONAL EM CIENCIA, TECNOLOGIA E INOVACAO</t>
  </si>
  <si>
    <t>21D5 - GESTAO DE POLITICAS DE PROTECAO DE DADOS</t>
  </si>
  <si>
    <t>21D2 - RECOMPOSICAO DA CAPACIDADE E DOS MEIOS DA FORCA TERRESTRE</t>
  </si>
  <si>
    <t>7I71 - CONSTRUCAO DE CONTORNO RODOVIARIO EM JATAI - NA BR-060/GO</t>
  </si>
  <si>
    <t>20GN - EDUCACAO PREVIDENCIARIA E FINANCEIRA</t>
  </si>
  <si>
    <t>218A - INOVACAO, DIFUSAO E AMPLIACAO DO ACESSO A PRODUCAO AUDIOVISUAL BRASILEIRA</t>
  </si>
  <si>
    <t>20X9 - CAPACITACAO PROFISSIONAL DA AERONAUTICA</t>
  </si>
  <si>
    <t>15R4 - APOIO A CONSOLIDACAO E REESTRUTURACAO DAS INSTITUICOES DA REDE FEDERAL DE EDUCACAO PROFISSIONAL, CIENTIFICA E TECNOLOGICA</t>
  </si>
  <si>
    <t>20EY - OPERACAO E MANUTENCAO DE PROJETOS PUBLICOS DE IRRIGACAO DE INTERESSE SOCIAL</t>
  </si>
  <si>
    <t>21AA - FOMENTO E IMPLEMENTACAO DE PROJETOS RELACIONADOS A AREAS PROTEGIDAS</t>
  </si>
  <si>
    <t>4590 - QUALIFICACAO E CERTIFICACAO NO TURISMO</t>
  </si>
  <si>
    <t>7242 - CONSTRUCAO DE TRECHO RODOVIARIO - CANTA - NOVO PARAISO - NA BR-432/RR</t>
  </si>
  <si>
    <t>7624 - ADEQUACAO DE TRECHO RODOVIARIO - DIVISA AL/PE - DIVISA AL/SE - NA BR-101/AL</t>
  </si>
  <si>
    <t>216R - DESENVOLVIMENTO DE INICIATIVAS DE INOVACAO, ESTUDOS, PESQUISAS E PUBLICACOES</t>
  </si>
  <si>
    <t>20JP - DESENVOLVIMENTO DE ATIVIDADES E APOIO A PROJETOS E EVENTOS DE ESPORTE, EDUCACAO, LAZER E INCLUSAO SOCIAL</t>
  </si>
  <si>
    <t>20YU - FISCALIZACAO DE OBRIGACOES TRABALHISTAS E INSPECAO EM SEGURANCA E SAUDE NO TRABALHO</t>
  </si>
  <si>
    <t>20Y8 - DESENVOLVIMENTO DA CAFEICULTURA</t>
  </si>
  <si>
    <t>2218 - GESTAO DE RISCOS E DE DESASTRES</t>
  </si>
  <si>
    <t>20GB - MONITORAMENTO E ALERTA DE DESASTRES NATURAIS - CEMADEN</t>
  </si>
  <si>
    <t>7S51 - CONSTRUCAO DE CONTORNO RODOVIARIO (CONTORNO DE MESTRE ALVARO) EM SERRA - NA BR-101/ES</t>
  </si>
  <si>
    <t>2C55 - DISSEMINACAO DE CONDUTA ETICA NO PODER EXECUTIVO FEDERAL</t>
  </si>
  <si>
    <t>7530 - ADEQUACAO DE TRECHO RODOVIARIO - NAVEGANTES - RIO DO SUL - NA BR-470/SC</t>
  </si>
  <si>
    <t>6702 - APOIO A PROJETOS E EVENTOS DE EDUCACAO, DIVULGACAO E POPULARIZACAO DA PESQUISA E DESENVOLVIMENTO</t>
  </si>
  <si>
    <t>15P7 - MODERNIZACAO E AMPLIACAO DA INFRAESTRUTURA DE TECNOLOGIA DA INFORMACAO</t>
  </si>
  <si>
    <t>2911 - LOGISTICA INTEGRADA EM PROVEITO DE ORGANIZACOES MILITARES DE ENGENHARIA DO EXERCITO</t>
  </si>
  <si>
    <t>10S5 - APOIO A EMPREENDIMENTOS DE SANEAMENTO INTEGRADO EM MUNICIPIOS COM POPULACAO SUPERIOR A 50 MIL HABITANTES OU MUNICIPIOS INTEGRANTES DE REGIOES METROPOLITANAS OU DE REGIOES INTEGRADAS DE DESENVOLVIMENTO</t>
  </si>
  <si>
    <t>157N - ADEQUACAO DA BRIGADA ANFIBIA DE FUZILEIROS NAVAIS - PROBANF</t>
  </si>
  <si>
    <t>1D73 - APOIO A POLITICA NACIONAL DE DESENVOLVIMENTO URBANO VOLTADO A IMPLANTACAO E QUALIFICACAO VIARIA</t>
  </si>
  <si>
    <t>2563 - GESTAO DA MELHORIA CONTINUA</t>
  </si>
  <si>
    <t>4269 - PLEITOS ELEITORAIS</t>
  </si>
  <si>
    <t>2111 - PROGRAMA DE GESTAO E MANUTENCAO DO MINISTERIO DO DESENVOLVIMENTO REGIONAL</t>
  </si>
  <si>
    <t>0483 - CONTRIBUICAO A CONVENCAO SOBRE DIVERSIDADE BIOLOGICA - CDB (MMA)</t>
  </si>
  <si>
    <t>211F - FUNCIONAMENTO DE ESPACOS E EQUIPAMENTOS CULTURAIS</t>
  </si>
  <si>
    <t>21DP - TRANSFERENCIA DE RENDA RELATIVA AOS BENEFICIOS E AUXILIOS DO PROGRAMA AUXILIO BRASIL (LEI N. 14.284, DE 29 DE DEZEMBRO DE 2021)</t>
  </si>
  <si>
    <t>2D55 - IMPLEMENTACAO DE POLITICA, ESTRATEGIA E ASSUNTOS INTERNACIONAIS NA AREA DE DEFESA</t>
  </si>
  <si>
    <t>216Z - GESTAO E PROMOCAO DO PROGRAMA DE PARCERIAS DE INVESTIMENTOS</t>
  </si>
  <si>
    <t>20ZM - PRODUCAO E DIFUSAO DE CONHECIMENTO NA AREA CULTURAL</t>
  </si>
  <si>
    <t>21DL - IMPLANTACAO, AMPLIACAO, MELHORIA OU ADEQUACAO DE SISTEMAS DE ESGOTAMENTO SANITARIO NA AREA DE ATUACAO DA CODEVASF</t>
  </si>
  <si>
    <t>00IG - CONCESSAO DE FINANCIAMENTO ESTUDANTIL - FIES (LEI N. 10.260, DE 2001)</t>
  </si>
  <si>
    <t>0C01 - VALORES RETROATIVOS A ANISTIADOS POLITICOS NOS TERMOS DA LEI N. 11.354, DE 19/10/2006</t>
  </si>
  <si>
    <t>2792 - DISTRIBUICAO DE ALIMENTOS A GRUPOS POPULACIONAIS TRADICIONAIS E ESPECIFICOS E A FAMILIAS EM SITUACAO DE INSEGURANCA ALIMENTAR E NUTRICIONAL TEMPORARIA</t>
  </si>
  <si>
    <t>1ABG - PROJETO COMUNIDADE INDIGENA ASSURINI</t>
  </si>
  <si>
    <t>4031 - FOMENTO A PROJETOS INSTITUCIONAIS PARA PESQUISA NO SETOR DE BIOTECNOLOGIA (CT-BIOTECNOLOGIA)</t>
  </si>
  <si>
    <t>20YN - SISTEMAS DE TECNOLOGIA DE INFORMACAO E COMUNICACAO PARA A SAUDE (E-SAUDE)</t>
  </si>
  <si>
    <t>147F - IMPLANTACAO DE SISTEMA DE DEFESA CIBERNETICA PARA A DEFESA NACIONAL</t>
  </si>
  <si>
    <t>20ZY - DESENVOLVIMENTO SUSTENTAVEL DA CADEIA PRODUTIVA DO CACAU</t>
  </si>
  <si>
    <t>20X5 - OPERACOES DE COMANDO E CONTROLE DA DEFESA NACIONAL</t>
  </si>
  <si>
    <t>215I - CONSOLIDACAO DA IMPLANTACAO DO SISTEMA NACIONAL DE SEGURANCA ALIMENTAR E NUTRICIONAL - SISAN</t>
  </si>
  <si>
    <t>2126 - PROGRAMA DE GESTAO E MANUTENCAO DO MINISTERIO DA INFRAESTRUTURA</t>
  </si>
  <si>
    <t>20UA - ESTUDOS, PROJETOS E PLANEJAMENTO DE INFRAESTRUTURA DE TRANSPORTES (PROGRAMA DE ACELERACAO DO CRESCIMENTO)</t>
  </si>
  <si>
    <t>14T4 - IMPLANTACAO DO PROJETO FORCAS BLINDADAS</t>
  </si>
  <si>
    <t>1058 - MUDANCA DO CLIMA</t>
  </si>
  <si>
    <t>216W - PESQUISA E DESENVOLVIMENTO PARA ESTUDOS DE TEMPO, CLIMA, OBSERVACAO E MODELAGEM DO SISTEMA TERRESTRE</t>
  </si>
  <si>
    <t>6925 - LICENCIAMENTO AMBIENTAL FEDERAL</t>
  </si>
  <si>
    <t>210V - ESTRUTURACAO E INCLUSAO PRODUTIVA DOS AGRICULTORES FAMILIARES E DOS PEQUENOS E MEDIOS PRODUTORES RURAIS</t>
  </si>
  <si>
    <t>4815 - FUNCIONAMENTO DAS UNIDADES DESCENTRALIZADAS</t>
  </si>
  <si>
    <t>4909 - FUNCIONAMENTO DE PROGRAMAS DE POS-GRADUACAO E DEMAIS ATIVIDADES EDUCATIVAS EM BOTANICA E MEIO AMBIENTE E CAMPOS AFINS</t>
  </si>
  <si>
    <t>00H5 - BENEFICIOS DE PRESTACAO CONTINUADA (BPC) A PESSOA IDOSA E DA RENDA MENSAL VITALICIA (RMV) POR IDADE</t>
  </si>
  <si>
    <t>21DG - RECUPERACAO HIDROAMBIENTAL NAS BACIAS HIDROGRAFICAS NA AREA DE ATUACAO DA CODEVASF</t>
  </si>
  <si>
    <t>21BQ - IMPLEMENTACAO DE POLITICAS DE SEGURANCA PUBLICA, PREVENCAO, E ENFRENTAMENTO A CRIMINALIDADE</t>
  </si>
  <si>
    <t>2110 - PROGRAMA DE GESTAO E MANUTENCAO DO MINISTERIO DA ECONOMIA</t>
  </si>
  <si>
    <t>20VF - FORTALECIMENTO INSTITUCIONAL</t>
  </si>
  <si>
    <t>20QF - PESQUISAS, ENSINO E INOVACOES TECNOLOGICAS BIOMEDICAS E EM MEDICINA TROPICAL E MEIO AMBIENTE</t>
  </si>
  <si>
    <t>2054 - PLANEJAMENTO URBANO</t>
  </si>
  <si>
    <t>2869 - OPERACAO DAS LINHAS DE NAVEGACAO NO LAGO DE TRES MARIAS</t>
  </si>
  <si>
    <t>00NT - OUTROS BENEFICIOS DAS POLICIAS CIVIL E MILITAR E DO CORPO DE BOMBEIROS DO DISTRITO FEDERAL</t>
  </si>
  <si>
    <t>21BF - PESQUISA, DESENVOLVIMENTO TECNOLOGICO E INOVACAO EM SAUDE</t>
  </si>
  <si>
    <t>2452 - ADEQUACAO DA INFRAESTRUTURA DOS PELOTOES ESPECIAIS DE FRONTEIRA DA REGIAO DO CALHA NORTE</t>
  </si>
  <si>
    <t>2993 - OUVIDORIA SETORIAL DA AGENCIA NACIONAL DE ENERGIA ELETRICA</t>
  </si>
  <si>
    <t>7E79 - CONSTRUCAO DE TRECHO RODOVIARIO - URUACU - DIVISA GO/MT - NA BR-080/GO</t>
  </si>
  <si>
    <t>20WX - RELACOES E NEGOCIACOES MULTILATERAIS</t>
  </si>
  <si>
    <t>20I7 - PROMOCAO DA POLITICA NACIONAL DE JUSTICA</t>
  </si>
  <si>
    <t>211B - AQUISICAO DE TERRAS</t>
  </si>
  <si>
    <t>4727 - DIAGNOSTICOS, PROSPECCOES E ESTRATEGIAS DO DESENVOLVIMENTO BRASILEIRO</t>
  </si>
  <si>
    <t>0546 - TRANSFERENCIAS DE COTAS-PARTES DA COMPENSACAO FINANCEIRA PELA UTILIZACAO DE RECURSOS HIDRICOS PARA FINS DE GERACAO DE ENERGIA ELETRICA (LEI N. 8.001, DE 1990 - ART.1.)</t>
  </si>
  <si>
    <t>20U1 - APERFEICOAMENTO DA GESTAO PUBLICA</t>
  </si>
  <si>
    <t>2017 - AVIACAO CIVIL</t>
  </si>
  <si>
    <t>20X1 - PARTICIPACAO BRASILEIRA EM MISSOES DE PAZ E EM DESMINAGEM HUMANITARIA</t>
  </si>
  <si>
    <t>14KP - ADEQUACAO DA INFRAESTRUTURA TURISTICA PUBLICA PARA OS GRANDES EVENTOS ESPORTIVOS</t>
  </si>
  <si>
    <t>21D3 - MODERNIZACAO E ADEQUACAO DO SISTEMA DE AVIACAO DO EXERCITO</t>
  </si>
  <si>
    <t>2591 - RECONHECIMENTO DE DIREITOS DE BENEFICIOS PREVIDENCIARIOS</t>
  </si>
  <si>
    <t>20YQ - APOIO INSTITUCIONAL PARA APRIMORAMENTO DO SUS</t>
  </si>
  <si>
    <t>20UW - SEGURANCA NUCLEAR, CONTROLE DE MATERIAL NUCLEAR E PROTECAO FISICA DE INSTALACOES NUCLEARES E RADIATIVAS</t>
  </si>
  <si>
    <t>2912 - REGULACAO E FISCALIZACAO DA AVIACAO CIVIL</t>
  </si>
  <si>
    <t>21BK - MANUTENCAO DAS ESTRUTURAS DO PROGRAMA ESTRATEGICO DE SISTEMAS ESPACIAIS</t>
  </si>
  <si>
    <t>20Z6 - GESTAO DE POLITICAS ECONOMICAS E FISCAIS</t>
  </si>
  <si>
    <t>2095 - FOMENTO A PROJETOS DE IMPLANTACAO, RECUPERACAO E MODERNIZACAO DA INFRAESTRUTURA DE PESQUISA DAS INSTITUICOES PUBLICAS (CT-INFRA)</t>
  </si>
  <si>
    <t>20UC - ESTUDOS, PROJETOS E PLANEJAMENTO DE INFRAESTRUTURA DE TRANSPORTES</t>
  </si>
  <si>
    <t>00OM - INDENIZACAO A SERVIDORES EM EXERCICIO EM LOCALIDADES DE FRONTEIRA (LEI N. 12.855, DE 2013)</t>
  </si>
  <si>
    <t>7L92 - CONSTRUCAO DE PONTE SOBRE O RIO ARAGUAIA EM XAMBIOA - NA BR-153/TO</t>
  </si>
  <si>
    <t>8593 - APOIO AO DESENVOLVIMENTO DA PRODUCAO AGROPECUARIA SUSTENTAVEL</t>
  </si>
  <si>
    <t>8893 - APOIO A ORGANIZACAO, A GESTAO E A VIGILANCIA SOCIAL NO TERRITORIO, NO AMBITO DO SISTEMA UNICO DE ASSISTENCIA SOCIAL - SUAS</t>
  </si>
  <si>
    <t>20WN - EXECUCAO DE PESQUISA, MONITORAMENTO E CONSERVACAO DE ESPECIES E DO PATRIMONIO ESPELEOLOGICO</t>
  </si>
  <si>
    <t>211C - REFORMA AGRARIA E REGULARIZACAO FUNDIARIA</t>
  </si>
  <si>
    <t>00QY - ACORDOS REFERENTES A PASSIVOS ATUARIAIS DE ESTATAIS DEPENDENTES</t>
  </si>
  <si>
    <t>3002 - GEOLOGIA, MINERACAO E TRANSFORMACAO MINERAL</t>
  </si>
  <si>
    <t>2B51 - GESTAO E DISSEMINACAO DA INFORMACAO GEOLOGICA</t>
  </si>
  <si>
    <t>20Y1 - DESENVOLVIMENTO DA CADEIA PRODUTIVA DA PESCA</t>
  </si>
  <si>
    <t>20U7 - CENSOS DEMOGRAFICO, AGROPECUARIO E GEOGRAFICO</t>
  </si>
  <si>
    <t>8340 - INOVACAO PARA O DESENVOLVIMENTO REGIONAL</t>
  </si>
  <si>
    <t>20AG - APOIO A GESTAO DOS SISTEMAS DE SANEAMENTO BASICO EM MUNICIPIOS DE ATE 50.000 HABITANTES</t>
  </si>
  <si>
    <t>20K3 - AVALIACAO E INCORPORACAO DE TECNOLOGIAS DE SAUDE NO AMBITO DO SUS</t>
  </si>
  <si>
    <t>20LF - ESTUDOS DE INVENTARIO E VIABILIDADE PARA EXPANSAO DA GERACAO HIDRELETRICA</t>
  </si>
  <si>
    <t>00GW - SUBVENCAO ECONOMICA PARA GARANTIA E SUSTENTACAO DE PRECOS NA COMERCIALIZACAO DE PRODUTOS DA AGRICULTURA FAMILIAR (LEI N. 8.427, DE 1992)</t>
  </si>
  <si>
    <t>20N4 - OPERACAO E MANUTENCAO DE INFRAESTRUTURAS HIDRICAS</t>
  </si>
  <si>
    <t>00S6 - BENEFICIO ESPECIAL E DEMAIS COMPLEMENTACOES DE APOSENTADORIAS</t>
  </si>
  <si>
    <t>2294 - DEFESA JUDICIAL DA PREVIDENCIA SOCIAL BASICA</t>
  </si>
  <si>
    <t>215C - MANUTENCAO E MODERNIZACAO DA INFRAESTRUTURA FISICA DAS UNIDADES DA EMBRAPA</t>
  </si>
  <si>
    <t>0031 - FINANCIAMENTO AOS SETORES PRODUTIVOS DA REGIAO NORDESTE</t>
  </si>
  <si>
    <t>2050 - MUDANCA DO CLIMA</t>
  </si>
  <si>
    <t>20V9 - MONITORAMENTO DA COBERTURA DA TERRA E DO RISCO DE QUEIMADAS E INCENDIOS FLORESTAIS (INPE)</t>
  </si>
  <si>
    <t>21DK - GESTAO DE PROJETOS PUBLICOS DE IRRIGACAO</t>
  </si>
  <si>
    <t>214Z - FOMENTO A TECNOLOGIA AGROPECUARIA E AOS RECURSOS GENETICOS</t>
  </si>
  <si>
    <t>00RS - AJUDA DE CUSTO PARA MORADIA OU AUXILIO-MORADIA A AGENTES PUBLICOS DO FCDF</t>
  </si>
  <si>
    <t>214M - PREVENCAO E CONTROLE DE INCENDIOS FLORESTAIS NAS AREAS FEDERAIS PRIORITARIAS</t>
  </si>
  <si>
    <t>20ZA - FORTALECIMENTO DAS ACOES DE AUTORIDADE MONETARIA</t>
  </si>
  <si>
    <t>4210 - FORMULACAO, GESTAO E MANUTENCAO DE POLITICAS E DO SISTEMA NACIONAL DE CIENCIA, TECNOLOGIA E INOVACOES</t>
  </si>
  <si>
    <t>215N - PRESTACAO DE SERVICOS TECNOLOGICOS</t>
  </si>
  <si>
    <t>09HB - CONTRIBUICAO DA UNIAO, DE SUAS AUTARQUIAS E FUNDACOES PARA O CUSTEIO DO REGIME DE PREVIDENCIA DOS SERVIDORES PUBLICOS FEDERAIS</t>
  </si>
  <si>
    <t>0022 - SENTENCAS JUDICIAIS DEVIDAS POR EMPRESAS ESTATAIS</t>
  </si>
  <si>
    <t>20M4 - APOIO A IMPLEMENTACAO DE POLITICAS AGROAMBIENTAIS</t>
  </si>
  <si>
    <t>5032 - REDE DE SUPORTE SOCIAL AO DEPENDENTE QUIMICO: CUIDADOS,PREVENCAO E REINSERCAO SOCIAL</t>
  </si>
  <si>
    <t>20R9 - REDUCAO DA DEMANDA DE DROGAS</t>
  </si>
  <si>
    <t>7K66 - APOIO A PROJETOS DE DESENVOLVIMENTO SUSTENTAVEL LOCAL INTEGRADO</t>
  </si>
  <si>
    <t>216T - GESTAO, MANUTENCAO E APERFEICOAMENTO DA REDE NACIONAL DE TREINAMENTO</t>
  </si>
  <si>
    <t>21B4 - FOMENTO AO DESENVOLVIMENTO E MODERNIZACAO DOS SISTEMAS DE ENSINO DE EDUCACAO PROFISSIONAL E TECNOLOGICA</t>
  </si>
  <si>
    <t>10KR - CONSTRUCAO DE TRECHO RODOVIARIO - DIVISA PA/TO - ALTAMIRA - NA BR-230/PA</t>
  </si>
  <si>
    <t>00U1 - SUBVENCAO ECONOMICA DESTINADA A AQUISICAO E/OU CONSTRUCAO DE HABITACAO PARA PROFISSIONAIS DA SEGURANCA PUBLICA - PROGRAMA HABITE SEGURO</t>
  </si>
  <si>
    <t>2872 - MOBILIZACAO PARA O SERVICO MILITAR OBRIGATORIO</t>
  </si>
  <si>
    <t>123J - AQUISICAO DE HELICOPTEROS PARA EMPREGO DAS FORCAS ARMADAS</t>
  </si>
  <si>
    <t>20XV - OPERACAO DO SISTEMA DE CONTROLE DO ESPACO AEREO BRASILEIRO - SISCEAB</t>
  </si>
  <si>
    <t>6294 - PROMOCAO DE CURSOS PARA O DESENVOLVIMENTO LOCAL SUSTENTAVEL</t>
  </si>
  <si>
    <t>213Y - LEVANTAMENTOS GEOLOGICOS E INTEGRACAO GEOLOGICA REGIONAL</t>
  </si>
  <si>
    <t>2586 - MANUTENCAO DO SISTEMA DE EMISSAO DE PASSAPORTE, CONTROLE DO TRAFEGO INTERNACIONAL E DE REGISTROS DE ESTRANGEIROS</t>
  </si>
  <si>
    <t>20LA - MAPEAMENTOS GEOLOGICO-GEOTECNICOS VOLTADOS PARA A PREVENCAO DE DESASTRES</t>
  </si>
  <si>
    <t>20RH - GERENCIAMENTO DAS POLITICAS DE EDUCACAO</t>
  </si>
  <si>
    <t>21DD - REABILITACAO DE BARRAGENS E DE OUTRAS INFRAESTRUTURAS HIDRICAS</t>
  </si>
  <si>
    <t>21CB - IMPLANTACAO, AMPLIACAO E MELHORIA DE SISTEMAS PUBLICOS DE ESGOTAMENTO SANITARIO EM MUNICIPIOS COM ATE 50.000 HABITANTES, EXCLUSIVE EM REGIOES METROPOLITANAS (RM) OU REGIOES INTEGRADAS DE DESENVOLVIMENTO ECONOMICO (RIDE)</t>
  </si>
  <si>
    <t>4005 - PROTECAO JURIDICA DA UNIAO</t>
  </si>
  <si>
    <t>2674 - REPRESENTACAO JUDICIAL E EXTRAJUDICIAL DA UNIAO E SUAS AUTARQUIAS E FUNDACOES FEDERAIS</t>
  </si>
  <si>
    <t>21AZ - SISTEMA DE ESCRITURACAO DIGITAL DAS OBRIGACOES FISCAIS, PREVIDENCIARIAS E TRABALHISTAS - ESOCIAL</t>
  </si>
  <si>
    <t>21AX - GESTAO DAS POLITICAS DE PREVIDENCIA E TRABALHO</t>
  </si>
  <si>
    <t>0911 - OPERACOES ESPECIAIS - REMUNERACAO DE AGENTES FINANCEIROS</t>
  </si>
  <si>
    <t>00M4 - REMUNERACAO A AGENTES FINANCEIROS</t>
  </si>
  <si>
    <t>7S80 - CONSTRUCAO DE CONTORNO RODOVIARIO EM BARRA DO GARCAS - NA BR-070/MT</t>
  </si>
  <si>
    <t>2048 - MANUTENCAO E SUPRIMENTO DE MATERIAL AERONAUTICO</t>
  </si>
  <si>
    <t>21BW - BONUS DE EFICIENCIA E PRODUTIVIDADE DE SERVIDORES INATIVOS E PENSIONISTAS DA UNIAO</t>
  </si>
  <si>
    <t>00QN - INATIVOS E PENSIONISTAS DA POLICIA CIVIL DO DISTRITO FEDERAL</t>
  </si>
  <si>
    <t>21BY - FISCALIZACAO DA NAVEGACAO AQUAVIARIA</t>
  </si>
  <si>
    <t>20X4 - MANUTENCAO E APRIMORAMENTO DO CENTRO GESTOR E OPERACIONAL DO SISTEMA DE PROTECAO DA AMAZONIA - CENSIPAM</t>
  </si>
  <si>
    <t>219U - APOIO AO FUNCIONAMENTO E MODERNIZACAO DAS INSTITUICOES DA REDE FEDERAL DE EDUCACAO PROFISSIONAL, CIENTIFICA E TECNOLOGICA</t>
  </si>
  <si>
    <t>20V6 - FOMENTO A PESQUISA E DESENVOLVIMENTO VOLTADOS A INOVACAO, A TECNOLOGIAS DIGITAIS E AO PROCESSO PRODUTIVO</t>
  </si>
  <si>
    <t>20UY - RADIOPROTECAO, DOSIMETRIA E METROLOGIA DAS RADIACOES IONIZANTES</t>
  </si>
  <si>
    <t>20ZT - PROMOCAO DO AGRONEGOCIO BRASILEIRO NO MERCADO INTERNACIONAL</t>
  </si>
  <si>
    <t>20Z7 - GESTAO DE SISTEMAS INFORMATIZADOS DE ADMINISTRACAO FINANCEIRA E CONTABIL</t>
  </si>
  <si>
    <t>2510 - PRESTACAO DE ENSINO PROFISSIONAL MARITIMO</t>
  </si>
  <si>
    <t>5900 - INTEGRACAO DO RIO SAO FRANCISCO COM AS BACIAS DOS RIOS JAGUARIBE, PIRANHAS-ACU E APODI (EIXO NORTE)</t>
  </si>
  <si>
    <t>2B27 - PROTECAO E DESENVOLVIMENTO DO PROGRAMA NUCLEAR BRASILEIRO</t>
  </si>
  <si>
    <t>2399 - AVALIACAO DOS RECURSOS MINERAIS DO BRASIL</t>
  </si>
  <si>
    <t>21DO - FISCALIZACAO DOS SERVICOS DE TRANSPORTE TERRESTRE E DA INFRAESTRUTURA CONCEDIDA</t>
  </si>
  <si>
    <t>00SJ - BENEFICIOS PREVIDENCIARIOS</t>
  </si>
  <si>
    <t>21DX - MANUTENCAO DE CONTRATO DE GESTAO COM A AGENCIA PARA O DESENVOLVIMENTO DA ATENCAO PRIMARIA A SAUDE (ADAPS) - PROGRAMA MEDICOS PELO BRASIL</t>
  </si>
  <si>
    <t>2378 - OPERACAO DA REDE HIDROMETEOROLOGICA</t>
  </si>
  <si>
    <t>00Q2 - PENSIONISTAS DA POLICIA MILITAR E DO CORPO DE BOMBEIROS DO DISTRITO FEDERAL</t>
  </si>
  <si>
    <t>7S75 - ADEQUACAO DE TRECHO RODOVIARIO - ENTRONCAMENTO BR-226 - ENTRONCAMENTO BR-101 (RETA TABAJARA) - NA BR-304/RN</t>
  </si>
  <si>
    <t>21DA - MODERNIZACAO DE UNIDADES DA FUNDACAO OSWALDO CRUZ</t>
  </si>
  <si>
    <t>7T98 - ADEQUACAO DE TRECHO RODOVIARIO - KM 0 (CABEDELO) - KM 28 (OITIZEIRO) - NA BR-230/PB</t>
  </si>
  <si>
    <t>20US - FOMENTO A PROJETOS DE PESQUISA E DESENVOLVIMENTO CIENTIFICO</t>
  </si>
  <si>
    <t>21AD - PESQUISA, DESENVOLVIMENTO E INOVACAO NAS UNIDADES DE PESQUISA DO MCTI</t>
  </si>
  <si>
    <t>20X6 - ADEQUACAO E MANUTENCAO DE UNIDADES MILITARES PARA A SOBERANIA E INTEGRIDADE NACIONAL NA REGIAO DO CALHA NORTE</t>
  </si>
  <si>
    <t>20U6 - PESQUISAS E ESTUDOS ESTATISTICOS E GEOCIENTIFICOS</t>
  </si>
  <si>
    <t>218I - ATIVOS CIVIS DOS EX-TERRITORIOS E DO ANTIGO ESTADO DA GUANABARA</t>
  </si>
  <si>
    <t>869V - MANUTENCAO E GESTAO DOS ATIVOS FERROVIARIOS</t>
  </si>
  <si>
    <t>20V7 - PESQUISA, DESENVOLVIMENTO CIENTIFICO, DIFUSAO DO CONHECIMENTO E POPULARIZACAO DA CIENCIA NAS UNIDADES DE PESQUISA DO MCTI</t>
  </si>
  <si>
    <t>20VG - GESTAO DAS SOLUCOES INFORMATIZADAS DA SECRETARIA ESPECIAL DA RECEITA FEDERAL DO BRASIL E DO CONSELHO ADMINISTRATIVO DE RECURSOS FISCAIS</t>
  </si>
  <si>
    <t>20RG - REESTRUTURACAO E MODERNIZACAO DAS INSTITUICOES DA REDE FEDERAL DE EDUCACAO PROFISSIONAL, CIENTIFICA E TECNOLOGICA</t>
  </si>
  <si>
    <t>20SA - MANUTENCAO DE SISTEMAS DE INFORMACOES MILITARES DA FORCA AEREA</t>
  </si>
  <si>
    <t>0625 - SENTENCAS JUDICIAIS TRANSITADAS EM JULGADO DE PEQUENO VALOR</t>
  </si>
  <si>
    <t>213F - FUNCIONAMENTO DOS TERMINAIS PESQUEIROS PUBLICOS DE PROPRIEDADE E ADMINISTRACAO DA UNIAO</t>
  </si>
  <si>
    <t>2424 - FISCALIZACAO REGULATORIA</t>
  </si>
  <si>
    <t>12P1 - IMPLANTACAO DO REATOR MULTIPROPOSITO BRASILEIRO</t>
  </si>
  <si>
    <t>212J - REGULACAO DA DISTRIBUICAO E REVENDA DE DERIVADOS DE PETROLEO, GAS NATURAL E BIOCOMBUSTIVEIS</t>
  </si>
  <si>
    <t>15WP - REFORMA E MODERNIZACAO DE NOVA UNIDADE DO MINISTERIO DA SAUDE (BLOCO ?O? DA ESPLANADA DOS MINISTERIOS)</t>
  </si>
  <si>
    <t>21BR - GESTAO DE ATIVOS E DESCAPITALIZACAO DO CRIME</t>
  </si>
  <si>
    <t>2088 - CONCESSAO E REGULACAO DOS SERVICOS E DA EXPLORACAO DA INFRAESTRUTURA DO TRANSPORTE AQUAVIARIO</t>
  </si>
  <si>
    <t>5022 - PROTECAO, PROMOCAO E RECUPERACAO DA SAUDE INDIGENA</t>
  </si>
  <si>
    <t>20YP - PROMOCAO, PROTECAO E RECUPERACAO DA SAUDE INDIGENA</t>
  </si>
  <si>
    <t>00PW - CONTRIBUICOES A ENTIDADES NACIONAIS SEM EXIGENCIA DE PROGRAMACAO ESPECIFICA</t>
  </si>
  <si>
    <t>20WZ - PROMOCAO COMERCIAL E DE INVESTIMENTOS</t>
  </si>
  <si>
    <t>5516 - CONFERENCIAS NACIONAIS DE SAUDE</t>
  </si>
  <si>
    <t>0034 - PROGRAMA DE GESTAO E MANUTENCAO DO PODER LEGISLATIVO</t>
  </si>
  <si>
    <t>4018 - FISCALIZACAO DA APLICACAO DOS RECURSOS PUBLICOS FEDERAIS</t>
  </si>
  <si>
    <t>214Y - FORTALECIMENTO DO SISTEMA UNIFICADO DE ATENCAO A SANIDADE AGROPECUARIA - SUASA</t>
  </si>
  <si>
    <t>214N - CONTROLE E FISCALIZACAO AMBIENTAL</t>
  </si>
  <si>
    <t>4641 - PUBLICIDADE DE UTILIDADE PUBLICA</t>
  </si>
  <si>
    <t>21AR - PROMOCAO E DEFESA DE DIREITOS HUMANOS PARA TODOS</t>
  </si>
  <si>
    <t>6557 - FORMACAO CIVICO-PROFISSIONAL DE JOVENS VINCULADOS AO SERVICO MILITAR - SOLDADO CIDADAO</t>
  </si>
  <si>
    <t>214O - GESTAO DO USO SUSTENTAVEL DA BIODIVERSIDADE E RECUPERACAO AMBIENTAL</t>
  </si>
  <si>
    <t>2723 - POLICIAMENTO, FISCALIZACAO, COMBATE A CRIMINALIDADE E CORRUPCAO</t>
  </si>
  <si>
    <t>212K - REGULACAO DA EXPLORACAO, DESENVOLVIMENTO E PRODUCAO DE PETROLEO, GAS NATURAL E BIOCOMBUSTIVEIS</t>
  </si>
  <si>
    <t>2106 - PROGRAMA DE GESTAO E MANUTENCAO DO MINISTERIO DA CIENCIA, TECNOLOGIA, INOVACOES E COMUNICACOES</t>
  </si>
  <si>
    <t>000K - SUBVENCAO ECONOMICA EM OPERACOES DE FINANCIAMENTO NO AMBITO DO PROGRAMA DE SUSTENTACAO DO INVESTIMENTO - PSI E DO PROGRAMA EMERGENCIAL DE RECONSTRUCAO DE MUNICIPIOS AFETADOS POR DESASTRES NATURAIS (LEIS N. 12.096, DE 200</t>
  </si>
  <si>
    <t>20AF - APOIO AO CONTROLE E A VIGILANCIA DA QUALIDADE DA AGUA PARA CONSUMO HUMANO PARA PREVENCAO E CONTROLE DE DOENCAS E AGRAVOS</t>
  </si>
  <si>
    <t>20RN - AVALIACAO DA EDUCACAO SUPERIOR E DA POS-GRADUACAO</t>
  </si>
  <si>
    <t>2B32 - FORMACAO ESPECIALIZADA PARA O SETOR NUCLEAR</t>
  </si>
  <si>
    <t>2865 - SUPRIMENTO DE FARDAMENTO</t>
  </si>
  <si>
    <t>215Z - REGULACAO, OUTORGA E FISCALIZACAO DA MINERACAO</t>
  </si>
  <si>
    <t>20WM - APOIO A CRIACAO, GESTAO E IMPLEMENTACAO DAS UNIDADES DE CONSERVACAO FEDERAIS</t>
  </si>
  <si>
    <t>00T2 - APOIO A URBANIZACAO DE ASSENTAMENTOS PRECARIOS</t>
  </si>
  <si>
    <t>20ZV - FOMENTO AO SETOR AGROPECUARIO</t>
  </si>
  <si>
    <t>2810 - PROMOCAO DO ACESSO AO PATRIMONIO DOCUMENTAL NACIONAL</t>
  </si>
  <si>
    <t>4004 - TRANSPARENCIA, INTEGRIDADE E COMBATE A CORRUPCAO</t>
  </si>
  <si>
    <t>2D58 - AUDITORIA INTERNA, PREVENCAO E COMBATE A CORRUPCAO, OUVIDORIA E CORREICAO</t>
  </si>
  <si>
    <t>20L9 - LEVANTAMENTOS, ESTUDOS, PREVISAO E ALERTA DE EVENTOS HIDROLOGICOS CRITICOS</t>
  </si>
  <si>
    <t>2900 - SELECAO PARA O SERVICO MILITAR E APRESENTACAO DA RESERVA EM DISPONIBILIDADE</t>
  </si>
  <si>
    <t>20WB - PESQUISA E INFORMACOES FLORESTAIS</t>
  </si>
  <si>
    <t>21AG - DESENVOLVIMENTO DE SISTEMAS ESPACIAIS</t>
  </si>
  <si>
    <t>214X - VIGILANCIA E INSPECAO DAS OPERACOES DE COMERCIO EXTERIOR DE MERCADORIAS, BENS E MATERIAIS DE INTERESSE AGROPECUARIO</t>
  </si>
  <si>
    <t>8425 - APOIO AO PROJETO RONDON</t>
  </si>
  <si>
    <t>20XM - PRESTACAO DE ENSINO ASSISTENCIAL NOS COLEGIOS MILITARES</t>
  </si>
  <si>
    <t>2130 - FORMACAO DE ESTOQUES PUBLICOS - AGF</t>
  </si>
  <si>
    <t>8708 - FORTALECIMENTO DA AUDITORIA DO SISTEMA UNICO DE SAUDE</t>
  </si>
  <si>
    <t>20UF - REGULARIZACAO, DEMARCACAO E FISCALIZACAO DE TERRAS INDIGENAS E PROTECAO DOS POVOS INDIGENAS ISOLADOS</t>
  </si>
  <si>
    <t>14T7 - DESENVOLVIMENTO DE SISTEMAS DE TECNOLOGIA NUCLEAR DA MARINHA</t>
  </si>
  <si>
    <t>20Q8 - APOIO A IMPLANTACAO E MANUTENCAO DOS SISTEMAS DE SANEAMENTO BASICO A ACOES DE SAUDE AMBIENTAL</t>
  </si>
  <si>
    <t>21B1 - FORMULACAO DA POLITICA MONETARIA CAMBIAL E DE CREDITO E SUPERVISAO DO SISTEMA FINANCEIRO NACIONAL</t>
  </si>
  <si>
    <t>0179 - PENSOES MILITARES DAS FORCAS ARMADAS</t>
  </si>
  <si>
    <t>21BG - FORMACAO E PROVISAO DE PROFISSIONAIS PARA A ATENCAO PRIMARIA A SAUDE</t>
  </si>
  <si>
    <t>00M5 - AQUISICAO DE TERRENOS E CONSTRUCAO DE UNIDADES HABITACIONAIS DESTINADAS A MORADIA DO PESSOAL DA MARINHA</t>
  </si>
  <si>
    <t>20WY - DIFUSAO CULTURAL E DIVULGACAO DO BRASIL NO EXTERIOR</t>
  </si>
  <si>
    <t>219C - ACOLHIMENTO HUMANITARIO E INTERIORIZACAO DE MIGRANTES EM SITUACAO DE VULNERABILIDADE E FORTALECIMENTO DO CONTROLE DE FRONTEIRAS</t>
  </si>
  <si>
    <t>2533 - COOPERACAO TECNICA INTERNACIONAL</t>
  </si>
  <si>
    <t>4295 - ATENCAO AOS PACIENTES PORTADORES DE DOENCAS HEMATOLOGICAS</t>
  </si>
  <si>
    <t>20XR - CAPACITACAO PROFISSIONAL DA MARINHA</t>
  </si>
  <si>
    <t>211A - CONSOLIDACAO DE ASSENTAMENTOS RURAIS</t>
  </si>
  <si>
    <t>20VA - APOIO A ESTUDOS E PROJETOS DE PESQUISAS E DESENVOLVIMENTO RELACIONADOS A MUDANCA DO CLIMA</t>
  </si>
  <si>
    <t>20XE - MANUTENCAO E MODERNIZACAO DE SISTEMAS DE COMANDO E CONTROLE DO EXERCITO</t>
  </si>
  <si>
    <t>2585 - SERVICO DE REABILITACAO PROFISSIONAL</t>
  </si>
  <si>
    <t>20X7 - EMPREGO CONJUNTO OU COMBINADO DAS FORCAS ARMADAS</t>
  </si>
  <si>
    <t>21CJ - SANEAMENTO BASICO EM ALDEIAS INDIGENAS PARA PREVENCAO DE DOENCAS E AGRAVOS</t>
  </si>
  <si>
    <t>2B53 - PRODUCAO LABORATORIAL DE ANALISES MINERAIS - REDE LAMIN</t>
  </si>
  <si>
    <t>20WK - PESQUISA, AVALIACAO E MONITORAMENTO DA FLORA BRASILEIRA</t>
  </si>
  <si>
    <t>00SB - COMPLEMENTACAO DA UNIAO AO FUNDO DE MANUTENCAO E DESENVOLVIMENTO DA EDUCACAO BASICA E DE VALORIZACAO DOS PROFISSIONAIS DA EDUCACAO - FUNDEB</t>
  </si>
  <si>
    <t>20XJ - DESENVOLVIMENTO TECNOLOGICO DO EXERCITO</t>
  </si>
  <si>
    <t>20RI - FUNCIONAMENTO DAS INSTITUICOES FEDERAIS DE EDUCACAO BASICA</t>
  </si>
  <si>
    <t>2D62 - LEVANTAMENTOS GEOLOGICO-AMBIENTAIS APLICADOS AO ORDENAMENTO TERRITORIAL</t>
  </si>
  <si>
    <t>0745 - INVESTIMENTO EM EMPRESAS INOVADORAS</t>
  </si>
  <si>
    <t>20U4 - GOVERNANCA DO PATRIMONIO IMOBILIARIO DA UNIAO</t>
  </si>
  <si>
    <t>2913 - INVESTIGACAO E PREVENCAO DE ACIDENTES AERONAUTICOS</t>
  </si>
  <si>
    <t>20RJ - APOIO A CAPACITACAO E FORMACAO INICIAL E CONTINUADA PARA A EDUCACAO BASICA</t>
  </si>
  <si>
    <t>20ZF - PROMOCAO E FOMENTO A CULTURA BRASILEIRA</t>
  </si>
  <si>
    <t>20IE - ARTICULACAO DE POLITICA PUBLICA SOBRE DROGAS</t>
  </si>
  <si>
    <t>20RM - EXAMES E AVALIACOES DA EDUCACAO BASICA</t>
  </si>
  <si>
    <t>20Y7 - DESENVOLVIMENTO DO ABASTECIMENTO AGROALIMENTAR</t>
  </si>
  <si>
    <t>00SX - APOIO A PROJETOS DE DESENVOLVIMENTO SUSTENTAVEL LOCAL INTEGRADO</t>
  </si>
  <si>
    <t>21BZ - PRESTACAO DE AUXILIOS A NAVEGACAO</t>
  </si>
  <si>
    <t>21B3 - FOMENTO AS ACOES DE ENSINO, PESQUISA, EXTENSAO E INOVACAO E AO DESENVOLVIMENTO DE POLITICAS, REGULACAO E SUPERVISAO DA EDUCACAO PROFISSIONAL E TECNOLOGICA</t>
  </si>
  <si>
    <t>2237 - AUDITORIA E FISCALIZACAO TRIBUTARIA E ADUANEIRA</t>
  </si>
  <si>
    <t>2919 - REGISTRO E FISCALIZACAO DE PRODUTOS CONTROLADOS</t>
  </si>
  <si>
    <t>8282 - REESTRUTURACAO E MODERNIZACAO DAS INSTITUICOES FEDERAIS DE ENSINO SUPERIOR</t>
  </si>
  <si>
    <t>2A82 - PRESTACAO DE ENSINO DE GRADUACAO E POS-GRADUACAO NO INSTITUTO MILITAR DE ENGENHARIA</t>
  </si>
  <si>
    <t>20LC - LEVANTAMENTO GEOLOGICO, OCEANOGRAFICO E AMBIENTAL DO POTENCIAL MINERAL DO ESPACO MARINHO E COSTEIRO</t>
  </si>
  <si>
    <t>00Q3 - ASSUNCAO E NOVACAO DE DIVIDAS DO FUNDO DE COMPENSACAO DAS VARIACOES SALARIAIS - FCVS</t>
  </si>
  <si>
    <t>0536 - BENEFICIOS E PENSOES INDENIZATORIAS DECORRENTES DE LEGISLACAO ESPECIAL E/OU DECISOES JUDICIAIS</t>
  </si>
  <si>
    <t>214I - GESTAO DA METROLOGIA LEGAL E DE AVALIACAO DA CONFORMIDADE</t>
  </si>
  <si>
    <t>156M - MODERNIZACAO E TRANSFORMACAO ESTRATEGICA E OPERACIONAL DO EXERCITO BRASILEIRO</t>
  </si>
  <si>
    <t>20RK - FUNCIONAMENTO DE INSTITUICOES FEDERAIS DE ENSINO SUPERIOR</t>
  </si>
  <si>
    <t>216H - AJUDA DE CUSTO PARA MORADIA OU AUXILIO-MORADIA A AGENTES PUBLICOS</t>
  </si>
  <si>
    <t>20YI - IMPLEMENTACAO DE POLITICAS DE ATENCAO A SAUDE</t>
  </si>
  <si>
    <t>00TZ - AUXILIO-INCLUSAO AS PESSOAS COM DEFICIENCIA (LEI N. 14.176, DE 22 DE JUNHO DE 2021)</t>
  </si>
  <si>
    <t>8965 - CAPACITACAO PROFISSIONAL MILITAR DO EXERCITO BRASILEIRO</t>
  </si>
  <si>
    <t>20UX - DESENVOLVIMENTO DA CIENCIA E DA TECNOLOGIA NUCLEARES</t>
  </si>
  <si>
    <t>20I5 - SERVICOS CONSULARES E DE ASSISTENCIA A BRASILEIROS NO EXTERIOR</t>
  </si>
  <si>
    <t>21BO - PROTECAO E PROMOCAO DOS DIREITOS DOS POVOS INDIGENAS</t>
  </si>
  <si>
    <t>2866 - ACOES DE CARATER SIGILOSO</t>
  </si>
  <si>
    <t>2518 - APOIO A PESQUISA E AO MONITORAMENTO OCEANOGRAFICO E CLIMATOLOGICO DA AMAZONIA AZUL</t>
  </si>
  <si>
    <t>20U9 - DESENVOLVIMENTO DE COMPETENCIAS DE AGENTES PUBLICOS</t>
  </si>
  <si>
    <t>8924 - TRANSFERENCIA DE TECNOLOGIAS PARA A INOVACAO PARA A AGROPECUARIA</t>
  </si>
  <si>
    <t>20WW - RELACOES E NEGOCIACOES BILATERAIS</t>
  </si>
  <si>
    <t>20TP - ATIVOS CIVIS DA UNIAO</t>
  </si>
  <si>
    <t>0355 - FINANCIAMENTO DE PROJETOS DO SETOR PRODUTIVO NO AMBITO DO FUNDO DE DESENVOLVIMENTO DO NORDESTE - FDNE (LEI COMPLEMENTAR N. 125, DE 3 DE JANEIRO DE 2007)</t>
  </si>
  <si>
    <t>4002 - ASSISTENCIA AO ESTUDANTE DE ENSINO SUPERIOR</t>
  </si>
  <si>
    <t>2726 - PREVENCAO E REPRESSAO AO TRAFICO ILICITO DE DROGAS E A CRIMES PRATICADOS CONTRA BENS, SERVICOS E INTERESSES DA UNIAO</t>
  </si>
  <si>
    <t>22BO - ACOES DE PROTECAO E DEFESA CIVIL</t>
  </si>
  <si>
    <t>21A0 - APRESTAMENTO DAS FORCAS - MANUTENCAO DA PRONTIDAO E DA CAPACIDADE OPERATIVA</t>
  </si>
  <si>
    <t>212O - MOVIMENTACAO DE MILITARES</t>
  </si>
  <si>
    <t>214W - MODERNIZACAO E FORTALECIMENTO DA DEFESA AGROPECUARIA</t>
  </si>
  <si>
    <t>21BB - PESQUISA, DESENVOLVIMENTO E INOVACAO NAS GEOCIENCIAS E SETOR MINERAL</t>
  </si>
  <si>
    <t>0181 - APOSENTADORIAS E PENSOES CIVIS DA UNIAO</t>
  </si>
  <si>
    <t>2798 - AQUISICAO E DISTRIBUICAO DE ALIMENTOS DA AGRICULTURA FAMILIAR PARA PROMOCAO DA SEGURANCA ALIMENTAR E NUTRICIONAL</t>
  </si>
  <si>
    <t>00P1 - APOIO A RESIDENCIA EM SAUDE</t>
  </si>
  <si>
    <t>20JO - PROMOCAO E APOIO AO DESENVOLVIMENTO DO FUTEBOL MASCULINO E FEMININO E DEFESA DOS DIREITOS DO TORCEDOR</t>
  </si>
  <si>
    <t>21D0 - REFORMA, MANUTENCAO E READEQUACAO DE PROPRIOS NACIONAIS RESIDENCIAIS PARA OS COMANDOS MILITARES</t>
  </si>
  <si>
    <t>212B - BENEFICIOS OBRIGATORIOS AOS SERVIDORES CIVIS, EMPREGADOS, MILITARES E SEUS DEPENDENTES</t>
  </si>
  <si>
    <t>219R - MELHORIA DA QUALIDADE REGULATORIA DO SETOR DE SANEAMENTO</t>
  </si>
  <si>
    <t>20GK - FOMENTO AS ACOES DE GRADUACAO, POS-GRADUACAO, ENSINO, PESQUISA E EXTENSAO</t>
  </si>
  <si>
    <t>4261 - DEFESA DO INTERESSE PUBLICO NO PROCESSO JUDICIARIO - MINISTERIO PUBLICO DO DISTRITO FEDERAL E TERRITORIOS</t>
  </si>
  <si>
    <t>20Y4 - ARTICULACAO E ORDENAMENTO TURISTICO</t>
  </si>
  <si>
    <t>2069 - SEGURANCA ALIMENTAR E NUTRICIONAL</t>
  </si>
  <si>
    <t>2223 - FOMENTO A PROJETOS INSTITUCIONAIS PARA PESQUISA NO SETOR DE RECURSOS HIDRICOS (CT-HIDRO)</t>
  </si>
  <si>
    <t>0354 - CONCESSAO DE EMPRESTIMOS PARA LIQUIDACAO DE OPERADORAS DE PLANOS PRIVADOS DE ASSISTENCIA A SAUDE (LEI N. 9.961, DE 2000)</t>
  </si>
  <si>
    <t>2012 - FORTALECIMENTO E DINAMIZACAO DA AGRICULTURA FAMILIAR</t>
  </si>
  <si>
    <t>2210 - EMPREGABILIDADE</t>
  </si>
  <si>
    <t>2B12 - FOMENTO A INCLUSAO PRODUTIVA</t>
  </si>
  <si>
    <t>2119 - FOMENTO A PROJETOS INSTITUCIONAIS PARA PESQUISA NO SETOR MINERAL (CT-MINERAL)</t>
  </si>
  <si>
    <t>2E97 - OPERACAO DO SISTEMA DE GERENCIAMENTO DA AMAZONIA AZUL (SISGAAZ)</t>
  </si>
  <si>
    <t>2907 - FISCALIZACAO DA EXPLORACAO DA INFRAESTRUTURA RODOVIARIA</t>
  </si>
  <si>
    <t>00TA - APOIO A GESTAO E IMPLANTACAO DE SISTEMAS DE PURIFICACAO E DE DESSALINIZACAO DE AGUAS CONTINENTAIS E MARINHAS E REDE DE DISTRIBUICAO ASSOCIADA</t>
  </si>
  <si>
    <t>7U06 - CONSTRUCAO DE ACESSO RODOVIARIO AO TERMINAL PORTUARIO DE CAPUABA - NA BR-447/ES</t>
  </si>
  <si>
    <t>14XU - ESTUDOS E PROJETOS PARA IMPLANTACAO DE PROJETOS PUBLICOS DE IRRIGACAO</t>
  </si>
  <si>
    <t>14X0 - ADEQUACAO DE TRECHO RODOVIARIO - ENTRONCAMENTO BR-232 (SAO CAETANO) - ENTRONCAMENTO BR-424/PE-218 (GARANHUNS) - NA BR-423/PE</t>
  </si>
  <si>
    <t>15SP - IMPLANTACAO DO PLANO DE RECUPERACAO DE AREAS DEGRADADAS EM SAO FELIX/BA</t>
  </si>
  <si>
    <t>8010 - ATUACAO ESTRATEGICA PARA CONTROLE E FORTALECIMENTO DO MINISTERIO PUBLICO</t>
  </si>
  <si>
    <t>15V1 - INSTALACAO DE EQUIPAMENTOS DE AUXILIOS A NAVEGACAO AEREA</t>
  </si>
  <si>
    <t>21BN - GESTAO DA POLITICA DE COMBATE A CORRUPCAO E A LAVAGEM DE DINHEIRO</t>
  </si>
  <si>
    <t>20Z8 - ACOMPANHAMENTO E CONTROLE DE ATIVIDADES ECONOMICAS</t>
  </si>
  <si>
    <t>20KH - ACOES INTEGRADAS DE CULTURA E EDUCACAO</t>
  </si>
  <si>
    <t>20K7 - APOIO AO DESENVOLVIMENTO E MODERNIZACAO DE PLATAFORMAS TECNOLOGICAS PARA FORTALECIMENTO DO COMPLEXO INDUSTRIAL DA SAUDE</t>
  </si>
  <si>
    <t>7K23 - CONSTRUCAO DE TRECHO RODOVIARIO - PORTO CAMARGO - CAMPO MOURAO - NA BR-487/PR</t>
  </si>
  <si>
    <t>155L - APRIMORAMENTO DA INFRAESTRUTURA DA FUNDACAO NACIONAL DO INDIO</t>
  </si>
  <si>
    <t>2191 - FOMENTO A PROJETOS INSTITUCIONAIS PARA PESQUISA NO SETOR DE TRANSPORTES TERRESTRES E HIDROVIARIOS (CT-TRANSPORTE)</t>
  </si>
  <si>
    <t>00OE - REMUNERACAO DA EMPRESA PRE-SAL PETROLEO S.A. PELA GESTAO DE CONTRATOS</t>
  </si>
  <si>
    <t>00AF - INTEGRALIZACAO DE COTAS AO FUNDO DE ARRENDAMENTO RESIDENCIAL - FAR</t>
  </si>
  <si>
    <t>21AC - ENCOMENDAS TECNOLOGICAS E FOMENTO A TECNOLOGIAS APLICADAS EM SETORES ESTRATEGICOS</t>
  </si>
  <si>
    <t>20ZU - REDUCAO DE RISCOS NA ATIVIDADE AGROPECUARIA</t>
  </si>
  <si>
    <t>20G8 - REESTRUTURACAO DOS SERVICOS AMBULATORIAIS E HOSPITALARES PRESTADOS PELOS HOSPITAIS UNIVERSITARIOS FEDERAIS (FINANCIAMENTO PARTILHADO - REHUF)</t>
  </si>
  <si>
    <t>4542 - FOMENTO A PESQUISA, TECNOLOGIA E INOVACAO PARA O DESENVOLVIMENTO SUSTENTAVEL DA BIODIVERSIDADE AMAZONICA</t>
  </si>
  <si>
    <t>7X64 - CONSTRUCAO DE PONTES NA BR-425/RO</t>
  </si>
  <si>
    <t>21C2 - BENEFICIO EMERGENCIAL DE MANUTENCAO DO EMPREGO E DA RENDA - COVID-19</t>
  </si>
  <si>
    <t>20Q4 - OPERACAO DO CANAL SAUDE</t>
  </si>
  <si>
    <t>4887 - GESTAO DAS POLITICAS DE GEOLOGIA, MINERACAO E TRANSFORMACAO MINERAL</t>
  </si>
  <si>
    <t>20Z3 - APOIO OPERACIONAL AO PAGAMENTO DO SEGURO-DESEMPREGO E DO ABONO SALARIAL</t>
  </si>
  <si>
    <t>15K0 - CONSTRUCAO DE CONTORNO RODOVIARIO EM ARAGARCAS - NA BR-070/GO</t>
  </si>
  <si>
    <t>14UO - IMPLANTACAO DE CENTROS DE DESENVOLVIMENTO TECNOLOGICO E DE PRODUCAO DE INSUMOS PARA O SUS</t>
  </si>
  <si>
    <t>4061 - PROCESSO LEGISLATIVO, FISCALIZACAO E REPRESENTACAO POLITICA</t>
  </si>
  <si>
    <t>1128 - URBANIZACAO, REGULARIZACAO FUNDIARIA E INTEGRACAO DE ASSENTAMENTOS PRECARIOS</t>
  </si>
  <si>
    <t>7M91 - CONSTRUCAO DE CONTORNO RODOVIARIO EM MARINGA - NA BR-376/PR</t>
  </si>
  <si>
    <t>20AH - ORGANIZACAO DOS SERVICOS DE ASSISTENCIA FARMACEUTICA NO SUS</t>
  </si>
  <si>
    <t>1490 - CONSTRUCAO DE TRECHO RODOVIARIO - DIVISA MT/PA - SANTAREM - NA BR-163/PA</t>
  </si>
  <si>
    <t>12JL - ADEQUACAO DE TRECHO RODOVIARIO - CASCAVEL - GUAIRA - NA BR-163/PR</t>
  </si>
  <si>
    <t>20WQ - GESTAO DE POLITICAS DE DESENVOLVIMENTO REGIONAL, ORDENAMENTO TERRITORIAL E IRRIGACAO</t>
  </si>
  <si>
    <t>21CC - IMPLANTACAO E MELHORIA DE SISTEMAS PUBLICOS DE MANEJO DE RESIDUOS SOLIDOS EM MUNICIPIOS DE ATE 50.000 HABITANTES, EXCLUSIVE EM REGIOES METROPOLITANAS (RM) OU REGIOES INTEGRADAS DE DESENVOLVIMENTO ECONOMICO (RIDE)</t>
  </si>
  <si>
    <t>7V19 - CONSTRUCAO DE TRECHO RODOVIARIO - ENTRONCAMENTO BR-135/BA-594 (COCOS) - ACESSO A CARIRANHA - NA BR-030/BA</t>
  </si>
  <si>
    <t>7684 - SANEAMENTO BASICO EM ALDEIAS INDIGENAS PARA PREVENCAO DE DOENCAS E AGRAVOS</t>
  </si>
  <si>
    <t>20XX - PRESTACAO DE AUXILIOS A NAVEGACAO E FISCALIZACAO DA NAVEGACAO AQUAVIARIA</t>
  </si>
  <si>
    <t>10IW - CONSTRUCAO DE TRECHO RODOVIARIO - ITACARAMBI - DIVISA MG/BA - NA BR-135/MG</t>
  </si>
  <si>
    <t>00TB - APOIO A IMPLANTACAO, AMPLIACAO OU MELHORIAS DE INFRAESTRUTURAS DE OFERTA DE AGUA PARA SEGURANCA HIDRICA</t>
  </si>
  <si>
    <t>00UI - INDENIZACAO PELA DISPONIBILIZACAO VOLUNTARIA DURANTE O REPOUSO REMUNERADO</t>
  </si>
  <si>
    <t>20K5 - APOIO AO USO DE PLANTAS MEDICINAIS E FITOTERAPICOS NO SUS</t>
  </si>
  <si>
    <t>21D9 - ESTRUTURACAO DOS SERVICOS DE HEMATOLOGIA E HEMOTERAPIA</t>
  </si>
  <si>
    <t>00CB - CONCESSAO DE BOLSAS DE ESTUDO A ALUNOS ESTRANGEIROS, NO SISTEMA EDUCACIONAL BRASILEIRO</t>
  </si>
  <si>
    <t>152X - AMPLIACAO E REESTRUTURACAO DE INSTITUICOES MILITARES DE ENSINO SUPERIOR</t>
  </si>
  <si>
    <t>13CM - IMPLANTACAO DO CENTRO TECNOLOGICO NUCLEAR E AMBIENTAL - CENTENA</t>
  </si>
  <si>
    <t>7XM8 - IMPLANTACAO DE AERODROMO EM SANTA ROSA DO PURUS/AC</t>
  </si>
  <si>
    <t>7U07 - CONSTRUCAO DE TRECHO RODOVIARIO - COLONIA LEOPOLDINA - IBATEGUARA - NA BR-416/AL</t>
  </si>
  <si>
    <t>0454 - FINANCIAMENTO DA INFRAESTRUTURA TURISTICA NACIONAL</t>
  </si>
  <si>
    <t>8753 - MONITORAMENTO, AVALIACAO E GESTAO DA INFORMACAO ESTRATEGICA EM SAUDE</t>
  </si>
  <si>
    <t>21E7 - MANUTENCAO DA CAPACIDADE OPERATIVA DOS MEIOS AEREOS DAS FORCAS ARMADAS</t>
  </si>
  <si>
    <t>15W3 - ESTRUTURACAO DO CENTRO DE ONCOLOGIA E HEMATOLOGIA DO GRUPO HOSPITALAR CONCEICAO</t>
  </si>
  <si>
    <t>4234 - APRECIACAO E JULGAMENTO DE CAUSAS NO DISTRITO FEDERAL</t>
  </si>
  <si>
    <t>2032 - EDUCACAO SUPERIOR - GRADUACAO, POS-GRADUACAO, ENSINO, PESQUISA E EXTENSAO</t>
  </si>
  <si>
    <t>2030 - EDUCACAO BASICA</t>
  </si>
  <si>
    <t>12KU - APOIO A IMPLANTACAO DE ESCOLAS PARA EDUCACAO INFANTIL</t>
  </si>
  <si>
    <t>105S - ADEQUACAO DE TRECHO RODOVIARIO - DIVISA SE/BA - ENTRONCAMENTO BR-324 - NA BR-101/BA</t>
  </si>
  <si>
    <t>00TS - POLITICA PRODUTIVA E INOVACAO TECNOLOGICA</t>
  </si>
  <si>
    <t>8730 - AMPLIACAO DA RESOLUTIVIDADE DA SAUDE BUCAL NA ATENCAO BASICA E ESPECIALIZADA</t>
  </si>
  <si>
    <t>123M - MELHORAMENTOS NO CANAL DE NAVEGACAO DA HIDROVIA DO RIO TOCANTINS</t>
  </si>
  <si>
    <t>116E - CONSTRUCAO DA FERROVIA NORTE-SUL - ANAPOLIS/GO - URUACU/GO - EF-151</t>
  </si>
  <si>
    <t>0E53 - AQUISICAO DE VEICULOS PARA O TRANSPORTE ESCOLAR DA EDUCACAO BASICA - CAMINHO DA ESCOLA</t>
  </si>
  <si>
    <t>6146 - PESQUISA EM SAUDE E AVALIACAO DE NOVAS TECNOLOGIAS PARA O SUS</t>
  </si>
  <si>
    <t>4640 - CAPACITACAO DE RECURSOS HUMANOS PARA A COMPETITIVIDADE</t>
  </si>
  <si>
    <t>4897 - PLANEJAMENTO DO SETOR ENERGETICO</t>
  </si>
  <si>
    <t>15W1 - CONSTRUCAO DO HOSPITAL DO SANGUE DO AMAZONAS</t>
  </si>
  <si>
    <t>1N56 - DESENVOLVIMENTO DE MISSIL NACIONAL ANTINAVIO</t>
  </si>
  <si>
    <t>11ZI - CONSTRUCAO DA FERROVIA NORTE-SUL - SANTA VITORIA/MG - ITURAMA/MG - EF-151</t>
  </si>
  <si>
    <t>7XJ5 - ADEQUACAO DE TRECHO RODOVIARIO - FLORIANOPOLIS - SAO MIGUEL DO OESTE - NA BR-282/SC</t>
  </si>
  <si>
    <t>21EC - GESTAO DE PROGRAMAS E PROJETOS DE COOPERACAO TECNICA E CONTRATOS DE GESTAO</t>
  </si>
  <si>
    <t>4892 - PLANEJAMENTO DOS SETORES DE PETROLEO, DERIVADOS, GAS NATURAL E BIOCOMBUSTIVEIS</t>
  </si>
  <si>
    <t>214V - APOIO A ALFABETIZACAO, A ELEVACAO DA ESCOLARIDADE E A INTEGRACAO A QUALIFICACAO PROFISSIONAL NA EDUCACAO DE JOVENS E ADULTOS</t>
  </si>
  <si>
    <t>15XW - IMPLANTACAO DA BARRAGEM TINGUIS</t>
  </si>
  <si>
    <t>15YU - REVISAO E AUTOMACAO DOS PROCESSOS DE OUTORGA E FISCALIZACAO DE PESQUISA E LAVRA MINERAL DA ANM</t>
  </si>
  <si>
    <t>3138 - IMPLANTACAO DO SISTEMA DE AVIACAO DO EXERCITO</t>
  </si>
  <si>
    <t>4043 - FOMENTO A PROJETOS INSTITUCIONAIS PARA PESQUISA NO SETOR DE AGRONEGOCIO (CT-AGRONEGOCIO)</t>
  </si>
  <si>
    <t>8695 - DESSALINIZACAO DE AGUAS CONTINENTAIS E MARINHAS - PROGRAMA AGUA DOCE E PROGRAMA DOCE MAR</t>
  </si>
  <si>
    <t>13DB - AQUISICAO DE SISTEMAS DE ARTILHARIA ANTIAEREA</t>
  </si>
  <si>
    <t>0005 - SENTENCAS JUDICIAIS TRANSITADAS EM JULGADO (PRECATORIOS)</t>
  </si>
  <si>
    <t>1214 - ADEQUACAO DE TRECHO RODOVIARIO - RIO GRANDE - PELOTAS - NA BR-392/RS</t>
  </si>
  <si>
    <t>8458 - APOIO A AGRICULTURA URBANA</t>
  </si>
  <si>
    <t>4482 - JULGAMENTO DE RECURSOS ADMINISTRATIVOS A MULTAS DE TRANSITO</t>
  </si>
  <si>
    <t>151S - IMPLANTACAO DA INFRAESTRUTURA PARA O PROGRAMA ESTRATEGICO DE SISTEMAS ESPACIAIS (PESE)</t>
  </si>
  <si>
    <t>210E - PROMOCAO DO DESENVOLVIMENTO INDUSTRIAL</t>
  </si>
  <si>
    <t>0297 - SUBVENCAO ECONOMICA PARA RECUPERACAO DA LAVOURA CACAUEIRA BAIANA (LEIS N. 9.126, DE 1995)</t>
  </si>
  <si>
    <t>00CC - CONCESSAO DE BOLSAS DE ESTUDO A CANDIDATOS AFRODESCENDENTES A CARREIRA DIPLOMATICA</t>
  </si>
  <si>
    <t>0118 - FINANCIAMENTOS A INFRAESTRUTURA AQUAVIARIA, PORTUARIA E CONSTRUCAO/MANUTENCAO NAVAL</t>
  </si>
  <si>
    <t>8563 - FOMENTO A PROJETOS INSTITUCIONAIS PARA PESQUISA NO SETOR DE TRANSPORTE AQUAVIARIO E DE CONSTRUCAO NAVAL (CT-AQUAVIARIO)</t>
  </si>
  <si>
    <t>7S73 - ADEQUACAO DE TRECHO RODOVIARIO - ACESSO A ONDA VERDE - ENTRONCAMENTO SP-355 - NA BR-153/SP</t>
  </si>
  <si>
    <t>7XJ4 - CONSTRUCAO DE TRECHO RODOVIARIO - MARAU - ENTRONCAMENTO BR-101 - NA BR-030/BA</t>
  </si>
  <si>
    <t>5E83 - CONSTRUCAO DA FERROVIA NORTE-SUL - AGUIARNOPOLIS/TO - PALMAS/TO - EF-151</t>
  </si>
  <si>
    <t>20GG - PROMOCAO DA INCLUSAO PRODUTIVA DE PESSOAS EM SITUACAO DE POBREZA</t>
  </si>
  <si>
    <t>0467 - COBERTURA DE SALDO RESIDUAL DE CONTRATOS DE FINANCIAMENTOS FIRMADOS NO SISTEMA FINANCEIRO DE HABITACAO (SFH)</t>
  </si>
  <si>
    <t>21CR - ASSISTENCIA TECNICA PARA GESTAO DOS PROJETOS DE MODERNIZACAO DA GESTAO ADMINISTRATIVA E FISCAL DOS MUNICIPIOS</t>
  </si>
  <si>
    <t>218B - POLITICAS DE IGUALDADE E ENFRENTAMENTO A VIOLENCIA CONTRA AS MULHERES</t>
  </si>
  <si>
    <t>21B9 - PROMOCAO E FORTALECIMENTO DA COMERCIALIZACAO E ACESSO AOS MERCADOS</t>
  </si>
  <si>
    <t>20UT - PROMOCAO DA PESQUISA, DO DESENVOLVIMENTO E DA INOVACAO EM TECNOLOGIAS DIGITAIS</t>
  </si>
  <si>
    <t>21DV - AUXILIO GAS DOS BRASILEIROS</t>
  </si>
  <si>
    <t>8315 - PESQUISA E DESENVOLVIMENTO TECNOLOGICO EM SAUDE</t>
  </si>
  <si>
    <t>210D - FOMENTO A INOVACAO, EMPREENDEDORES, ARTESAOS E EMPRESAS</t>
  </si>
  <si>
    <t>00UM - APOIO A IMPLANTACAO, AMPLIACAO, MANUTENCAO, MELHORIA OU ADEQUACAO DE SISTEMAS DE ESGOTAMENTO SANITARIO NA AREA DE ATUACAO DA CODEVASF</t>
  </si>
  <si>
    <t>219N - GOVERNANCA FUNDIARIA E GERENCIAMENTO DO CADASTRO RURAL</t>
  </si>
  <si>
    <t>140X - REGULARIZACAO AMBIENTAL E FUNDIARIA DE PROJETOS PUBLICOS DE IRRIGACAO</t>
  </si>
  <si>
    <t>20JT - GESTAO DO SISTEMA NACIONAL DE EMPREGO - SINE</t>
  </si>
  <si>
    <t>20AM - IMPLEMENTACAO DE PROJETOS DE COLETA, TRIAGEM E RECICLAGEM DE RESIDUOS SOLIDOS</t>
  </si>
  <si>
    <t>8636 - FORTALECIMENTO DA INOVACAO TECNOLOGICA DE INSUMOS ESTRATEGICOS PARA O SUS</t>
  </si>
  <si>
    <t>2082 - POLITICA EXTERNA</t>
  </si>
  <si>
    <t>8948 - IMPLANTACAO DE EQUIPAMENTOS E DE TECNOLOGIA SOCIAL DE ACESSO A AGUA PARA CONSUMO HUMANO E PRODUCAO DE ALIMENTOS</t>
  </si>
  <si>
    <t>21AQ - PROTECAO DO DIREITO A VIDA</t>
  </si>
  <si>
    <t>8172 - COORDENACAO E FORTALECIMENTO DO SISTEMA NACIONAL DE PROTECAO E DEFESA CIVIL - SINPDEC</t>
  </si>
  <si>
    <t>15XV - CONSTRUCAO DE SISTEMA INTEGRADO DE ABASTECIMENTO DE AGUA</t>
  </si>
  <si>
    <t>7X34 - CONSTRUCAO DE ANEL RODOVIARIO EM TRES LAGOAS - NAS BRS 262/158/MS</t>
  </si>
  <si>
    <t>21BA - COORDENACAO DAS ACOES DE GESTAO E MONITORAMENTO DO SETOR ELETRICO</t>
  </si>
  <si>
    <t>2189 - FOMENTO A PROJETOS INSTITUCIONAIS PARA PESQUISA NO SETOR DE ENERGIA ELETRICA (CT-ENERG)</t>
  </si>
  <si>
    <t>20AB - INCENTIVO FINANCEIRO AOS ESTADOS, DISTRITO FEDERAL E MUNICIPIOS PARA EXECUCAO DE ACOES DE VIGILANCIA SANITARIA</t>
  </si>
  <si>
    <t>20N1 - FOMENTO A PROJETOS DE DESENVOLVIMENTO SUSTENTAVEL E CONSERVACAO DO MEIO AMBIENTE</t>
  </si>
  <si>
    <t>1ACM - PROJETO C.I. AVA-CANOEIRO - ROYALTIES - GO</t>
  </si>
  <si>
    <t>15LR - IMPLANTACAO DA GEOINFORMACAO DE DEFESA - GEODEF</t>
  </si>
  <si>
    <t>21DR - APOIO AOS ENTES FEDERADOS POR MEIO DO INDICE DE GESTAO DESCENTRALIZADA DO PROGRAMA AUXILIO BRASIL - IGD - PAB</t>
  </si>
  <si>
    <t>4053 - FOMENTO A PROJETOS INSTITUCIONAIS PARA PESQUISA NO SETOR AERONAUTICO (CT-AERONAUTICO)</t>
  </si>
  <si>
    <t>6015 - EDUCACAO INFANTIL</t>
  </si>
  <si>
    <t>00SU - APOIO A IMPLANTACAO DE ESCOLAS PARA EDUCACAO INFANTIL</t>
  </si>
  <si>
    <t>10S3 - APOIO A URBANIZACAO DE ASSENTAMENTOS PRECARIOS</t>
  </si>
  <si>
    <t>10ST - TRANSPORTE NAO MOTORIZADO</t>
  </si>
  <si>
    <t>15P9 - CONSTRUCAO DE IMOVEL DA FORCA NACIONAL DE SEGURANCA PUBLICA</t>
  </si>
  <si>
    <t>15EW - IMPLANTACAO DE SISTEMAS INTEGRADOS DE REGISTRO E SERVICOS PARA EMPRESA E ARTESANATO</t>
  </si>
  <si>
    <t>00E8 - CONTRIBUICAO A ORGANIZACAO INTERNACIONAL PARA AS MIGRACOES - OIM (MJSP)</t>
  </si>
  <si>
    <t>0969 - APOIO AO TRANSPORTE ESCOLAR NA EDUCACAO BASICA</t>
  </si>
  <si>
    <t>7X96 - CONSTRUCAO DE PONTE SOBRE O RIO URUGUAI (FRONTEIRA BRASIL/ARGENTINA) - NA BR-392/RS</t>
  </si>
  <si>
    <t>21E4 - IMPLEMENTACAO E MONITORAMENTO DE POLITICAS DE MUDANCAS CLIMATICAS, MITIGACAO E ADAPTACAO</t>
  </si>
  <si>
    <t>0B66 - CONTRIBUICAO A SECRETARIA GERAL IBERO-AMERICANA - SEGIB (MRE)</t>
  </si>
  <si>
    <t>219L - SERVICO PUBLICO DE PRODUCAO DE SELOS FISCAIS FEDERAIS</t>
  </si>
  <si>
    <t>155N - APRIMORAMENTO DA INFRAESTRUTURA E MODERNIZACAO DO SISTEMA PENAL</t>
  </si>
  <si>
    <t>7U22 - ADEQUACAO DE TRECHO RODOVIARIO - ENTRONCAMENTO BR-277 (ACESSO CASCAVEL) - MARMELANDIA - NA BR-163/PR</t>
  </si>
  <si>
    <t>10GG - IMPLANTACAO E MELHORIA DE SISTEMAS PUBLICOS DE MANEJO DE RESIDUOS SOLIDOS EM MUNICIPIOS DE ATE 50.000 HABITANTES, EXCLUSIVE EM REGIOES METROPOLITANAS (RM) OU REGIOES INTEGRADAS DE DESENVOLVIMENTO ECONOMICO (RIDE)</t>
  </si>
  <si>
    <t>2079 - DESENVOLVIMENTO DA INDUSTRIA, COMERCIO E SERVICOS</t>
  </si>
  <si>
    <t>0870 - CONTRIBUICAO A COMUNIDADE DOS PAISES DE LINGUA PORTUGUESA - CPLP (MRE)</t>
  </si>
  <si>
    <t>20UB - FISCALIZACAO DOS SERVICOS DE TRANSPORTE RODOVIARIO</t>
  </si>
  <si>
    <t>0420 - CONTRIBUICAO A ORGANIZACAO MUNDIAL DE METEOROLOGIA - OMM (MAPA)</t>
  </si>
  <si>
    <t>0122 - CONTRIBUICAO A ORGANIZACAO INTERNACIONAL DE POLICIA CRIMINAL - INTERPOL (MJ)</t>
  </si>
  <si>
    <t>0B64 - CONTRIBUICAO A ASSOCIACAO LATINO-AMERICANA DE INTEGRACAO - ALADI (MRE)</t>
  </si>
  <si>
    <t>0344 - CONTRIBUICAO A ORGANIZACAO MUNDIAL DAS ADUANAS - OMA (ME)</t>
  </si>
  <si>
    <t>0461 - CONCESSAO DE EMPRESTIMOS PARA LIQUIDACAO DE SOCIEDADES SEGURADORAS, RESSEGURADORAS, ENTIDADES DE PREVIDENCIA COMPLEMENTAR ABERTA E CAPITALIZACAO</t>
  </si>
  <si>
    <t>00SY - APOIO A PROJETOS E OBRAS DE REABILITACAO, DE ACESSIBILIDADE E MODERNIZACAO TECNOLOGICA EM AREAS URBANAS</t>
  </si>
  <si>
    <t>2522 - PRODUCAO DE FARMACOS, MEDICAMENTOS E FITOTERAPICOS</t>
  </si>
  <si>
    <t>15YV - REFORMA E MODERNIZACAO DA UNIDADE DO MINISTERIO DA SAUDE (S.I.A.)</t>
  </si>
  <si>
    <t>21CK - PROMOCAO E DESENVOLVIMENTO DO PARADESPORTO NACIONAL</t>
  </si>
  <si>
    <t>15WF - REFORMA DA SEDE DA SUPERINTENDENCIA DO RIO GRANDE DO SUL</t>
  </si>
  <si>
    <t>00T9 - APOIO A IMPLANTACAO DO CINTURAO DAS AGUAS DO CEARA</t>
  </si>
  <si>
    <t>00U0 - PAGAMENTO DE DESPESAS REFERENTES A CONDENACOES JUDICIAIS (EXTINTA RFFSA)</t>
  </si>
  <si>
    <t>7XT4 - AMPLIACAO E ADEQUACAO DO HOSPITAL GERAL DE SALVADOR (HGES)</t>
  </si>
  <si>
    <t>0B73 - CONTRIBUICAO A ORGANIZACAO DAS NACOES UNIDAS PARA O DESENVOLVIMENTO INDUSTRIAL - UNIDO (MRE)</t>
  </si>
  <si>
    <t>20ZQ - ESTUDOS, PESQUISAS E PRODUCAO DE INDICADORES NA AREA DAS COMUNICACOES</t>
  </si>
  <si>
    <t>21C5 - ELABORACAO DE ESTUDOS E AVALIACAO DE PROJETOS DE INVESTIMENTOS DO GOVERNO FEDERAL</t>
  </si>
  <si>
    <t>15UW - REFORMA E REAPARELHAMENTO DO AEROPORTO DE MARINGA/PR</t>
  </si>
  <si>
    <t>15OH - CONSTRUCAO DA PENITENCIARIA FEDERAL EM CHARQUEADAS - RS</t>
  </si>
  <si>
    <t>21BU - REGULARIZACAO FUNDIARIA E ASSISTENCIA TECNICA E EXTENSAO RURAL NA AMAZONIA LEGAL E SUA REGIAO FRONTEIRICA</t>
  </si>
  <si>
    <t>1138 - DRENAGEM URBANA E CONTROLE DE EROSAO MARITIMA E FLUVIAL</t>
  </si>
  <si>
    <t>20ID - APOIO A MODERNIZACAO DAS INSTITUICOES DE SEGURANCA PUBLICA</t>
  </si>
  <si>
    <t>0E83 - FINANCIAMENTO DE PROJETOS DO SETOR PRODUTIVO NO AMBITO DO FUNDO DE DESENVOLVIMENTO DO CENTRO-OESTE - FDCO (LEI COMPLEMENTAR N. 129, DE 8 DE JANEIRO DE 2009)</t>
  </si>
  <si>
    <t>0EC2 - TRANSFERENCIAS ESPECIAIS</t>
  </si>
  <si>
    <t>7XM6 - ADEQUACAO DE TRAVESSIA URBANA EM IJUI - NA BR-285/RS</t>
  </si>
  <si>
    <t>009B - CONTRIBUICAO AO FUNDO PARA A CONVERGENCIA ESTRUTURAL DO MERCOSUL - FOCEM (MRE)</t>
  </si>
  <si>
    <t>00TV - APOIO A IMPLANTACAO DE MELHORAMENTOS NO CANAL DE NAVEGACAO DA HIDROVIA DO RIO TIETE/SP</t>
  </si>
  <si>
    <t>116X - CONSTRUCAO DA FERROVIA NORTE-SUL - PALMAS/TO - URUACU/GO - EF-151</t>
  </si>
  <si>
    <t>2F01 - REFORCO DE RECURSOS PARA EMERGENCIA INTERNACIONAL EM SAUDE PUBLICA - CORONAVIRUS</t>
  </si>
  <si>
    <t>0221 - CONTRIBUICAO A ORGANIZACAO MUNDIAL DE SAUDE - OMS (MS)</t>
  </si>
  <si>
    <t>14LV - ADEQUACAO DE TRAVESSIA URBANA EM JUAZEIRO - NAS BRS 235/407/BA</t>
  </si>
  <si>
    <t>0873 - CONTRIBUICAO A ORGANIZACAO INTERNACIONAL DO TRABALHO - OIT (MRE)</t>
  </si>
  <si>
    <t>00TG - APOIO A CONSTRUCAO DA BARRAGEM OITICICA</t>
  </si>
  <si>
    <t>20R4 - APOIO A IMPLEMENTACAO DA REDE CEGONHA</t>
  </si>
  <si>
    <t>20YA - PREPARACAO DE ATLETAS E CAPACITACAO DE RECURSOS HUMANOS PARA O ESPORTE DE ALTO RENDIMENTO</t>
  </si>
  <si>
    <t>0B74 - CONTRIBUICAO A ORGANIZACAO PARA A PROIBICAO DAS ARMAS QUIMICAS - OPAQ (MRE)</t>
  </si>
  <si>
    <t>0734 - INDENIZACAO A VITIMAS DE VIOLACAO DAS OBRIGACOES CONTRAIDAS PELA UNIAO POR MEIO DA ADESAO A TRATADOS INTERNACIONAIS DE PROTECAO DOS DIREITOS HUMANOS</t>
  </si>
  <si>
    <t>212Z - APOIO AO FUNCIONAMENTO DE UNIDADES DE PRODUCAO, A PESQUISA, AO DESENVOLVIMENTO TECNOLOGICO E A INOVACAO PARA A PRODUCAO AQUICOLA SUSTENTAVEL</t>
  </si>
  <si>
    <t>11ZD - CONSTRUCAO DA FERROVIA NORTE-SUL - OUROESTE/SP - ESTRELA D?OESTE/SP - EF-151</t>
  </si>
  <si>
    <t>0869 - CONTRIBUICAO A AGENCIA INTERNACIONAL DE ENERGIA ATOMICA - AIEA (MRE)</t>
  </si>
  <si>
    <t>20VQ - GESTAO SOCIOAMBIENTAL EM TERRITORIOS DE POVOS E COMUNIDADES TRADICIONAIS E AGRICULTORES FAMILIARES</t>
  </si>
  <si>
    <t>21EA - MANUTENCAO DA CAPACIDADE OPERATIVA DAS FRAGATAS ?CLASSE TAMANDARE? DESENVOLVIDAS NO AMBITO DO PROGRAMA FRAGATA CLASSE TAMANDARE (PFCT)</t>
  </si>
  <si>
    <t>2118 - PROGRAMA DE GESTAO E MANUTENCAO DO MINISTERIO DAS RELACOES EXTERIORES</t>
  </si>
  <si>
    <t>20TT - PROMOCAO DO DESENVOLVIMENTO DO SETOR DE COMERCIO E SERVICOS</t>
  </si>
  <si>
    <t>10KK - CONSTRUCAO DE TRECHO RODOVIARIO - ENTRONCAMENTO BR-163/MT (SORRISO) - ENTRONCAMENTO BR-158/MT (RIBEIRAO CASCALHEIRA) - NA BR-242/MT</t>
  </si>
  <si>
    <t>21AJ - AGROPECUARIA CONSERVACIONISTA</t>
  </si>
  <si>
    <t>00GT - CONTRIBUICAO AO PARLAMENTO DO MERCOSUL - PARLASUL (MRE)</t>
  </si>
  <si>
    <t>00OW - APOIO A MANUTENCAO DA EDUCACAO INFANTIL</t>
  </si>
  <si>
    <t>2E74 - ESTRUTURACAO E MODERNIZACAO DE UNIDADES DE SAUDE DAS FORCAS ARMADAS</t>
  </si>
  <si>
    <t>14TQ - IMPLANTACAO DE INFRAESTRUTURA PARA OS JOGOS OLIMPICOS E PARAOLIMPICOS RIO 2016</t>
  </si>
  <si>
    <t>12MG - IMPLANTACAO DE ESPACOS INTEGRADOS DE ESPORTE, CULTURA, LAZER E SERVICOS PUBLICOS - PRACAS DOS ESPORTES E DA CULTURA</t>
  </si>
  <si>
    <t>00BC - CONTRIBUICAO A AGENCIA BRASILEIRO-ARGENTINA DE CONTABILIDADE E CONTROLE DE MATERIAIS NUCLEARES - ABACC (MRE)</t>
  </si>
  <si>
    <t>00SM - APOIO A IMPLANTACAO DE INFRAESTRUTURA ESPORTIVA DE ALTO RENDIMENTO</t>
  </si>
  <si>
    <t>0B75 - CONTRIBUICAO AO TRIBUNAL PENAL INTERNACIONAL - TPI (MRE)</t>
  </si>
  <si>
    <t>006C - FINANCIAMENTO AO SETOR AUDIOVISUAL - FUNDO SETORIAL DO AUDIOVISUAL (LEI N. 11.437, DE 2006)</t>
  </si>
  <si>
    <t>6105 - RELACOES E NEGOCIACOES NO AMBITO DA ORGANIZACAO MUNDIAL DO COMERCIO - OMC</t>
  </si>
  <si>
    <t>10TN - IMPLANTACAO DA ADVOCACIA PUBLICA ELETRONICA E-AGU</t>
  </si>
  <si>
    <t>0070 - CONTRIBUICAO AO INSTITUTO INTERAMERICANO DE COOPERACAO PARA A AGRICULTURA - IICA (MAPA)</t>
  </si>
  <si>
    <t>7XA3 - ADEQUACAO DE TRECHO RODOVIARIO - VILHENA - PORTO VELHO - NA BR-364/RO</t>
  </si>
  <si>
    <t>21D4 - MODERNIZACAO E ADEQUACAO DO SISTEMA DE PROTECAO DA SOCIEDADE</t>
  </si>
  <si>
    <t>20SW - FORMACAO E CAPACITACAO PARA A AVIACAO CIVIL</t>
  </si>
  <si>
    <t>11ZE - CONSTRUCAO DA FERROVIA DE INTEGRACAO OESTE-LESTE - ILHEUS/BA - CAETITE/BA - EF-334</t>
  </si>
  <si>
    <t>5024 - ATENCAO INTEGRAL A PRIMEIRA INFANCIA</t>
  </si>
  <si>
    <t>217M - DESENVOLVIMENTO INTEGRAL NA PRIMEIRA INFANCIA - CRIANCA FELIZ</t>
  </si>
  <si>
    <t>10SJ - APOIO A PRODUCAO DE INTERESSE SOCIAL</t>
  </si>
  <si>
    <t>8855 - FORTALECIMENTO E MODERNIZACAO DAS INSTITUICOES DE SEGURANCA PUBLICA</t>
  </si>
  <si>
    <t>15EH - IMPLANTACAO DE SISTEMAS ESTRATEGICOS PARA GESTAO TRIBUTARIA E ADUANEIRA</t>
  </si>
  <si>
    <t>00IO - INVENTARIANCA DO FUNDO NACIONAL DE DESENVOLVIMENTO - FND (EXTINTO PELA LEI N. 12.431, DE 2011)</t>
  </si>
  <si>
    <t>0867 - CONTRIBUICAO A SECRETARIA DO MERCADO COMUM DO SUL - MERCOSUL (MRE)</t>
  </si>
  <si>
    <t>8652 - APOIO A REDE PUBLICA NAO FEDERAL DE EDUCACAO PROFISSIONAL, CIENTIFICA E TECNOLOGICA</t>
  </si>
  <si>
    <t>1ABF - PROJETO URUBU/KAAPOR TIMBIRA ± T.I. ALTO TURIACU</t>
  </si>
  <si>
    <t>00T7 - APOIO A IMPLANTACAO DA ADUTORA DO AGRESTE</t>
  </si>
  <si>
    <t>00T8 - APOIO A CONSTRUCAO DO CANAL ADUTOR VERTENTE LITORANEA</t>
  </si>
  <si>
    <t>1ADB - INDENIZACAO BELO MONTE</t>
  </si>
  <si>
    <t>00BG - CONTRIBUICAO A COMISSAO PREPARATORIA DA ORGANIZACAO DO TRATADO DE PROIBICAO COMPLETA DE TESTES NUCLEARES - CTBTO (MRE)</t>
  </si>
  <si>
    <t>15ZK - IMPLANTACAO DO PROJETO SERIDO</t>
  </si>
  <si>
    <t>006A - INVESTIMENTOS RETORNAVEIS NO SETOR AUDIOVISUAL MEDIANTE PARTICIPACAO EM EMPRESAS E PROJETOS - FUNDO SETORIAL DO AUDIOVISUAL</t>
  </si>
  <si>
    <t>0218 - CONTRIBUICAO A ORGANIZACAO PAN-AMERICANA DE SAUDE - OPAS (MS)</t>
  </si>
  <si>
    <t>0872 - CONTRIBUICAO A ORGANIZACAO MUNDIAL DO COMERCIO - OMC (MRE)</t>
  </si>
  <si>
    <t>00PX - TRANSFERENCIA DE RECURSOS ARRECADADOS POR TAXA DE OCUPACAO, FORO E LAUDEMIO</t>
  </si>
  <si>
    <t>200D - PARTICIPACAO BRASILEIRA EM TELESCOPIOS INTERNACIONAIS</t>
  </si>
  <si>
    <t>1ADC - PROJETO ASSURINI</t>
  </si>
  <si>
    <t>21EN - GESTAO DE UNIDADES DE CONSERVACAO RELACIONADA A PROTECAO DA VIDA, DA SAUDE E DA SEGURANCA EM TERRAS INDIGENAS</t>
  </si>
  <si>
    <t>0913 - OPERACOES ESPECIAIS - INTEGRALIZACAO DE COTAS EM ORGANISMOS FINANCEIROS INTERNACIONAIS</t>
  </si>
  <si>
    <t>00OP - INTEGRALIZACAO DE COTAS DE CAPITAL EM ORGANISMOS FINANCEIROS INTERNACIONAIS</t>
  </si>
  <si>
    <t>12G6 - RECUPERACAO DE RESERVATORIOS ESTRATEGICOS PARA A INTEGRACAO DO RIO SAO FRANCISCO</t>
  </si>
  <si>
    <t>20YL - ESTRUTURACAO DE ACADEMIAS DA SAUDE</t>
  </si>
  <si>
    <t>10BC - IMPLANTACAO DE PROJETOS DE IRRIGACAO</t>
  </si>
  <si>
    <t>00RO - CONTRIBUICAO A AUTORIDADE INTERNACIONAL DOS FUNDOS MARINHOS - ISBA (MRE)</t>
  </si>
  <si>
    <t>4450 - APRESTAMENTO DO EXERCITO</t>
  </si>
  <si>
    <t>123B - DESENVOLVIMENTO DE CARGUEIRO TATICO MILITAR DE 10 A 20 TONELADAS (PROJETO KC-X)</t>
  </si>
  <si>
    <t>20B0 - ESTRUTURACAO DA ATENCAO ESPECIALIZADA EM SAUDE MENTAL</t>
  </si>
  <si>
    <t>0017 - CONTRIBUICAO A ORGANIZACAO INTERNACIONAL DO CAFE - OIC (MAPA)</t>
  </si>
  <si>
    <t>20NK - ESTRUTURACAO E DINAMIZACAO DE ARRANJOS PRODUTIVOS LOCAIS EM ESPACOS SUB-REGIONAIS</t>
  </si>
  <si>
    <t>10GM - ESTUDOS E PROJETOS DE INFRAESTRUTURA PARA SEGURANCA HIDRICA</t>
  </si>
  <si>
    <t>13CL - CONSTRUCAO DE FONTE DE LUZ SINCROTRON DE 4. GERACAO - SIRIUS, POR ORGANIZACAO SOCIAL (LEI N. 9.637, DE 15 DE MAIO DE 1998)</t>
  </si>
  <si>
    <t>00B7 - CONTRIBUICAO A ORGANIZACAO DOS ESTADOS AMERICANOS - OEA (MRE)</t>
  </si>
  <si>
    <t>7XM5 - CONSTRUCAO DE PONTE SOBRE O RIO PARNAIBA NA DIVISA PI/MA - NA BR-330/PI</t>
  </si>
  <si>
    <t>15VY - CONSTRUCAO DA SEDE DA FIOCRUZ RONDONIA</t>
  </si>
  <si>
    <t>00U7 - APOIO AOS ENTES FEDERADOS POR MEIO DO INDICE DE GESTAO DESCENTRALIZADA DO PROGRAMA AUXILIO BRASIL - IGD - PAB</t>
  </si>
  <si>
    <t>2E89 - INCREMENTO TEMPORARIO AO CUSTEIO DOS SERVICOS DE ATENCAO PRIMARIA A SAUDE PARA CUMPRIMENTO DE METAS</t>
  </si>
  <si>
    <t>15MZ - ADEQUACAO DE SISTEMAS DE ESGOTAMENTO SANITARIO NA AREA DE ATUACAO DA CODEVASF</t>
  </si>
  <si>
    <t>15XB - CONSTRUCAO DO INSTITUTO NACIONAL DE IDENTIFICACAO - INI/DIREX/PF</t>
  </si>
  <si>
    <t>0089 - CONTRIBUICAO A UNIAO INTERNACIONAL DE TELECOMUNICACOES - UIT (ANATEL)</t>
  </si>
  <si>
    <t>0123 - CONTRIBUICAO A ORGANIZACAO MARITIMA INTERNACIONAL - IMO (MD)</t>
  </si>
  <si>
    <t>12KV - IMPLANTACAO E ADEQUACAO DE ESTRUTURAS ESPORTIVAS ESCOLARES</t>
  </si>
  <si>
    <t>7R82 - ADEQUACAO DE TRECHO RODOVIARIO - DIVISA DF/GO - DIVISA GO/BA - NA BR-020/GO</t>
  </si>
  <si>
    <t>20UD - PREVENCAO A VIOLENCIA E A CRIMINALIDADE</t>
  </si>
  <si>
    <t>20ZJ - FISCALIZACAO E REGULAMENTACAO DO SETOR AUDIOVISUAL</t>
  </si>
  <si>
    <t>20QI - IMPLANTACAO E MANUTENCAO DA FORCA NACIONAL DO SISTEMA UNICO DE SAUDE (FN-SUS)</t>
  </si>
  <si>
    <t>20W2 - ENFRENTAMENTO DOS PROCESSOS DE DESERTIFICACAO, MITIGACAO E ADAPTACAO AOS EFEITOS DA SECA</t>
  </si>
  <si>
    <t>20VS - FORMULACAO E APOIO A IMPLEMENTACAO DA POLITICA NACIONAL DE RECURSOS HIDRICOS</t>
  </si>
  <si>
    <t>20YY - ESTUDOS, PESQUISAS E GERACAO DE INFORMACOES SOBRE TRABALHO, EMPREGO E RENDA</t>
  </si>
  <si>
    <t>0074 - CONTRIBUICAO A ORGANIZACAO DAS NACOES UNIDAS PARA A ALIMENTACAO E AGRICULTURA - FAO (MRE)</t>
  </si>
  <si>
    <t>21EK - FISCALIZACAO AMBIENTAL RELACIONADA A PROTECAO DA VIDA, DA SAUDE E DA SEGURANCA EM TERRAS INDIGENAS</t>
  </si>
  <si>
    <t>0515 - DINHEIRO DIRETO NA ESCOLA PARA A EDUCACAO BASICA</t>
  </si>
  <si>
    <t>2063 - PROMOCAO E DEFESA DOS DIREITOS DE PESSOAS COM DEFICIENCIA</t>
  </si>
  <si>
    <t>210N - PROMOCAO E DEFESA DOS DIREITOS DA PESSOA COM DEFICIENCIA</t>
  </si>
  <si>
    <t>8866 - APOIO A REGULARIZACAO FUNDIARIA EM AREAS URBANAS</t>
  </si>
  <si>
    <t>00R4 - CONTRIBUICAO A AGENCIA INTERNACIONAL ANTIDOPING - WADA</t>
  </si>
  <si>
    <t>2E90 - INCREMENTO TEMPORARIO AO CUSTEIO DOS SERVICOS DE ASSISTENCIA HOSPITALAR E AMBULATORIAL PARA CUMPRIMENTO DE METAS</t>
  </si>
  <si>
    <t>147S - AMPLIACAO DA REDE NACIONAL DE MONITORAMENTO METEOROLOGICO</t>
  </si>
  <si>
    <t>8902 - PROMOCAO DE INVESTIMENTOS EM INFRAESTRUTURA ECONOMICA</t>
  </si>
  <si>
    <t>00SR - CONTRIBUICAO VOLUNTARIA AO INSTITUTO INTERAMERICANO DE DIREITOS HUMANOS DA UNIORE - IIDH</t>
  </si>
  <si>
    <t>1P95 - APOIO A ELABORACAO DE PLANOS E PROJETOS DE SANEAMENTO EM MUNICIPIOS COM POPULACAO SUPERIOR A 50 MIL HABITANTES OU INTEGRANTES DE REGIOES METROPOLITANAS OU DE REGIOES INTEGRADAS DE DESENVOLVIMENTO</t>
  </si>
  <si>
    <t>210X - APOIO AO DESENVOLVIMENTO SUSTENTAVEL DE TERRITORIOS RURAIS</t>
  </si>
  <si>
    <t>7P87 - ADEQUACAO DE TRAVESSIA URBANA EM JI-PARANA - NA BR-364/RO</t>
  </si>
  <si>
    <t>1ABE - PROJETO COMPANHIA VALE DO RIO DOCE ± CVRD</t>
  </si>
  <si>
    <t>20Z1 - QUALIFICACAO SOCIAL E PROFISSIONAL DE TRABALHADORES</t>
  </si>
  <si>
    <t>0284 - AMORTIZACAO E ENCARGOS DE FINANCIAMENTO DA DIVIDA CONTRATUAL EXTERNA</t>
  </si>
  <si>
    <t>21EM - EMPREGO DAS FORCAS ARMADAS EM APOIO A ACOES EMERGENCIAIS EM TERRAS INDIGENAS</t>
  </si>
  <si>
    <t>211K - APOIO A IMPLANTACAO DE INFRAESTRUTURA ECONOMICA SOCIAL E PRODUTIVA</t>
  </si>
  <si>
    <t>0021 - FINANCIAMENTO PARA MODERNIZACAO DA GESTAO ADMINISTRATIVA E FISCAL DOS MUNICIPIOS</t>
  </si>
  <si>
    <t>14XT - EXPANSAO DAS INSTALACOES FISICA E LABORATORIAL DO LNNANO, POR ORGANIZACAO SOCIAL (LEI N. 9.637, DE 15 DE MAIO DE 1998)</t>
  </si>
  <si>
    <t>00QX - PAGAMENTO DA TAXA DE ADMINISTRACAO DO ESCRITORIO LOCAL DO PROGRAMA DAS NACOES UNIDAS PARA O DESENVOLVIMENTO (PNUD)</t>
  </si>
  <si>
    <t>2B30 - ESTRUTURACAO DA REDE DE SERVICOS DE PROTECAO SOCIAL BASICA</t>
  </si>
  <si>
    <t>1ACK - PROJETO GUAJAJARA/CARU - T.I CARU</t>
  </si>
  <si>
    <t>1214 - ATENCAO BASICA EM SAUDE</t>
  </si>
  <si>
    <t>0310 - GESTAO DA POLITICA DE DESENVOLVIMENTO URBANO</t>
  </si>
  <si>
    <t>0359 - CONTRIBUICAO AO FUNDO GARANTIA-SAFRA (LEI N. 10.420, DE 2002)</t>
  </si>
  <si>
    <t>00RN - CONTRIBUICAO A ORGANIZACAO MUNDIAL DE TURISMO - OMT (MTUR)</t>
  </si>
  <si>
    <t>15WH - CONSTRUCAO DA SUPERINTENDENCIA REGIONAL EM MINAS GERAIS</t>
  </si>
  <si>
    <t>21AH - GOVERNANCA, ESTUDOS ESTRATEGICOS E REGULACAO DE ATIVIDADES ESPACIAIS</t>
  </si>
  <si>
    <t>13DU - CONSTRUCAO DO COMPLEXO DE PESQUISA E DESENVOLVIMENTO EM SAUDE E PRODUCAO DE IMUNOBIOLOGICOS DA FIOCRUZ NO CEARA</t>
  </si>
  <si>
    <t>00TK - APOIO A SISTEMAS DE DRENAGEM URBANA SUSTENTAVEL E DE MANEJO DE AGUAS PLUVIAIS EM MUNICIPIOS CRITICOS SUJEITOS A EVENTOS RECORRENTES DE INUNDACOES, ENXURRADAS E ALAGAMENTOS</t>
  </si>
  <si>
    <t>217W - OPERACAO DE SISTEMAS ESPACIAIS DE OBSERVACAO DA TERRA</t>
  </si>
  <si>
    <t>1N64 - IMPLANTACAO DA ADUTORA PAJEU NOS ESTADOS DE PERNAMBUCO E PARAIBA</t>
  </si>
  <si>
    <t>7S97 - CONSTRUCAO DE CONTORNO RODOVIARIO - NO MUNICIPIO DE BRASILEIA - NA BR-317/AC</t>
  </si>
  <si>
    <t>2130 - PROGRAMA DE GESTAO E MANUTENCAO DA ADVOCACIA-GERAL DA UNIAO</t>
  </si>
  <si>
    <t>1276 - CONSTRUCAO DE CONTORNO FERROVIARIO EM SAO FRANCISCO DO SUL - NA EF-485/SC</t>
  </si>
  <si>
    <t>9991 - HABITACAO DE INTERESSE SOCIAL</t>
  </si>
  <si>
    <t>0069 - CONTRIBUICAO AO CENTRO PAN-AMERICANO DE FEBRE AFTOSA - PANAFTOSA (MAPA)</t>
  </si>
  <si>
    <t>216F - GESTAO DA POLITICA DE SANEAMENTO BASICO</t>
  </si>
  <si>
    <t>21DF - RECUPERACAO DE RESERVATORIOS ESTRATEGICOS PARA A INTEGRACAO DO RIO SAO FRANCISCO</t>
  </si>
  <si>
    <t>0113 - CONTRIBUICAO AO FUNDO DE COOPERACAO TECNICA DA AGENCIA INTERNACIONAL DE ENERGIA ATOMICA - AIEA FCT (MRE)</t>
  </si>
  <si>
    <t>20SL - APOIO A IMPLANTACAO DE INFRAESTRUTURA PARA OS JOGOS OLIMPICOS E PARAOLIMPICOS RIO 2016</t>
  </si>
  <si>
    <t>15W5 - REESTRUTURACAO DO SISTEMA DE ENGENHARIA DO EXERCITO</t>
  </si>
  <si>
    <t>0080 - SUBVENCAO ECONOMICA AO PRECO DO OLEO DIESEL DE EMBARCACOES PESQUEIRAS (LEI N. 9.445, DE 1997)</t>
  </si>
  <si>
    <t>12KY - CONSTRUCAO DE CONTORNO RODOVIARIO EM CUIABA - NAS BRS 070/163/364/MT</t>
  </si>
  <si>
    <t>7S62 - CONSTRUCAO DE TRECHO RODOVIARIO - VISEU - BRAGANCA - NA BR-308/PA</t>
  </si>
  <si>
    <t>0083 - PREVIDENCIA SOCIAL BASICA</t>
  </si>
  <si>
    <t>8348 - APOIO A OBRAS EMERGENCIAIS DE MITIGACAO PARA REDUCAO DE DESASTRES</t>
  </si>
  <si>
    <t>20VP - APOIO A CONSERVACAO AMBIENTAL E A ERRADICACAO DA EXTREMA POBREZA - BOLSA VERDE</t>
  </si>
  <si>
    <t>10M8 - DESENVOLVIMENTO DO SISTEMA DE GESTAO DE PESSOAS - SIGEPE.GOV</t>
  </si>
  <si>
    <t>2532 - COOPERACAO COM PAISES DE LINGUA PORTUGUESA E PAISES MEMBROS DE ORGANISMOS REGIONAIS AFRICANOS</t>
  </si>
  <si>
    <t>0073 - CONTRIBUICAO A ORGANIZACAO MUNDIAL DE SAUDE ANIMAL - OIE (MAPA)</t>
  </si>
  <si>
    <t>00NJ - DOACAO A AGENCIA INTERNACIONAL DE COMPRA DE MEDICAMENTOS PARA PAISES EM DESENVOLVIMENTO - UNITAID</t>
  </si>
  <si>
    <t>20JQ - REALIZACAO E APOIO A EVENTOS DE ESPORTE, LAZER E INCLUSAO SOCIAL</t>
  </si>
  <si>
    <t>00BU - CONTRIBUICAO AO TRIBUNAL INTERNACIONAL DO DIREITO DO MAR - TIDM (MRE)</t>
  </si>
  <si>
    <t>156O - OBTENCAO DE MEIOS DA MARINHA</t>
  </si>
  <si>
    <t>00LS - CONTRIBUICAO A CONVENCAO-QUADRO SOBRE CONTROLE DO USO DO TABACO - CQCT FCTC (MS)</t>
  </si>
  <si>
    <t>5E15 - CONSTRUCAO DE TRECHO RODOVIARIO - PEIXE - PARANA - TAGUATINGA - NA BR-242/TO</t>
  </si>
  <si>
    <t>00RM - CONTRIBUICAO A CONVENCAO INTERNACIONAL DAS NACOES UNIDAS DE COMBATE A DESERTIFICACAO NOS PAISES AFETADOS POR SECA GRAVE E/OU DESERTIFICACAO - UNCCD (MMA)</t>
  </si>
  <si>
    <t>008A - CONTRIBUICAO A ACADEMIA BRASILEIRA DE CIENCIAS - ABC</t>
  </si>
  <si>
    <t>00TP - APOIO A ELABORACAO DE PLANOS E PROJETOS DE SANEAMENTO EM MUNICIPIOS COM POPULACAO SUPERIOR A 50 MIL HABITANTES OU INTEGRANTES DE REGIOES METROPOLITANAS OU DE REGIOES INTEGRADAS DE DESENVOLVIMENTO</t>
  </si>
  <si>
    <t>00TI - APOIO A PRODUCAO HABITACIONAL DE INTERESSE SOCIAL</t>
  </si>
  <si>
    <t>2031 - EDUCACAO PROFISSIONAL E TECNOLOGICA</t>
  </si>
  <si>
    <t>00NQ - CONTRIBUICAO A ASSOCIACAO PARA PROMOCAO DA EXCELENCIA DO SOFTWARE BRASILEIRO - SOFTEX</t>
  </si>
  <si>
    <t>0505 - FINANCIAMENTO A PROJETOS DE DESENVOLVIMENTO DE TECNOLOGIAS NAS TELECOMUNICACOES</t>
  </si>
  <si>
    <t>00F8 - CONTRIBUICAO A SOCIEDADE BRASILEIRA PARA O PROGRESSO DA CIENCIA - SBPC</t>
  </si>
  <si>
    <t>21ED - FORTALECIMENTO DO PROGRAMA NACIONAL DE GENOMICA E SAUDE DE PRECISAO - GENOMAS BRASIL</t>
  </si>
  <si>
    <t>12L5 - CONSTRUCAO E AMPLIACAO DE UNIDADES BASICAS DE SAUDE - UBS</t>
  </si>
  <si>
    <t>00UN - APOIO A IMPLANTACAO, AMPLIACAO, MELHORIAS OU ADEQUACAO DE SISTEMAS DE ABASTECIMENTO DE AGUA EM AREAS DE ATUACAO DA CODEVASF</t>
  </si>
  <si>
    <t>00CY - TRANSFERENCIAS AO FUNDO DE DESENVOLVIMENTO SOCIAL - FDS (LEI N. 14.118, DE 2021)</t>
  </si>
  <si>
    <t>20DB - APOIO A REALIZACAO DA COPA DO MUNDO FIFA 2014</t>
  </si>
  <si>
    <t>14TP - IMPLANTACAO DE INFRAESTRUTURA ESPORTIVA DE ALTO RENDIMENTO</t>
  </si>
  <si>
    <t>2016 - POLITICAS PARA AS MULHERES: PROMOCAO DA IGUALDADE E ENFRENTAMENTO A VIOLENCIA</t>
  </si>
  <si>
    <t>210A - PROMOCAO DE POLITICAS DE IGUALDADE E DE DIREITOS DAS MULHERES</t>
  </si>
  <si>
    <t>2047 - SIMPLIFICACAO DA VIDA DA EMPRESA E DO CIDADAO: BEM MAISSIMPLES BRASIL</t>
  </si>
  <si>
    <t>7V25 - CONSTRUCAO DE CONTORNO RODOVIARIO - MARINGA - PAICANDU - SARANDI - MARIALVA - NA BR-376/PR</t>
  </si>
  <si>
    <t>0190 - CONTRIBUICAO A CONVENCAO-QUADRO DAS NACOES UNIDAS SOBRE MUDANCA DO CLIMA - UNFCCC (MCTI)</t>
  </si>
  <si>
    <t>8858 - VALORIZACAO DE PROFISSIONAIS E OPERADORES DE SEGURANCA PUBLICA</t>
  </si>
  <si>
    <t>15YT - REFORMA E REAPARELHAMENTO DO AEROPORTO DE DOURADOS/MS</t>
  </si>
  <si>
    <t>21E9 - MANUTENCAO DA CAPACIDADE OPERATIVA DOS SUBMARINOS S-BR ?CLASSE RIACHUELO? DESENVOLVIDOS NO AMBITO DO PROGRAMA DE DESENVOLVIMENTO DE SUBMARINOS (PROSUB)</t>
  </si>
  <si>
    <t>15WI - CONSTRUCAO DA SUPERINTENDENCIA REGIONAL NO PIAUI-PI</t>
  </si>
  <si>
    <t>00RK - CONTRIBUICAO A COMISSAO MISTA BRASILEIRO ARGENTINA PARA GESTAO E MANUTENCAO DA PONTE SAO BORJA E SAO TOME</t>
  </si>
  <si>
    <t>7XJ9 - ADEQUACAO DE TRECHO RODOVIARIO - DIVISA PI/MA - DIVISA MA/TO - NA BR-226/MA</t>
  </si>
  <si>
    <t>7XM0 - CONSTRUCAO DE CONTORNO RODOVIARIO EM FEIRA DE SANTANA - NA BR-324/BA</t>
  </si>
  <si>
    <t>14RL - REALIZACAO DE ESTUDOS, PROJETOS E OBRAS PARA CONTENCAO OU AMORTECIMENTO DE CHEIAS E INUNDACOES E PARA CONTENCAO DE EROSOES MARINHAS E FLUVIAIS</t>
  </si>
  <si>
    <t>1006 - GESTAO DA POLITICA DE DESENVOLVIMENTO SOCIAL E COMBATE A FOME</t>
  </si>
  <si>
    <t>2272 - GESTAO E ADMINISTRACAO DO PROGRAMA</t>
  </si>
  <si>
    <t>2064 - PROMOCAO E DEFESA DOS DIREITOS HUMANOS</t>
  </si>
  <si>
    <t>20ZN - PROMOCAO DOS DIREITOS HUMANOS</t>
  </si>
  <si>
    <t>1ACX - PROGRAMA DE COMPENSACAO COMPLEXO JURUENA</t>
  </si>
  <si>
    <t>00UR - AUXILIO FINANCEIRO AOS ESTADOS, AO DISTRITO FEDERAL E AOS MUNICIPIOS RELACIONADO A ACOES EMERGENCIAIS DESTINADAS AO SETOR CULTURAL (LEI COMPLEMENTAR N. 195, DE 8 DE JULHO DE 2022)</t>
  </si>
  <si>
    <t>00EE - INTEGRALIZACAO DE COTAS NO FUNDO GARANTIDOR DE OPERACOES (FGO) PARA O PROGRAMA NACIONAL DE APOIO AS MICROEMPRESAS E EMPRESAS DE PEQUENO PORTE (PRONAMPE)</t>
  </si>
  <si>
    <t>20N8 - PROMOCAO DE INICIATIVAS PARA O APRIMORAMENTO DA PRODUCAO E A INSERCAO MERCADOLOGICA - PLANO BRASIL SEM MISERIA</t>
  </si>
  <si>
    <t>4236 - APRECIACAO E JULGAMENTO DE CAUSAS</t>
  </si>
  <si>
    <t>0128 - CONTRIBUICAO A ORGANIZACAO DAS NACOES UNIDAS - ONU (MRE)</t>
  </si>
  <si>
    <t>00US - APOIO AOS ENTES FEDERADOS POR MEIO DO INDICE DE GESTAO DESCENTRALIZADA DO PROGRAMA BOLSA FAMILIA E DO CADASTRO UNICO PARA PROGRAMAS SOCIAIS DO GOVERNO FEDERAL - IGD</t>
  </si>
  <si>
    <t>7U27 - ADEQUACAO DE ACESSO RODOVIARIO AO PORTO DE PECEM (CE-155) - NA BR-222/CE</t>
  </si>
  <si>
    <t>15YS - IMPLANTACAO DO ALOJAMENTO DO ITA</t>
  </si>
  <si>
    <t>215J - DEFESA DOS DIREITOS HUMANOS</t>
  </si>
  <si>
    <t>20Z9 - APOIO A COMPETITIVIDADE E A MODERNIZACAO DA CONSTRUCAO CIVIL COM SUSTENTABILIDADE AMBIENTAL</t>
  </si>
  <si>
    <t>00F7 - CONTRIBUICAO A ASSOCIACAO BRASILEIRA DAS INSTITUICOES DE PESQUISA TECNOLOGICA - ABIPTI</t>
  </si>
  <si>
    <t>2061 - PREVIDENCIA SOCIAL</t>
  </si>
  <si>
    <t>0146 - CONTRIBUICAO AO FUNDO DO PATRIMONIO MUNDIAL - FPM (MINC)</t>
  </si>
  <si>
    <t>2250 - SELECAO E DESENVOLVIMENTO DE PESSOAS</t>
  </si>
  <si>
    <t>0026 - COBERTURA DE DEFICIT NAS OPERACOES DE SEGURO RURAL</t>
  </si>
  <si>
    <t>20YV - DEMOCRATIZACAO DAS RELACOES DE TRABALHO</t>
  </si>
  <si>
    <t>20XN - APRESTAMENTO DA MARINHA</t>
  </si>
  <si>
    <t>6662 - FORMULACAO E DESENVOLVIMENTO DE POLITICAS E ESTRATEGIAS DE LONGO PRAZO</t>
  </si>
  <si>
    <t>7XW5 - CONSTRUCAO DE TREVO DE ACESSO A BAIXO GUANDU - NA BR-259/ES</t>
  </si>
  <si>
    <t>8106 - APOIO A PROJETOS AUDIOVISUAIS ESPECIFICOS - FUNDO SETORIAL DO AUDIOVISUAL</t>
  </si>
  <si>
    <t>00T5 - APOIO A REALIZACAO DE ESTUDOS, PROJETOS E OBRAS DOS ENTES FEDERADOS PARA CONTENCAO OU AMORTECIMENTO DE CHEIAS E INUNDACOES E PARA CONTENCAO DE EROSOES MARINHAS E FLUVIAIS</t>
  </si>
  <si>
    <t>2022 - COMBUSTIVEIS</t>
  </si>
  <si>
    <t>2085 - REDUCAO DO IMPACTO SOCIAL DO ALCOOL E OUTRAS DROGAS: PREVENCAO, CUIDADO E REINSERCAO SOCIAL</t>
  </si>
  <si>
    <t>00QF - INTEGRALIZACAO DE COTAS EM FUNDO DE APOIO A ESTRUTURACAO E AO DESENVOLVIMENTO DE PROJETOS DE CONCESSOES E PARCERIAS PUBLICO-PRIVADAS DA UNIAO, DOS ESTADOS, DO DISTRITO FEDERAL E DOS MUNICIPIOS</t>
  </si>
  <si>
    <t>210L - PROMOCAO DO DESENVOLVIMENTO ECONOMICO, CIENTIFICO, TECNOLOGICO E DE INOVACAO NA AREA DE ATUACAO DA SUFRAMA</t>
  </si>
  <si>
    <t>8442 - TRANSFERENCIA DIRETA E CONDICIONADA DE RENDA AS FAMILIAS BENEFICIARIAS DO PROGRAMA BOLSA FAMILIA</t>
  </si>
  <si>
    <t>2553 - IDENTIFICACAO DA POPULACAO POR MEIO DA CARTEIRA DE TRABALHO E PREVIDENCIA SOCIAL - CTPS</t>
  </si>
  <si>
    <t>00SP - CONTRIBUICAO VOLUNTARIA AO INSTITUTO INTERNACIONAL PARA A DEMOCRACIA E A ASSISTENCIA ELEITORAL - IDEA</t>
  </si>
  <si>
    <t>12L4 - IMPLANTACAO, CONSTRUCAO E AMPLIACAO DE UNIDADES DE PRONTO ATENDIMENTO - UPA</t>
  </si>
  <si>
    <t>7W59 - IMPLANTACAO DO PROJETO SUL-FRONTEIRA</t>
  </si>
  <si>
    <t>125H - CONSTRUCAO DO COMPLEXO INTEGRADO DO INSTITUTO NACIONAL DE CANCER - INCA</t>
  </si>
  <si>
    <t>0095 - RESSARCIMENTO AS EMPRESAS BRASILEIRAS DE NAVEGACAO</t>
  </si>
  <si>
    <t>2065 - PROTECAO E PROMOCAO DOS DIREITOS DOS POVOS INDIGENAS</t>
  </si>
  <si>
    <t>00SO - APOIO A CONSTRUCAO, REFORMA, EQUIPAGEM E AMPLIACAO DE UNIDADES DE ATENDIMENTO SOCIOEDUCATIVO</t>
  </si>
  <si>
    <t>2078 - CONSERVACAO E USO SUSTENTAVEL DA BIODIVERSIDADE</t>
  </si>
  <si>
    <t>7XK8 - IMPLANTACAO E MELHORIA DE SISTEMAS PUBLICOS DE MANEJO DE RESIDUOS SOLIDOS EM MUNICIPIOS COM ATE 50.000 HABITANTES</t>
  </si>
  <si>
    <t>8874 - APOIO AO PLANEJAMENTO E A GESTAO URBANA MUNICIPAL E INTERFEDERATIVA</t>
  </si>
  <si>
    <t>00UW - ASSISTENCIA FINANCEIRA COMPLEMENTAR AOS ESTADOS, AO DISTRITO FEDERAL E AOS MUNICIPIOS PARA O PAGAMENTO DO PISO SALARIAL DOS PROFISSIONAIS DA ENFERMAGEM</t>
  </si>
  <si>
    <t>7XK6 - IMPLANTACAO, AMPLIACAO E MELHORIA DE SISTEMAS PUBLICOS DE ABASTECIMENTO DE AGUA EM MUNICIPIOS COM ATE 50.000 HABITANTES</t>
  </si>
  <si>
    <t>2124 - PROGRAMA DE GESTAO E MANUTENCAO DO MINISTERIO DO MEIO AMBIENTE</t>
  </si>
  <si>
    <t>2083 - QUALIDADE AMBIENTAL</t>
  </si>
  <si>
    <t>20W6 - APOIO A IMPLEMENTACAO DE INSTRUMENTOS ESTRUTURANTES DA POLITICA NACIONAL DE RESIDUOS SOLIDOS</t>
  </si>
  <si>
    <t>7XG6 - ADEQUACAO DE TRECHO RODOVIARIO - BATAGUASSU - PORTO MURTINHO - NA BR-267/MS</t>
  </si>
  <si>
    <t>20QK - INSTALACAO E MODERNIZACAO DE EQUIPAMENTOS E ESPACOS CULTURAIS</t>
  </si>
  <si>
    <t>1ABK - PROJETO COMUNIDADE INDIGENA AVA±CANOEIRO</t>
  </si>
  <si>
    <t>00TH - APOIO A URBANIZACAO DE ASSENTAMENTOS PRECARIOS POR MEIO DO FUNDO NACIONAL DE HABITACAO DE INTERESSE SOCIAL</t>
  </si>
  <si>
    <t>2087 - TRANSPORTE TERRESTRE</t>
  </si>
  <si>
    <t>0C39 - CONTRIBUICAO A ORGANIZACAO INTERNACIONAL DE MADEIRAS TROPICAIS - OIMT (MMA)</t>
  </si>
  <si>
    <t>0299 - SUBVENCAO ECONOMICA NAS AQUISICOES DO GOVERNO FEDERAL E NA FORMACAO DE ESTOQUES REGULADORES E ESTRATEGICOS - AGF (LEI N. 8.427, DE 1992)</t>
  </si>
  <si>
    <t>1136 - FORTALECIMENTO DA GESTAO URBANA</t>
  </si>
  <si>
    <t>20UV - FOMENTO A PESQUISA E DESENVOLVIMENTO EM CIENCIA E TECNOLOGIA DO MAR E ANTARTICA E A INFRAESTRUTURA OCEANICA E ANTARTICA</t>
  </si>
  <si>
    <t>148D - DESENVOLVIMENTO E IMPLANTACAO DO NOVO SISTEMA DE CONTROLE DE ATIVIDADES FINANCEIRAS - SISCOAF II</t>
  </si>
  <si>
    <t>2E94 - FOMENTO A PESQUISA VOLTADA PARA A GERACAO DE CONHECIMENTO, NOVAS TECNOLOGIAS, PRODUTOS E PROCESSOS INOVADORES NO SETOR AGROPECUARIO</t>
  </si>
  <si>
    <t>2C43 - GESTAO DO FUNDO DE AMPARO AO TRABALHADOR - FAT</t>
  </si>
  <si>
    <t>20G2 - FORMACAO E APERFEICOAMENTO DE MAGISTRADOS</t>
  </si>
  <si>
    <t>00F4 - CONTRIBUICAO AO PROTOCOLO DE MONTREAL SOBRE SUBSTANCIAS QUE DESTROEM A CAMADA DE OZONIO - PROTOCOLO DE MONTREAL (MRE)</t>
  </si>
  <si>
    <t>Rótulos de Linha</t>
  </si>
  <si>
    <t>Total Geral</t>
  </si>
  <si>
    <t>Média de Valor Empenhado</t>
  </si>
  <si>
    <t>Rótulos de Coluna</t>
  </si>
  <si>
    <t>jan</t>
  </si>
  <si>
    <t>fev</t>
  </si>
  <si>
    <t>mar</t>
  </si>
  <si>
    <t>abr</t>
  </si>
  <si>
    <t>mai</t>
  </si>
  <si>
    <t>jun</t>
  </si>
  <si>
    <t>jul</t>
  </si>
  <si>
    <t>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</si>
</sst>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7" fontId="0" fillId="0" borderId="0" xfId="0" applyNumberFormat="1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Drop" dropStyle="combo" dx="22" fmlaLink="$C$7" fmlaRange="'fernando de verdade'!$C$1:$G$7707" noThreeD="1" sel="25" val="1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</xdr:row>
          <xdr:rowOff>28575</xdr:rowOff>
        </xdr:from>
        <xdr:to>
          <xdr:col>8</xdr:col>
          <xdr:colOff>371475</xdr:colOff>
          <xdr:row>11</xdr:row>
          <xdr:rowOff>104775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AFD91D5E-0115-4834-A05C-45A2B5589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3.81483275463" createdVersion="6" refreshedVersion="6" minRefreshableVersion="3" recordCount="7706" xr:uid="{9B3D5515-F765-4E73-AA5F-2F1BCC6D457D}">
  <cacheSource type="worksheet">
    <worksheetSource ref="A1:F7707" sheet="fernando de verdade"/>
  </cacheSource>
  <cacheFields count="7">
    <cacheField name="Mês Ano" numFmtId="17">
      <sharedItems containsSemiMixedTypes="0" containsNonDate="0" containsDate="1" containsString="0" minDate="2023-01-01T00:00:00" maxDate="2023-08-02T00:00:00" count="8"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</sharedItems>
      <fieldGroup par="6" base="0">
        <rangePr groupBy="days" startDate="2023-01-01T00:00:00" endDate="2023-08-02T00:00:00"/>
        <groupItems count="368">
          <s v="&lt;01/01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08/2023"/>
        </groupItems>
      </fieldGroup>
    </cacheField>
    <cacheField name="Programa Orçamentário" numFmtId="0">
      <sharedItems/>
    </cacheField>
    <cacheField name="Ação Orçamentária" numFmtId="0">
      <sharedItems count="1174">
        <s v="0455 - SERVICOS DA DIVIDA PUBLICA FEDERAL INTERNA"/>
        <s v="219S - DESENVOLVIMENTO E FORTALECIMENTO DA ECONOMIA CRIATIVA"/>
        <s v="0C33 - TRANSFERENCIA AO FUNDO DE MANUTENCAO E DESENVOLVIMENTO DA EDUCACAO BASICA E DE VALORIZACAO DOS PROFISSIONAIS DA EDUCACAO - FUNDEB"/>
        <s v="4405 - TELEATENDIMENTO PREVIDENCIARIO"/>
        <s v="15VZ - CONSTRUCAO DA SEDE DA FIOCRUZ AMAZONAS"/>
        <s v="0741 - EQUALIZACAO DE TAXA DE JUROS EM FINANCIAMENTO A INOVACAO TECNOLOGICA (LEI N. 10.332, DE 2001)"/>
        <s v="20LI - ESTUDOS PARA O PLANEJAMENTO DO SETOR ENERGETICO"/>
        <s v="7XJ0 - CONSTRUCAO DE TRECHO RODOVIARIO - JACUI - ALPINOPOLIS - NA BR-265/MG"/>
        <s v="218X - OPERACOES DE GARANTIA DA LEI E DA ORDEM"/>
        <s v="0061 - CONCESSAO DE CREDITO PARA AQUISICAO DE IMOVEIS RURAIS E INVESTIMENTOS BASICOS - FUNDO DE TERRAS"/>
        <s v="20V1 - FABRICACAO DE EQUIPAMENTOS PESADOS PARA AS INDUSTRIAS NUCLEAR E DE ALTA TECNOLOGIA"/>
        <s v="215L - FOMENTO A PESQUISA E AO DESENVOLVIMENTO CIENTIFICO E TECNOLOGICO"/>
        <s v="21CA - IMPLANTACAO, AMPLIACAO E MELHORIA DE SISTEMAS PUBLICOS DE ABASTECIMENTO DE AGUA EM MUNICIPIOS COM ATE 50.000 HABITANTES, EXCLUSIVE EM REGIOES METROPOLITANAS (RM) OU REGIOES INTEGRADAS DE DESENVOLVIMENTO ECONOMICO (RIDE)"/>
        <s v="10V0 - APOIO A PROJETOS DE INFRAESTRUTURA TURISTICA"/>
        <s v="15OP - ESTRUTURACAO DO GOVERNO DIGITAL"/>
        <s v="0301 - SUBVENCAO ECONOMICA EM OPERACOES DE INVESTIMENTO RURAL E AGROINDUSTRIAL (LEI N. 8.427, DE 1992)"/>
        <s v="2C42 - PARTICIPACAO PUBLICA NA AGENDA REGULATORIA DO SETOR ELETRICO"/>
        <s v="20XT - PRESTACAO DE SERVICOS MEDICO HOSPITALARES E PESQUISA MEDICAS DO HOSPITAL DAS FORCAS ARMADAS"/>
        <s v="0023 - OBRIGACOES COM A GARANTIA DE CONTRATOS DE FINANCIAMENTO HABITACIONAL"/>
        <s v="2E87 - APOIO A FORMULACAO E IMPLEMENTACAO DE POLITICAS E PROGRAMAS PARA PROTECAO E DEFESA ANIMAL"/>
        <s v="218U - APOIO AO CUSTEIO DE DESPESAS INSTITUCIONAIS DE ENTIDADES REPRESENTATIVAS DOS ENTES ESTADUAIS E MUNICIPAIS NO AMBITO DA SAUDE - CONASS E CONASEMS"/>
        <s v="00HE - CONTRIBUICAO AO TRATADO INTERNACIONAL SOBRE RECURSOS FITOGENETICOS PARA A ALIMENTACAO E AGRICULTURA - TIRFAA (MRE)"/>
        <s v="14RP - REABILITACAO DE BARRAGENS E DE OUTRAS INFRAESTRUTURAS HIDRICAS"/>
        <s v="154K - CONSTRUCAO DA INFRAESTRUTURA DO INSTITUTO NACIONAL DO SEMIARIDO - INSA"/>
        <s v="0029 - FINANCIAMENTO AOS SETORES PRODUTIVOS DA REGIAO CENTRO-OESTE"/>
        <s v="219D - ADEQUACAO DE ATIVOS DE INFRAESTRUTURA DAS ORGANIZACOES MILITARES"/>
        <s v="8715 - PRESERVACAO, ORGANIZACAO, DISSEMINACAO E ACESSO AO CONHECIMENTO E AO PATRIMONIO CULTURAL DA SAUDE"/>
        <s v="1418 - CONSTRUCAO DE TRECHO RODOVIARIO - FERREIRA GOMES - OIAPOQUE (FRONTEIRA COM A GUIANA FRANCESA) - NA BR-156/AP"/>
        <s v="0046 - TRANSFERENCIA DA COTA-PARTE DOS ESTADOS E DF EXPORTADORES NA ARRECADACAO DO IPI (CF, ART. 159)"/>
        <s v="217J - ATUACAO DE ORGAOS COLEGIADOS INTEGRANTES DA ESTRUTURA DO MCTI"/>
        <s v="2819 - FUNCIONAMENTO DE ESTACOES E CENTROS DE PESQUISA EM AQUICULTURA"/>
        <s v="15V2 - REFORMA E REAPARELHAMENTO DO AEROPORTO CIVIL DE ALCANTARA/MA"/>
        <s v="4014 - CENSO ESCOLAR DA EDUCACAO BASICA"/>
        <s v="4185 - FOMENTO A PROJETOS INSTITUCIONAIS PARA PESQUISA NO SETOR DE TECNOLOGIA DA INFORMACAO (CT-INFO)"/>
        <s v="15UJ - DESENVOLVIMENTO E LANCAMENTO DE SATELITE GEOESTACIONARIO DE DEFESA E COMUNICACAO ESTRATEGICA - SGDC"/>
        <s v="20B5 - FORTALECIMENTO DO SISTEMA PUBLICO DE RADIODIFUSAO E COMUNICACAO"/>
        <s v="0E64 - SUBVENCAO ECONOMICA DESTINADA A HABITACAO DE INTERESSE SOCIAL EM CIDADES COM MENOS DE 50.000 HABITANTES (LEI N. 14.118, DE 2021)"/>
        <s v="212H - MANUTENCAO DE CONTRATO DE GESTAO COM ORGANIZACOES SOCIAIS (LEI N. 9.637, DE 15 DE MAIO DE 1998)"/>
        <s v="156N - OBTENCAO DE MEIOS DO EXERCITO"/>
        <s v="7F40 - IMPLANTACAO DO CENTRO ESPACIAL DE ALCANTARA - CEA"/>
        <s v="4572 - CAPACITACAO DE SERVIDORES PUBLICOS FEDERAIS EM PROCESSO DE QUALIFICACAO E REQUALIFICACAO"/>
        <s v="2B31 - ESTRUTURACAO DA REDE DE SERVICOS DE PROTECAO SOCIAL ESPECIAL"/>
        <s v="6908 - FOMENTO A EDUCACAO EM SAUDE AMBIENTAL VOLTADA A PROMOCAO DA SAUDE"/>
        <s v="0045 - TRANSFERENCIA AO FUNDO DE PARTICIPACAO DOS MUNICIPIOS - FPM (CF, ART.159)"/>
        <s v="0158 - FINANCIAMENTO DE PROGRAMAS DE DESENVOLVIMENTO ECONOMICO A CARGO DO BNDES"/>
        <s v="20VB - PESQUISA, DESENVOLVIMENTO TECNOLOGICO E FORMACAO DE CAPITAL HUMANO PARA O SETOR ESPACIAL"/>
        <s v="20Q7 - PRESERVACAO DO PATRIMONIO HISTORICO E CULTURAL DE CIENCIA E DA SAUDE NA FIOCRUZ"/>
        <s v="2B68 - RELACOES COM OS USUARIOS DE SERVICOS DE TELECOMUNICACOES"/>
        <s v="0300 - SUBVENCAO ECONOMICA PARA GARANTIA E SUSTENTACAO DE PRECOS NA COMERCIALIZACAO DE PRODUTOS AGROPECUARIOS (LEI N. 8.427, DE 1992)"/>
        <s v="6881 - MODERNIZACAO E DESENVOLVIMENTO DE SISTEMAS DE INFORMACAO DA FUNASA"/>
        <s v="210C - PROMOCAO DO DESENVOLVIMENTO DE MICRO E PEQUENAS EMPRESAS, MICROEEMPRENDEDOR INDIVIDUAL, POTENCIAL EMPREENDEDOR E ARTESANATO"/>
        <s v="2534 - FORMACAO E APERFEICOAMENTO DE DIPLOMATAS"/>
        <s v="2000 - ADMINISTRACAO DA UNIDADE"/>
        <s v="14RX - IMPLANTACAO DO SISTEMA INTEGRADO DE ABASTECIMENTO DE AGUA CAMPO ALEGRE DE LOURDES NO ESTADO DA BAHIA"/>
        <s v="13DW - CONSTRUCAO DO CENTRO DE PROCESSAMENTO FINAL DE IMUNOBIOLOGICOS"/>
        <s v="20IG - APOIO AO PROGRAMA FORCAS NO ESPORTE (PROFESP) E PROJETO JOAO DO PULO (PJP)"/>
        <s v="0A84 - FINANCIAMENTO DE OPERACOES NO AMBITO DO PROGRAMA DE FINANCIAMENTO AS EXPORTACOES - PROEX (LEI N. 10.184, DE 2001)"/>
        <s v="00SL - APOIO A IMPLANTACAO E MODERNIZACAO DE INFRAESTRUTURA PARA ESPORTE EDUCACIONAL, RECREATIVO E DE LAZER"/>
        <s v="20RZ - ADMINISTRACAO DO FINANCIAMENTO ESTUDANTIL - FIES"/>
        <s v="0556 - APOIO FINANCEIRO A FUNDACAO GETULIO VARGAS"/>
        <s v="0027 - PAGAMENTOS NO AMBITO DO SEGURO DE CREDITO A EXPORTACAO"/>
        <s v="15VW - CONSTRUCAO DA FABRICA DE PLATAFORMAS VEGETAIS DE PRODUCAO DE IMUNOBIOLOGICOS DA FIOCRUZ CEARA"/>
        <s v="153V - DESENVOLVIMENTO DO PORTAL UNICO DE COMERCIO EXTERIOR"/>
        <s v="00R2 - APRIMORAMENTO DA SEGURANCA PUBLICA NACIONAL"/>
        <s v="0044 - TRANSFERENCIA AO FUNDO DE PARTICIPACAO DOS ESTADOS E DO DISTRITO FEDERAL - FPE (CF, ART.159)"/>
        <s v="211D - COORDENACAO TECNICA DA AMAZONIA AZUL TECNOLOGIAS DE DEFESA SA - AMAZUL"/>
        <s v="15DV - POLOS DE AGRICULTURA IRRIGADA"/>
        <s v="4264 - DEFESA DO INTERESSE PUBLICO NO PROCESSO JUDICIARIO - MINISTERIO PUBLICO FEDERAL"/>
        <s v="110Q - ADEQUACAO DE TRECHO RODOVIARIO - PEDRA BRANCA - DIVISA SE/AL - NA BR-101/SE"/>
        <s v="2036 - CONTROLE DE TRANSITO NA MALHA RODOVIARIA FEDERAL"/>
        <s v="0272 - DIVIDAS INTERNAS DAS ADMINISTRACOES DIRETA E INDIRETA DOS ESTADOS, DO DISTRITO FEDERAL E DOS MUNICIPIOS, ASSUMIDAS PELA UNIAO (LEI N. 8.727, DE 1993)"/>
        <s v="4214 - FOMENTO A PESQUISA E AO DESENVOLVIMENTO DE CONHECIMENTOS CIENTIFICOS"/>
        <s v="21A9 - IMPLEMENTACAO DE PROGRAMAS, PLANOS E ACOES PARA MELHORIA DA QUALIDADE AMBIENTAL URBANA"/>
        <s v="15XF - MODERNIZACAO DA INFRAESTRUTURA DA PRESIDENCIA DA REPUBLICA"/>
        <s v="20ZK - ADMINISTRACAO DOS INVESTIMENTOS, FINANCIAMENTOS E ATIVIDADES DO FUNDO SETORIAL DO AUDIOVISUAL (LEI N. 11.437, DE 2006)"/>
        <s v="20X8 - PRESTACAO DE ENSINO DE GRADUACAO E POS-GRADUACAO DO INSTITUTO TECNOLOGICO DE AERONAUTICA - ITA"/>
        <s v="21CD - IMPLEMENTACAO DE POLITICAS DE ATENCAO ESPECIALIZADA A SAUDE"/>
        <s v="0012 - FINANCIAMENTOS AO AGRONEGOCIO CAFE (LEI N. 8.427, DE 1992)"/>
        <s v="216G - OPERACIONALIZACAO DO FUNDO DE ESTABILIDADE DO SEGURO RURAL - FESR"/>
        <s v="21BM - DESENVOLVIMENTO DE POLITICAS DE SEGURANCA PUBLICA, PREVENCAO E ENFRENTAMENTO A CRIMINALIDADE"/>
        <s v="21C8 - OPERACAO DA INFRAESTRUTURA DA REDE DE SERVICO DE COMUNICACAO DE DADOS DO PROGRAMA CONECTA BRASIL"/>
        <s v="210R - MONITORAMENTO DE CONFLITOS AGRARIOS E PACIFICACAO NO CAMPO"/>
        <s v="00SE - TRANSFERENCIA TEMPORARIA A ESTADOS, DISTRITO FEDERAL E MUNICIPIOS NOS TERMOS DA LEI COMPLEMENTAR N. 176/2020"/>
        <s v="8758 - APERFEICOAMENTO, AVALIACAO E DESENVOLVIMENTO DE ACOES E SERVICOS ESPECIALIZADOS EM ONCOLOGIA - INCA"/>
        <s v="2804 - PUBLICACOES OFICIAIS"/>
        <s v="15UX - REFORMA E REAPARELHAMENTO DO AEROPORTO DE COARI/AM"/>
        <s v="20AI - AUXILIO-REABILITACAO PSICOSSOCIAL AOS EGRESSOS DE LONGAS INTERNACOES PSIQUIATRICAS NO SISTEMA UNICO DE SAUDE (DE VOLTA PRA CASA)"/>
        <s v="2997 - FOMENTO A PROJETOS INSTITUCIONAIS PARA PESQUISA NO SETOR DE SAUDE (CT-SAUDE)"/>
        <s v="00LX - TRANSFERENCIA DOS RECURSOS DA COBRANCA AS AGENCIAS DE AGUAS (LEIS N. 9.433/1997 E N. 10.881/2004)"/>
        <s v="6344 - REGULACAO E SUPERVISAO DOS CURSOS DE GRADUACAO E DE INSTITUICOES PUBLICAS E PRIVADAS DE ENSINO SUPERIOR"/>
        <s v="4907 - OUVIDORIA GERAL DO MINISTERIO DA CIDADANIA"/>
        <s v="00PK - INDENIZACOES A SERVIDORES CIVIS E MILITARES EM SERVICO NO EXTERIOR"/>
        <s v="09HW - CONCESSAO DE BOLSA A ATLETAS"/>
        <s v="00RW - SUBVENCAO ECONOMICA EM OPERACOES DE INVESTIMENTO RURAL E AGROINDUSTRIAL DESTINADAS A EMPRESAS CEREALISTAS (LEI N. 13.986, DE 2020)"/>
        <s v="6182 - FUNCIONAMENTO E FORTALECIMENTO DO SISTEMA DE OUVIDORIAS DO SUS"/>
        <s v="21D8 - ADEQUACAO E MODERNIZACAO DOS HOSPITAIS UNIVERSITARIOS FEDERAIS"/>
        <s v="20VH - SUPERVISAO, REGULACAO E ORIENTACAO DOS MERCADOS DE SEGUROS, RESSEGUROS, CAPITALIZACAO E PREVIDENCIA COMPLEMENTAR ABERTA"/>
        <s v="4703 - REGULAMENTACAO DOS SERVICOS DE ENERGIA ELETRICA"/>
        <s v="21E6 - CURSOS DA ESCOLA SUPERIOR DE DEFESA"/>
        <s v="21B0 - PROMOCAO DA CONCORRENCIA, COMPETITIVIDADE E MELHORIA REGULATORIA"/>
        <s v="21DB - ESTRUTURACAO E ORDENAMENTO DOS DESTINOS TURISTICOS BRASILEIROS"/>
        <s v="210J - SUPERVISAO DO MERCADO DE VALORES MOBILIARIOS"/>
        <s v="21CH - IMPLANTACAO DE MELHORIAS HABITACIONAIS PARA CONTROLE DA DOENCA DE CHAGAS"/>
        <s v="8606 - APOIO AO DESENVOLVIMENTO E CONTROLE DA AGRICULTURA ORGANICA - PRO-ORGANICO"/>
        <s v="0617 - OPERACIONALIZACAO DO FUNDO DE COMPENSACAO E VARIACOES SALARIAIS - FCVS"/>
        <s v="7652 - IMPLANTACAO DE MELHORIAS SANITARIAS DOMICILIARES PARA PREVENCAO E CONTROLE DE DOENCAS E AGRAVOS EM LOCALIDADES URBANAS DE MUNICIPIOS COM POPULACAO ATE 50.000 HABITANTES"/>
        <s v="4880 - FISCALIZACAO DOS SERVICOS DE ENERGIA ELETRICA"/>
        <s v="00TE - APOIO A GESTAO DE PROJETOS PUBLICOS DE IRRIGACAO"/>
        <s v="7S59 - CONSTRUCAO DE TRECHO RODOVIARIO - ENTRONCAMENTO BR-364 - ENTRONCAMENTO BR-365 - NA BR-154/MG"/>
        <s v="20WH - CONTROLE AMBIENTAL DE PRODUTOS, SUBSTANCIAS, RESIDUOS E ATIVIDADES POTENCIALMENTE POLUIDORAS"/>
        <s v="4786 - CAPACITACAO E MONITORAMENTO DA JUVENTUDE RURAL (PROJETO AMANHA)"/>
        <s v="7S57 - CONSTRUCAO DE TRECHO RODOVIARIO - ENTRONCAMENTO BR-163 (RIO VERDE DE MATO GROSSO) - ENTRONCAMENTO BR-262 (AQUIDAUANA) - NA BR-419/MS"/>
        <s v="00SV - COBERTURA DE DESPESAS DE ADMINISTRACAO E DE DESPESAS OPERACIONAIS DO FUNDO NACIONAL DE DESENVOLVIMENTO CIENTIFICO E TECNOLOGICO (LEI N. 11.540, DE 12 DE NOVEMBRO DE 2007, E DECRETO N. 6.938, DE 13 DE AGOSTO DE 2009)"/>
        <s v="0868 - CONTRIBUICAO A ORGANIZACAO DO TRATADO DE COOPERACAO AMAZONICA - OTCA (MRE)"/>
        <s v="2004 - ASSISTENCIA MEDICA E ODONTOLOGICA AOS SERVIDORES CIVIS, EMPREGADOS, MILITARES E SEUS DEPENDENTES"/>
        <s v="20AL - APOIO AOS ESTADOS, DISTRITO FEDERAL E MUNICIPIOS PARA A VIGILANCIA EM SAUDE"/>
        <s v="12OB - GESTAO DE PROJETOS PUBLICOS DE IRRIGACAO"/>
        <s v="15P6 - AMPLIACAO E MODERNIZACAO DA INFRAESTRUTURA PARA O ESTUDO DA BIODIVERSIDADE, INOVACAO TECNOLOGICA E SUSTENTABILIDADE DOS ECOSSISTEMAS AMAZONICOS FRENTE AS MUDANCAS GLOBAIS"/>
        <s v="5538 - PRESERVACAO DO PATRIMONIO CULTURAL DAS CIDADES HISTORICAS"/>
        <s v="0007 - CONTRIBUICAO A AGENCIA INTERNACIONAL DE PESOS E MEDIDAS - BIPM (ME)"/>
        <s v="7W95 - ADEQUACAO DE TRECHO RODOVIARIO - TERESINA - PARNAIBA - NA BR-343/PI"/>
        <s v="20YR - MANUTENCAO E FUNCIONAMENTO DO PROGRAMA FARMACIA POPULAR DO BRASIL PELO SISTEMA DE GRATUIDADE"/>
        <s v="21BC - ESTUDOS DA INDUSTRIA DE PETROLEO E GAS NATURAL"/>
        <s v="0A12 - CONCESSAO DE BOLSA PERMANENCIA NO ENSINO SUPERIOR"/>
        <s v="20YS - MANUTENCAO E FUNCIONAMENTO DO PROGRAMA FARMACIA POPULAR DO BRASIL PELO SISTEMA DE CO-PAGAMENTO"/>
        <s v="110I - CONSTRUCAO DE TRECHO RODOVIARIO - ALTAMIRA - RUROPOLIS - NA BR-230/PA"/>
        <s v="00TN - APOIO A IMPLANTACAO, AMPLIACAO OU MELHORIAS EM SISTEMAS DE ABASTECIMENTO DE AGUA EM MUNICIPIOS COM POPULACAO SUPERIOR A 50 MIL HABITANTES OU MUNICIPIOS INTEGRANTES DE REGIOES METROPOLITANAS OU DE REGIOES INTEGRADAS DE DE"/>
        <s v="0425 - SERVICOS DA DIVIDA PUBLICA FEDERAL EXTERNA"/>
        <s v="00NS - INATIVOS DA POLICIA MILITAR E DO CORPO DE BOMBEIROS DO DISTRITO FEDERAL"/>
        <s v="20RX - REESTRUTURACAO E MODERNIZACAO DOS HOSPITAIS UNIVERSITARIOS FEDERAIS - REHUF"/>
        <s v="14T5 - IMPLANTACAO DO SISTEMA INTEGRADO DE MONITORAMENTO DE FRONTEIRAS - SISFRON"/>
        <s v="21CZ - APOIO A ASSISTENCIA JURIDICA AO CIDADAO"/>
        <s v="4000 - ESTUDOS, PESQUISAS E AVALIACOES DE POLITICAS EDUCACIONAIS"/>
        <s v="10L3 - ADEQUACAO DE TRECHO RODOVIARIO - CAUCAIA - ENTRONCAMENTO ACESSO AO PORTO DE PECEM - NA BR-222/CE"/>
        <s v="1211 - IMPLEMENTACAO DE INFRAESTRUTURA BASICA NOS MUNICIPIOS DA REGIAO DO CALHA NORTE"/>
        <s v="00NY - TRANSFERENCIA DE RECURSOS PARA A CONTA DE DESENVOLVIMENTO ENERGETICO (LEI N. 10.438, DE 26 DE ABRIL DE 2002)"/>
        <s v="8305 - ATENCAO DE REFERENCIA E PESQUISA CLINICA"/>
        <s v="4743 - COORDENACAO E GOVERNANCA DAS EMPRESAS ESTATAIS FEDERAIS"/>
        <s v="0294 - SUBVENCAO ECONOMICA NAS OPERACOES DE CUSTEIO AGROPECUARIO (LEI N. 8.427, DE 1992)"/>
        <s v="14UF - CONSTRUCAO, REFORMA, EQUIPAGEM E AMPLIACAO DE UNIDADES DE ATENDIMENTO SOCIOEDUCATIVO"/>
        <s v="13YE - ADEQUACAO DE TRECHO RODOVIARIO - ENTRONCAMENTO BR-104/408/PB-095 (CAMPINA GRANDE) - ENTRONCAMENTO BR-110/361 (PATOS) - NA BR-230/PB"/>
        <s v="7V00 - CONSTRUCAO DE TRECHO RODOVIARIO - ENTRONCAMENTO BR-316 (INICIO DO CONTORNO DE TIMON) - POVOADO MONTIVIDEL - NA BR-226/MA"/>
        <s v="2D49 - ESTUDOS, PROJETOS E DESENVOLVIMENTO INSTITUCIONAL NO SETOR DA MOBILIDADE URBANA"/>
        <s v="1M49 - MODERNIZACAO DOS RECURSOS DE TECNOLOGIA DA INFORMACAO E COMUNICACAO"/>
        <s v="21D6 - IMPLEMENTACAO DE CENTROS DE REFERENCIA DOS INSTITUTOS FEDERAIS"/>
        <s v="00UB - TRANSFERENCIA AOS ENTES FEDERATIVOS PARA O PAGAMENTO DOS VENCIMENTOS DOS AGENTES DE COMBATE AS ENDEMIAS"/>
        <s v="0030 - FINANCIAMENTO AOS SETORES PRODUTIVOS DO SEMIARIDO DA REGIAO NORDESTE"/>
        <s v="20ZO - PROMOCAO, FISCALIZACAO E GESTAO DO COMERCIO EXTERIOR"/>
        <s v="15UI - IMPLANTACAO DE INFRAESTRUTURA DE REDE DE COMUNICACAO DE DADOS PARA INCLUSAO DIGITAL"/>
        <s v="152D - CONSTRUCAO DO SISTEMA ADUTOR RAMAL DO AGRESTE PERNAMBUCANO"/>
        <s v="00TO - APOIO A IMPLANTACAO, AMPLIACAO OU MELHORIAS DE SISTEMAS DE ESGOTAMENTO SANITARIO EM MUNICIPIOS COM POPULACAO SUPERIOR A 50 MIL HABITANTES OU MUNICIPIOS INTEGRANTES DE REGIOES METROPOLITANAS OU DE REGIOES INTEGRADAS DE DE"/>
        <s v="210F - DESENVOLVIMENTO DA AVIACAO CIVIL (GESTAO)"/>
        <s v="00SF - AUXILIO EMERGENCIAL RESIDUAL PARA ENFRENTAMENTO DA EMERGENCIA DE SAUDE PUBLICA DE IMPORTANCIA INTERNACIONAL DECORRENTE DO CORONAVIRUS (COVID-19)"/>
        <s v="6380 - FOMENTO AO DESENVOLVIMENTO DA EDUCACAO PROFISSIONAL E TECNOLOGICA"/>
        <s v="21AB - MONITORAMENTO, AVALIACAO E CONTROLE DE SUBSTANCIAS, PRODUTOS QUIMICOS E BIOLOGICOS E DE ATIVIDADES POTENCIALMENTE POLUIDORAS E UTILIZADORAS DE RECURSOS AMBIENTAIS"/>
        <s v="127G - CONSTRUCAO DE TERMINAIS FLUVIAIS"/>
        <s v="0A53 - TRANSFERENCIAS DAS PARTICIPACOES PELA PRODUCAO DE PETROLEO E GAS NATURAL (LEI N. 9.478, DE 1997)"/>
        <s v="2B52 - DESENVOLVIMENTO INSTITUCIONAL DA GESTAO ORCAMENTARIA, FINANCEIRA E CONTABIL DO FUNDO NACIONAL DE SAUDE E DOS FUNDOS ESTADUAIS E MUNICIPAIS DE SAUDE"/>
        <s v="0267 - SUBVENCAO ECONOMICA EM OPERACOES NO AMBITO DO PROGRAMA DE FINANCIAMENTO AS EXPORTACOES - PROEX (LEI N. 10.184, DE 2001)"/>
        <s v="20YW - PRODUCAO DE CONHECIMENTO APLICADO PARA SUBSIDIAR POLITICAS PUBLICAS QUE PROMOVAM O TRABALHO SEGURO, SAUDAVEL E PRODUTIVO"/>
        <s v="21AE - EVOLUCAO DOS SERVICOS DE RADIODIFUSAO"/>
        <s v="00GY - FINANCIAMENTO IMOBILIARIO PARA O PESSOAL DA MARINHA"/>
        <s v="12KG - ADEQUACAO DE TRAVESSIA URBANA EM SANTA MARIA - NA BR-158/287/RS"/>
        <s v="00QH - CONCESSAO DE BOLSAS NO AMBITO DO PROGRAMA DE ESTIMULO A REESTRUTURACAO E AO FORTALECIMENTO DAS INSTITUICOES DE ENSINO SUPERIOR (PROIES)"/>
        <s v="219K - GESTAO DAS COLECOES VIVAS, DO PATRIMONIO HISTORICO-CULTURAL E DAS ATIVIDADES DE DISSEMINACAO DO CONHECIMENTO NO JARDIM BOTANICO DO RIO DE JANEIRO"/>
        <s v="8727 - APERFEICOAMENTO DO SISTEMA DE INFORMACAO PARA SAUDE SUPLEMENTAR"/>
        <s v="7X42 - ADEQUACAO DA TRAVESSIA URBANA DE PETROLINA NAS BR?S-407/428/PE"/>
        <s v="11AA - CONSTRUCAO DA BARRAGEM FRONTEIRAS"/>
        <s v="210K - APOIO AO DESENVOLVIMENTO DE PROGRAMAS E PROJETOS NAS AREAS CIENTIFICA, TECNOLOGICA E DE INOVACAO NA AREA DE ATUACAO DA SUFRAMA"/>
        <s v="11VA - CONSTRUCAO DE TRECHO RODOVIARIO - DIVISA PA/MT - RIBEIRAO CASCALHEIRA - NA BR-158/MT"/>
        <s v="1N08 - APOIO A IMPLANTACAO, AMPLIACAO OU MELHORIAS DE SISTEMAS DE ESGOTAMENTO SANITARIO EM MUNICIPIOS COM POPULACAO SUPERIOR A 50 MIL HABITANTES OU MUNICIPIOS INTEGRANTES DE REGIOES METROPOLITANAS OU DE REGIOES INTEGRADAS DE DE"/>
        <s v="2230 - GESTAO DA DOCUMENTACAO E DISSEMINACAO DE INFORMACOES"/>
        <s v="1N47 - CONSTRUCAO DE NAVIOS-PATRULHA DE 500 TONELADAS (NPA 500T) - CLASSE MACAE"/>
        <s v="2E79 - EXPANSAO E CONSOLIDACAO DA ATENCAO BASICA (POLITICA NACIONAL DE ATENCAO BASICA-PNAB)"/>
        <s v="0999 - TRANSFERENCIA DE REPARTICAO DA CONTRIBUICAO DE INTERVENCAO NO DOMINIO ECONOMICO - CIDE COMBUSTIVEIS"/>
        <s v="00QG - ANISTIADOS POLITICOS - RETROATIVOS CONCEDIDOS POR DECISOES JUDICIAIS"/>
        <s v="20VY - IMPLEMENTACAO DE ACOES DE CIDADANIA E EDUCACAO AMBIENTAL"/>
        <s v="21A8 - FORMULACAO E IMPLEMENTACAO DE ESTRATEGIAS PARA PROMOVER A CONSERVACAO, A RECUPERACAO E O USO SUSTENTAVEL DA BIODIVERSIDADE, DA VEGETACAO NATIVA E DO PATRIMONIO GENETICO"/>
        <s v="12EA - REFORMAS DE EDIFICACOES DO MINISTERIO DA CIENCIA, TECNOLOGIA E INOVACOES"/>
        <s v="00RL - FORMACAO E EXPANSAO DA CAPACITACAO DE RECURSOS HUMANOS EM ATIVIDADES DE PESQUISA TECNOLOGICA, EMPREENDEDORISMO E INOVACAO"/>
        <s v="21B7 - GESTAO E OPERACIONALIZACAO DO TERRA BRASIL"/>
        <s v="00M2 - INTEGRALIZACAO DE COTAS EM FUNDOS DE GARANTIA DE OPERACOES DE CREDITO EDUCATIVO"/>
        <s v="20QN - GESTAO DE ASSUNTOS INTERNACIONAIS"/>
        <s v="00LV - FORMACAO, CAPACITACAO E FIXACAO DE RECURSOS HUMANOS PARA O DESENVOLVIMENTO CIENTIFICO"/>
        <s v="15R3 - APOIO A CONSOLIDACAO, REESTRUTURACAO E MODERNIZACAO DAS INSTITUICOES FEDERAIS DE ENSINO SUPERIOR"/>
        <s v="214P - FISCALIZACAO AMBIENTAL E PREVENCAO E COMBATE A INCENDIOS FLORESTAIS"/>
        <s v="6148 - ASSISTENCIA MEDICA QUALIFICADA E GRATUITA A TODOS OS NIVEIS DA POPULACAO E DESENVOLVIMENTO DE ATIVIDADES EDUCACIONAIS E DE PESQUISA NO CAMPO DA SAUDE - REDE SARAH DE HOSPITAIS DE REABILITACAO"/>
        <s v="212S - DESENVOLVIMENTO, SUSTENTABILIDADE E FOMENTO DOS REGIMES DE PREVIDENCIA"/>
        <s v="00PI - APOIO A ALIMENTACAO ESCOLAR NA EDUCACAO BASICA (PNAE)"/>
        <s v="20UQ - APOIO A PROJETOS DE TECNOLOGIAS APLICADAS"/>
        <s v="2357 - FOMENTO A PROJETOS INSTITUCIONAIS PARA PESQUISA NO SETOR ESPACIAL (CT-ESPACIAL)"/>
        <s v="6432 - PESQUISA, DESENVOLVIMENTO, FABRICACAO E COMERCIALIZACAO DE COMPONENTES SEMICONDUTORES"/>
        <s v="8622 - PROMOCAO DO COOPERATIVISMO E ASSOCIATIVISMO PARA O DESENVOLVIMENTO AGROPECUARIO"/>
        <s v="21AP - APOIO A IMPLEMENTACAO DA POLITICA NACIONAL DE SEGURANCA DA INFORMACAO"/>
        <s v="7X91 - CONSTRUCAO DA 1. ETAPA (FASE I) DO CANAL DO XINGO"/>
        <s v="1C09 - CONSTRUCAO DE TRECHO RODOVIARIO - SAO DESIDERIO - DIVISA BA/MG - NA BR-135/BA"/>
        <s v="214S - ESTRUTURACAO E DINAMIZACAO DE ATIVIDADES PRODUTIVAS - ROTAS DE INTEGRACAO NACIONAL"/>
        <s v="8249 - FUNCIONAMENTO DOS CONSELHOS DE ASSISTENCIA SOCIAL"/>
        <s v="1393 - IMPLANTACAO DA USINA DE ENRIQUECIMENTO DE URANIO EM RESENDE - RJ"/>
        <s v="219W - INTEGRACAO DOS SISTEMAS DE COMUNICACOES DE DEFESA"/>
        <s v="21DW - PROCESSAMENTO DE DADOS DO PROGRAMA AUXILIO BRASIL - PAB"/>
        <s v="0581 - ABONO SALARIAL"/>
        <s v="8755 - APERFEICOAMENTO, AVALIACAO E DESENVOLVIMENTO DE ACOES E SERVICOS ESPECIALIZADOS EM CARDIOLOGIA-INC"/>
        <s v="20VR - CONSERVACAO E RECUPERACAO DE BACIAS HIDROGRAFICAS"/>
        <s v="21DE - ESTUDOS E PROJETOS DE INFRAESTRUTURA PARA SEGURANCA HIDRICA"/>
        <s v="4225 - PROCESSAMENTO DE CAUSAS E GESTAO ADMINISTRATIVA NA JUSTICA MILITAR DA UNIAO"/>
        <s v="7656 - IMPLANTACAO, AMPLIACAO OU MELHORIA DE ACOES E SERVICOS SUSTENTAVEIS DE SANEAMENTO BASICO EM PEQUENAS COMUNIDADES RURAIS (LOCALIDADES DE PEQUENO PORTE) OU EM COMUNIDADES TRADICIONAIS (REMANESCENTES DE QUILOMBOS)"/>
        <s v="20YE - AQUISICAO E DISTRIBUICAO DE IMUNOBIOLOGICOS PARA PREVENCAO E CONTROLE DE DOENCAS"/>
        <s v="4947 - FOMENTO A PROJETOS INSTITUCIONAIS DE CIENCIA E TECNOLOGIA"/>
        <s v="21CQ - GESTAO DO GOVERNO DIGITAL"/>
        <s v="15XX - AQUISICAO DE AERONAVES PARA TRANSPORTE LOGISTICO ESTRATEGICO DE PESSOAL E MATERIAL"/>
        <s v="4339 - QUALIFICACAO DA REGULACAO E FISCALIZACAO DA SAUDE SUPLEMENTAR"/>
        <s v="20LN - OPERACAO DE TERMINAIS HIDROVIARIOS"/>
        <s v="5260 - IMPLANTACAO DO PROJETO PUBLICO DE IRRIGACAO PONTAL COM 7.811,91 HA"/>
        <s v="00H4 - SEGURO DESEMPREGO"/>
        <s v="0223 - TRANSFERENCIA DE COTAS-PARTES DA COMPENSACAO FINANCEIRA - TRATADO DE ITAIPU (LEI N. 8.001, DE 1990 - ART.1.)"/>
        <s v="11ZH - CONSTRUCAO DA FERROVIA NORTE-SUL - OUROVERDE DE GOIAS/GO - SAO SIMAO/GO - EF-151"/>
        <s v="2C01 - PROMOCAO DE INVESTIMENTOS PRIVADOS, FINANCIAMENTO, PARCERIAS E CONCESSOES NO SETOR DE TURISMO"/>
        <s v="0A29 - SUBVENCAO ECONOMICA A PROJETOS DE DESENVOLVIMENTO TECNOLOGICO (LEI N. 10.973, DE 2004)"/>
        <s v="20AE - PROMOCAO DA ASSISTENCIA FARMACEUTICA E INSUMOS ESTRATEGICOS NA ATENCAO BASICA EM SAUDE"/>
        <s v="2868 - COMBUSTIVEIS E LUBRIFICANTES DE AVIACAO"/>
        <s v="2807 - PROMOCAO E DEFESA DA CONCORRENCIA"/>
        <s v="00TD - APOIO AOS POLOS DE AGRICULTURA IRRIGADA"/>
        <s v="5450 - IMPLANTACAO E MODERNIZACAO DE INFRAESTRUTURA PARA ESPORTE EDUCACIONAL, RECREATIVO E DE LAZER"/>
        <s v="218S - APOIO AO PLANEJAMENTO, GERENCIAMENTO E ACOMPANHAMENTO DA IMPLEMENTACAO DE EMPREENDIMENTOS DE INFRAESTRUTURA"/>
        <s v="7X78 - ADEQUACAO DE TRECHO RODOVIARIO - SAO JOSE DOS AUSENTES - DIVISA RS/SC - NA BR-285/RS"/>
        <s v="3921 - IMPLANTACAO DE MELHORIAS HABITACIONAIS PARA CONTROLE DA DOENCA DE CHAGAS"/>
        <s v="00SI - AUXILIO EMERGENCIAL 2021 PARA O ENFRENTAMENTO DA EMERGENCIA DE SAUDE PUBLICA DE IMPORTANCIA INTERNACIONAL DECORRENTE DO CORONAVIRUS (COVID-19)"/>
        <s v="00S4 - AUXILIO EMERGENCIAL DE PROTECAO SOCIAL A PESSOAS EM SITUACAO DE VULNERABILIDADE, DEVIDO A PANDEMIA DA COVID-19"/>
        <s v="4368 - PROMOCAO DA ASSISTENCIA FARMACEUTICA POR MEIO DA DISPONIBILIZACAO DE MEDICAMENTOS E INSUMOS EM SAUDE DO COMPONENTE ESTRATEGICO"/>
        <s v="8495 - REALIZACAO DE EVENTOS INTERNACIONAIS OFICIAIS"/>
        <s v="210T - PROMOCAO DA EDUCACAO DO CAMPO"/>
        <s v="12EP - INTEGRACAO DO RIO SAO FRANCISCO COM AS BACIAS DO NORDESTE SETENTRIONAL (EIXO LESTE)"/>
        <s v="0369 - TRANSFERENCIA DAS QUOTAS ESTADUAL E MUNICIPAL DO SALARIO-EDUCACAO"/>
        <s v="20YJ - FORTALECIMENTO DO SISTEMA NACIONAL DE VIGILANCIA EM SAUDE"/>
        <s v="5308 - CONSTRUCAO DA BARRAGEM JEQUITAI"/>
        <s v="0427 - CONCESSAO DE CREDITO-INSTALACAO AS FAMILIAS ASSENTADAS"/>
        <s v="218J - ATIVOS MILITARES DOS EX-TERRITORIOS E DO ANTIGO ESTADO DA GUANABARA"/>
        <s v="21B2 - GESTAO E MODERNIZACAO DOS RECURSOS DE TECNOLOGIA DA INFORMACAO E COMUNICACAO"/>
        <s v="2495 - CONTROLE DE BENS SENSIVEIS"/>
        <s v="21BE - FABRICACAO DE EQUIPAMENTOS DESTINADOS A INDUSTRIA DE PETROLEO E GAS, OFFSHORE E OUTROS"/>
        <s v="123U - ADEQUACAO DE TRECHO RODOVIARIO - ENTRONCAMENTO BR-116 (P/GUAIBA) - ENTRONCAMENTO BR-471 (PANTANO GRANDE) - NA BR-290/RS"/>
        <s v="7X75 - ADEQUACAO DE TRECHO RODOVIARIO - FIM DAS OBRAS DE DUPLICACAO - ESTADIO MUNICIPAL (DEMERVAL LOBAO) - NA BR-316/PI"/>
        <s v="4528 - PRODUCAO DE MATERIAL DE EMPREGO MILITAR"/>
        <s v="00N2 - CUMPRIMENTO DE SENTENCA JUDICIAL - INSTITUTO AERUS DE SEGURIDADE SOCIAL - PROCESSO N. 0010295-77.2004.4.01.3400"/>
        <s v="8648 - DESENVOLVIMENTO E FORTALECIMENTO DA ECONOMIA DA SAUDE"/>
        <s v="00PN - PARTICIPACAO DO BRASIL, COMO PAIS NAO MEMBRO, EM ATIVIDADES DE COOPERACAO ECONOMICA JUNTO A ORGANIZACAO PARA COOPERACAO E DESENVOLVIMENTO ECONOMICO - OCDE E SEUS ORGAOS VINCULADOS"/>
        <s v="21DZ - AQUISICAO E DISTRIBUICAO DE INSUMOS PARA PREVENCAO E CONTROLE DE DOENCAS"/>
        <s v="218F - GESTAO E MANUTENCAO DO LEGADO OLIMPICO E PARAOLIMPICO"/>
        <s v="21CO - FUNCIONAMENTO DAS INSTITUICOES FEDERAIS DE EDUCACAO ESPECIAL"/>
        <s v="20ZD - SIMPLIFICACAO E MELHORIA DA REGULACAO DOS SERVICOS DE TELECOMUNICACOES"/>
        <s v="2589 - AVALIACAO E OPERACIONALIZACAO DO BENEFICIO DE PRESTACAO CONTINUADA (BPC) E MANUTENCAO DA RENDA MENSAL VITALICIA (RMV)"/>
        <s v="15AL - REFORMA DE UNIDADES DA ANM"/>
        <s v="009T - SERVICOS PUBLICOS DE SAUDE DO DISTRITO FEDERAL"/>
        <s v="14T0 - AQUISICAO DE AERONAVES DE CACA E SISTEMAS AFINS - PROJETO FX-2"/>
        <s v="1ACY - PROJETO INDIOS ISOLADOS BR-429 - RO"/>
        <s v="21DM - COOPERACAO INTERNACIONAL, ASSESSORIA TECNICA, REPRESENTACAO INSTITUCIONAL E COORDENACAO DA AGENDA DE ASSUNTOS INTERNACIONAIS DA CNEN"/>
        <s v="14XJ - AQUISICAO DE CARGUEIRO TATICO MILITAR DE 10 A 20 TONELADAS - PROJETO KC-390"/>
        <s v="7XE1 - RECONSTRUCAO E MODERNIZACAO DO MUSEU NACIONAL"/>
        <s v="0611 - SUBVENCAO ECONOMICA PARA OPERACOES DECORRENTES DO ALONGAMENTO DE DIVIDAS ORIGINARIAS DE CREDITO RURAL (LEIS N. 9.138, DE 1995 E N. 10.437, DE 2002)"/>
        <s v="20I4 - FOMENTO A PESQUISA E DESENVOLVIMENTO EM AREAS BASICAS E ESTRATEGICAS"/>
        <s v="219A - PISO DE ATENCAO PRIMARIA A SAUDE"/>
        <s v="109H - CONSTRUCAO DE BARRAGENS"/>
        <s v="7W07 - ADEQUACAO DE TRECHO RODOVIARIO - CASTANHAL - SANTA MARIA DO PARA - TREVO DE SALINOPOLIS - DIVISA PA/MA - NA BR-316/PA"/>
        <s v="00M6 - CONCESSAO DE BOLSAS PARA PESQUISA ECONOMICA"/>
        <s v="6414 - SISTEMA NACIONAL PARA IDENTIFICACAO E SELECAO DE PUBLICO-ALVO PARA OS PROGRAMAS SOCIAIS DO GOVERNO FEDERAL - CADASTRO UNICO"/>
        <s v="10RM - IMPLANTACAO, AMPLIACAO, MELHORIA OU ADEQUACAO DE SISTEMAS DE ESGOTAMENTO SANITARIO NA AREA DE ATUACAO DA CODEVASF"/>
        <s v="10SC - APOIO A IMPLANTACAO, AMPLIACAO OU MELHORIAS EM SISTEMAS DE ABASTECIMENTO DE AGUA EM MUNICIPIOS COM POPULACAO SUPERIOR A 50 MIL HABITANTES OU MUNICIPIOS INTEGRANTES DE REGIOES METROPOLITANAS OU DE REGIOES INTEGRADAS DE DE"/>
        <s v="20K1 - ADEQUACAO DE PLATAFORMAS PARA O DESENVOLVIMENTO TECNOLOGICO EM SAUDE"/>
        <s v="218H - SUSTENTABILIDADE, FORMALIZACAO, POSICIONAMENTO E APOIO A COMERCIALIZACAO DE PRODUTOS TURISTICOS"/>
        <s v="20Y6 - PESQUISA E DESENVOLVIMENTO DE TECNOLOGIAS PARA A AGROPECUARIA"/>
        <s v="14U2 - IMPLANTACAO, INSTALACAO E MODERNIZACAO DE ESPACOS E EQUIPAMENTOS CULTURAIS"/>
        <s v="116F - IMPLANTACAO, AMPLIACAO, MELHORIAS OU ADEQUACAO DE SISTEMAS DE ABASTECIMENTO DE AGUA EM AREAS DE ATUACAO DA CODEVASF"/>
        <s v="2055 - CURSOS DE ALTOS ESTUDOS DA ESCOLA SUPERIOR DE GUERRA"/>
        <s v="13YK - CONSTRUCAO DE TRECHO RODOVIARIO - LARANJAL DO JARI - ENTRONCAMENTO BR-210/AP-030 - NA BR-156/AP"/>
        <s v="218G - GESTAO, INOVACAO E INTELIGENCIA COMPETITIVA DO TURISMO"/>
        <s v="20XH - REALIZACAO DE ACOES DE COOPERACAO DO EXERCITO"/>
        <s v="13XG - CONSTRUCAO DE TRECHO RODOVIARIO - DIVISA BA/MG (SALTO DA DIVISA) - ENTRONCAMENTO MG-406 (ALMENARA) - NA BR-367/MG"/>
        <s v="20X3 - MOBILIZACAO E LOGISTICA PARA A DEFESA NACIONAL"/>
        <s v="21D1 - GERENCIAMENTO, MELHORIA, MODERNIZACAO E RECUPERACAO DE SISTEMAS DE ARTILHARIA ANTIAEREA"/>
        <s v="109J - CONSTRUCAO DE ADUTORAS"/>
        <s v="210Z - RECONHECIMENTO E INDENIZACAO DE TERRITORIOS QUILOMBOLAS"/>
        <s v="1O21 - IMPLANTACAO DO PROJETO PUBLICO DE IRRIGACAO TABULEIROS LITORANEOS DE PARNAIBA - 2. ETAPA - COM 5.985 HA"/>
        <s v="20SP - OPERACIONALIZACAO DO SISTEMA NACIONAL DE TRANSPLANTES"/>
        <s v="20T6 - FORTALECIMENTO DA SAUDE AMBIENTAL PARA REDUCAO DOS RISCOS A SAUDE HUMANA"/>
        <s v="2113 - FOMENTO A PESQUISA E A INOVACAO TECNOLOGICA (CT-VERDE AMARELO)"/>
        <s v="8581 - ESTRUTURACAO DA REDE DE SERVICOS DE ATENCAO PRIMARIA A SAUDE"/>
        <s v="12FT - IMPLANTACAO DO PROJETO PUBLICO DE IRRIGACAO MARRECAS/JENIPAPO COM 1.000 HA"/>
        <s v="00QV - INDENIZACAO PELA FLEXIBILIZACAO VOLUNTARIA DO REPOUSO REMUNERADO"/>
        <s v="2367 - ANALISE E DIVULGACAO DA POLITICA EXTERNA BRASILEIRA, DE RELACOES INTERNACIONAIS E DA HISTORIA DIPLOMATICA DO BRASIL"/>
        <s v="0534 - FINANCIAMENTO AOS SETORES PRODUTIVOS DA REGIAO NORTE (FNO)"/>
        <s v="20Y0 - DESENVOLVIMENTO DA AQUICULTURA"/>
        <s v="6516 - APERFEICOAMENTO E AVALIACAO DOS SERVICOS DE HEMOTERAPIA E HEMATOLOGIA"/>
        <s v="20WA - CADASTRO, RECOMPOSICAO E PRODUCAO FLORESTAL"/>
        <s v="099F - CONCESSAO DE SUBVENCAO ECONOMICA AO PREMIO DO SEGURO RURAL (LEI N. 10.823, DE 2003)"/>
        <s v="216Q - APERFEICOAMENTO E FORTALECIMENTO DA GESTAO DE PESSOAS"/>
        <s v="219H - OPERACAO E MANUTENCAO DA BARRAGEM E DA ECLUSA DO CANAL SAO GONCALO"/>
        <s v="4257 - JULGAMENTO DE CAUSAS NA JUSTICA FEDERAL"/>
        <s v="006M - TRANSFERENCIA DO IMPOSTO TERRITORIAL RURAL - ITR"/>
        <s v="21DQ - GESTAO, ADMINISTRACAO E OPERACIONALIZACAO DO PROGRAMA AUXILIO BRASIL"/>
        <s v="211Z - DESENVOLVIMENTO E EXECUCAO DA POLITICA NACIONAL ANTIDOPAGEM"/>
        <s v="20IH - MODERNIZACAO E REVITALIZACAO DE AERONAVES E SISTEMAS EMBARCADOS"/>
        <s v="2583 - PROCESSAMENTO DE DADOS DO BENEFICIO DE PRESTACAO CONTINUADA (BPC) E DA RENDA MENSAL VITALICIA (RMV)"/>
        <s v="20ZG - FORMULACAO E GESTAO DA POLITICA CULTURAL"/>
        <s v="4699 - OUTORGA DE GERACAO, TRANSMISSAO E DISTRIBUICAO DE ENERGIA ELETRICA"/>
        <s v="0E85 - SUBVENCAO ECONOMICA EM OPERACOES DE FINANCIAMENTO PARA A AQUISICAO DE BENS E SERVICOS DE TECNOLOGIA ASSISTIVA DESTINADOS A PESSOAS COM DEFICIENCIA (LEI N. 12.613, DE 2012)"/>
        <s v="0265 - INDENIZACOES E RESTITUICOES RELATIVAS AO PROGRAMA DE GARANTIA DA ATIVIDADE AGROPECUARIA - PROAGRO (LEI N. 8.171, DE 1991)"/>
        <s v="219F - ACOES DE PROTECAO SOCIAL ESPECIAL"/>
        <s v="6067 - APOIO E FOMENTO A PROJETOS DE DEFESA DE DIREITOS DIFUSOS"/>
        <s v="7XM7 - CONSTRUCAO DE TRECHO RODOVIARIO - PORTO VELHO - VILHENA - NA BR-364/RO"/>
        <s v="12KF - ADEQUACAO DE TRECHO RODOVIARIO - SAO MIGUEL DO OESTE - DIVISA SC/PR - NA BR-163/SC"/>
        <s v="215F - FOMENTO E FORTALECIMENTO DA ECONOMIA SOLIDARIA, ASSOCIATIVISMO E COOPERATIVISMO"/>
        <s v="2016 - FUNCIONAMENTO DO CONSELHO NACIONAL DE SAUDE"/>
        <s v="21BT - PROTECAO, FISCALIZACAO E COMBATE A ILICITOS NA AMAZONIA LEGAL E SUA REGIAO FRONTEIRICA"/>
        <s v="00UK - PAGAMENTO DE AUXILIO AOS TRANSPORTADORES AUTONOMOS DE CARGAS (EMENDA CONSTITUCIONAL N. 123, DE 14 DE JULHO DE 2022)"/>
        <s v="4245 - CLASSIFICACAO BRASILEIRA DE OCUPACOES - CBO"/>
        <s v="4324 - ATENCAO A SAUDE DE POPULACOES RIBEIRINHAS E DE AREAS REMOTAS DA REGIAO AMAZONICA MEDIANTE COOPERACAO COM A MARINHA DO BRASIL E COM O EXERCITO BRASILEIRO"/>
        <s v="2334 - PROTECAO E DEFESA DO CONSUMIDOR"/>
        <s v="8933 - ESTRUTURACAO DE SERVICOS DE ATENCAO AS URGENCIAS E EMERGENCIAS NA REDE ASSISTENCIAL"/>
        <s v="10S6 - APOIO A URBANIZACAO DE ASSENTAMENTOS PRECARIOS POR MEIO DO FUNDO NACIONAL DE HABITACAO DE INTERESSE SOCIAL"/>
        <s v="4923 - PRODUCAO E DISSEMINACAO DE DADOS PARA GESTAO DE POLITICAS DO MINISTERIO DA CIDADANIA"/>
        <s v="21CM - RECOMPOSICAO DOS MEIOS DA FORCA AEREA BRASILEIRA"/>
        <s v="5314 - IMPLANTACAO DO PROJETO PUBLICO DE IRRIGACAO BAIXIO DE IRECE COM 16.615 HA"/>
        <s v="0281 - SUBVENCAO ECONOMICA EM OPERACOES NO AMBITO DO PROGRAMA NACIONAL DE FORTALECIMENTO DA AGRICULTURA FAMILIAR - PRONAF (LEI N. 8.427, DE 1992)"/>
        <s v="6174 - ANALISE DA QUALIDADE DE PRODUTOS E INSUMOS DE SAUDE"/>
        <s v="20GD - INCLUSAO PRODUTIVA RURAL"/>
        <s v="21CF - IMPLANTACAO E FUNCIONAMENTO DA SAUDE DIGITAL E TELESSAUDE NO SUS"/>
        <s v="1851 - AQUISICAO DE EQUIPAMENTOS E/OU IMPLANTACAO DE OBRAS DE INFRAESTRUTURA HIDRICA DE PEQUENO E MEDIO VULTO"/>
        <s v="0365 - REFINANCIAMENTO DA DIVIDA PUBLICA MOBILIARIA FEDERAL INTERNA"/>
        <s v="214J - FISCALIZACAO EM METROLOGIA E QUALIDADE"/>
        <s v="8759 - APERFEICOAMENTO, AVALIACAO E DESENVOLVIMENTO DE ACOES E SERVICOS ESPECIALIZADOS EM TRAUMATOLOGIA E ORTOPEDIA - INTO"/>
        <s v="21CI - IMPLANTACAO DE MELHORIAS SANITARIAS DOMICILIARES PARA PREVENCAO E CONTROLE DE DOENCAS E AGRAVOS EM LOCALIDADES URBANAS DE MUNICIPIOS COM POPULACAO ATE 50.000 HABITANTES"/>
        <s v="7W84 - ADEQUACAO DE TRECHO RODOVIARIO - TRECHO ESTIVA - ENTRONCAMENTO BR-222 (MIRANDA DO NORTE) - NA BR-135/MA"/>
        <s v="4156 - FOMENTO A PROJETOS INSTITUCIONAIS PARA PESQUISA NO SETOR DE PETROLEO E GAS NATURAL (CT-PETRO)"/>
        <s v="7F51 - CONSTRUCAO DE TRECHO RODOVIARIO - DIVISA PI/BA - DIVISA BA/SE - NA BR-235/BA"/>
        <s v="21BH - CONTROLE DA ATUACAO ADMINISTRATIVA E FINANCEIRA DO PODER JUDICIARIO, DO CUMPRIMENTO DOS DEVERES FUNCIONAIS DOS JUIZES E GESTAO DE POLITICAS JUDICIARIAS"/>
        <s v="1151 - ASSISTENCIA TECNICA PARA GESTAO DOS PROJETOS DE MODERNIZACAO DA GESTAO ADMINISTRATIVA E FISCAL DOS MUNICIPIOS"/>
        <s v="20XO - DESENVOLVIMENTO TECNOLOGICO DA MARINHA"/>
        <s v="21AU - OPERACIONALIZACAO E APERFEICOAMENTO DO SISTEMA INTEGRADO NACIONAL DE DIREITOS HUMANOS - SINDH"/>
        <s v="15XT - IMPLANTACAO DE SISTEMAS ADUTORES PARA ABASTECIMENTO DE AGUA DO CANAL DO SERTAO ALAGOANO"/>
        <s v="21BI - DIFUSAO DO CONHECIMENTO SOBRE DEFESA NACIONAL A SOCIEDADE BRASILEIRA E INTERACAO DO ENSINO MILITAR"/>
        <s v="21E8 - PRESTACAO DE ENSINO ASSISTENCIAL DA AERONAUTICA"/>
        <s v="8865 - APOIO A EXECUCAO DE PROJETOS E OBRAS DE CONTENCAO DE ENCOSTAS EM AREAS URBANAS"/>
        <s v="10GE - IMPLANTACAO, AMPLIACAO E MELHORIA DE SISTEMAS PUBLICOS DE ESGOTAMENTO SANITARIO EM MUNICIPIOS COM ATE 50.000 HABITANTES, EXCLUSIVE EM REGIOES METROPOLITANAS (RM) OU REGIOES INTEGRADAS DE DESENVOLVIMENTO ECONOMICO (RIDE)"/>
        <s v="00BA - CONTRIBUICAO A ORGANIZACAO DAS NACOES UNIDAS PARA A EDUCACAO, A CIENCIA E A CULTURA - UNESCO (MRE)"/>
        <s v="2292 - SERVICO DE PROCESSAMENTO DE DADOS DE BENEFICIOS PREVIDENCIARIOS"/>
        <s v="00UQ - ASSISTENCIA FINANCEIRA A UNIAO, AOS ESTADOS, AO DISTRITO FEDERAL E AOS MUNICIPIOS, RELACIONADA AO AUXILIO EMERGENCIAL - EMENDA CONSTITUCIONAL N. 123, DE 2022"/>
        <s v="0283 - AMORTIZACAO E ENCARGOS DE FINANCIAMENTO DA DIVIDA CONTRATUAL INTERNA"/>
        <s v="125F - RECUPERACAO AMBIENTAL DA BACIA CARBONIFERA DE SANTA CATARINA"/>
        <s v="2090 - FISCALIZACAO DOS SERVICOS E DA EXPLORACAO DA INFRAESTRUTURA DO TRANSPORTE AQUAVIARIO"/>
        <s v="11H1 - ADEQUACAO DE RAMAL FERROVIARIO EM BARRA MANSA - NA EF-222/RJ"/>
        <s v="00UL - PAGAMENTO DE AUXILIO AOS MOTORISTAS DE TAXI (EMENDA CONSTITUCIONAL N. 123, DE 14 DE JULHO DE 2022)"/>
        <s v="20TU - MANUTENCAO, DESENVOLVIMENTO E MODERNIZACAO DE SISTEMAS INFORMATIZADOS DE COMERCIO EXTERIOR"/>
        <s v="4741 - CADASTROS PUBLICOS E SISTEMAS DE INTEGRACAO DAS ACOES DE TRABALHO E EMPREGO"/>
        <s v="13E4 - PROJETO DE ASSISTENCIA TECNICA AOS SETORES DE ENERGIA E MINERAL - META II"/>
        <s v="15V3 - CONSTRUCAO DA FERROVIA DE INTEGRACAO CENTRO OESTE - TRECHO MARA ROSA (GO) A PORTO VELHO (RO) EF 354"/>
        <s v="2843 - FUNCIONAMENTO DOS SISTEMAS DE TRANSPORTE FERROVIARIO URBANO DE PASSAGEIROS"/>
        <s v="214H - INATIVOS MILITARES DAS FORCAS ARMADAS"/>
        <s v="21AY - PREVENCAO A LAVAGEM DE DINHEIRO E AO FINANCIAMENTO DO TERRORISMO"/>
        <s v="124G - CONSTRUCAO DA FERROVIA DE INTEGRACAO OESTE-LESTE - CAETITE/BA - BARREIRAS/BA - EF-334"/>
        <s v="10IX - ADEQUACAO DE TRECHO RODOVIARIO - ENTRONCAMENTO BR-116/259/451 (GOVERNADOR VALADARES) - ENTRONCAMENTO MG-020 - NA BR-381/MG"/>
        <s v="00TM - APOIO A EMPREENDIMENTOS DE SANEAMENTO INTEGRADO EM MUNICIPIOS COM POPULACAO SUPERIOR A 50 MIL HABITANTES OU MUNICIPIOS INTEGRANTES DE REGIOES METROPOLITANAS OU DE REGIOES INTEGRADAS DE DESENVOLVIMENTO"/>
        <s v="20X0 - COOPERACAO HUMANITARIA INTERNACIONAL E PARTICIPACAO DA SOCIEDADE CIVIL"/>
        <s v="8567 - AUXILIOS PECUNIARIOS AO PESSOAL ATIVO MILITAR DOS EXTINTOS TERRITORIOS (LEI 10.486/2002, ART.65)"/>
        <s v="8861 - GESTAO E APRIMORAMENTO DO PROCESSO DE PLANEJAMENTO E ORCAMENTO"/>
        <s v="20RL - FUNCIONAMENTO DAS INSTITUICOES DA REDE FEDERAL DE EDUCACAO PROFISSIONAL, CIENTIFICA E TECNOLOGICA"/>
        <s v="6217 - ATENCAO A SAUDE NOS SERVICOS AMBULATORIAIS E HOSPITALARES DO MINISTERIO DA SAUDE"/>
        <s v="219Z - CONSERVACAO E RECUPERACAO DE ATIVOS DE INFRAESTRUTURA DA UNIAO"/>
        <s v="00FM - ASSISTENCIA MEDICA E ODONTOLOGICA AS POLICIAS CIVIL E MILITAR E AO CORPO DE BOMBEIROS DO DISTRITO FEDERAL"/>
        <s v="00OQ - CONTRIBUICOES A ORGANISMOS INTERNACIONAIS SEM EXIGENCIA DE PROGRAMACAO ESPECIFICA"/>
        <s v="20QH - ALIMENTACAO E NUTRICAO PARA A SAUDE"/>
        <s v="009W - COMPENSACAO PREVIDENCIARIA"/>
        <s v="2562 - AUDITORIA PREVENTIVA E CORRETIVA EM ROTINAS, PROCEDIMENTOS E PROCESSOS"/>
        <s v="21C0 - ENFRENTAMENTO DA EMERGENCIA DE SAUDE PUBLICA DE IMPORTANCIA INTERNACIONAL DECORRENTE DO CORONAVIRUS"/>
        <s v="4705 - PROMOCAO DA ASSISTENCIA FARMACEUTICA POR MEIO DA DISPONIBILIZACAO DE MEDICAMENTOS DO COMPONENTE ESPECIALIZADO"/>
        <s v="0547 - TRANSFERENCIAS DE COTAS-PARTES DA COMPENSACAO FINANCEIRA PELA EXPLORACAO DE RECURSOS MINERAIS (LEI N. 8.001, DE 1990 - ART.2.)"/>
        <s v="4256 - APRECIACAO DE CAUSAS NA JUSTICA DO TRABALHO"/>
        <s v="219E - ACOES DE PROTECAO SOCIAL BASICA"/>
        <s v="14LW - IMPLANTACAO DO SISTEMA DE DEFESA ESTRATEGICO ASTROS"/>
        <s v="14UB - REFORMA E REAPARELHAMENTO DE AEROPORTOS E AERODROMOS DE INTERESSE REGIONAL"/>
        <s v="00H6 - TRANSFERENCIA DO IMPOSTO SOBRE OPERACOES FINANCEIRAS INCIDENTES SOBRE O OURO - IOF OURO"/>
        <s v="21AI - INFRAESTRUTURA E APLICACOES ESPACIAIS"/>
        <s v="10T2 - APOIO A PROJETOS E OBRAS DE REABILITACAO, DE ACESSIBILIDADE E MODERNIZACAO TECNOLOGICA EM AREAS URBANAS"/>
        <s v="2867 - ATIVOS MILITARES DAS FORCAS ARMADAS"/>
        <s v="2536 - DEMARCACAO DE FRONTEIRAS"/>
        <s v="152W - ADEQUACAO E MODERNIZACAO DOS IMOVEIS DE USO ESPECIAL DA ADMINISTRACAO PUBLICA FEDERAL"/>
        <s v="20RP - APOIO A INFRAESTRUTURA PARA A EDUCACAO BASICA"/>
        <s v="21B6 - ASSISTENCIA TECNICA E EXTENSAO RURAL"/>
        <s v="4370 - ATENDIMENTO A POPULACAO PARA PREVENCAO, CONTROLE E TRATAMENTO DE HIV/AIDS, OUTRAS INFECCOES SEXUALMENTE TRANSMISSIVEIS E HEPATITES VIRAIS"/>
        <s v="155H - CONSTRUCAO DA DELEGACIA DE JUIZ DE FORA/MG"/>
        <s v="00JE - FINANCIAMENTO IMOBILIARIO PARA O PESSOAL DA AERONAUTICA"/>
        <s v="123H - CONSTRUCAO DE SUBMARINO DE PROPULSAO NUCLEAR"/>
        <s v="10L1 - ADEQUACAO DE TRECHO RODOVIARIO - RONDONOPOLIS - CUIABA - POSTO GIL - NA BR-163/MT"/>
        <s v="21AT - APOIO NO FUNCIONAMENTO DOS CONSELHOS E COMISSOES DE DIREITOS HUMANOS"/>
        <s v="219V - APOIO AO FUNCIONAMENTO DAS INSTITUICOES FEDERAIS DE EDUCACAO SUPERIOR"/>
        <s v="10GD - IMPLANTACAO, AMPLIACAO E MELHORIA DE SISTEMAS PUBLICOS DE ABASTECIMENTO DE AGUA EM MUNICIPIOS COM ATE 50.000 HABITANTES, EXCLUSIVE EM REGIOES METROPOLITANAS (RM) OU REGIOES INTEGRADAS DE DESENVOLVIMENTO ECONOMICO (RIDE)"/>
        <s v="0487 - CONCESSAO DE BOLSAS DE ESTUDO NO ENSINO SUPERIOR"/>
        <s v="21BD - ESTUDOS DA INDUSTRIA DE BIOCOMBUSTIVEIS"/>
        <s v="20V8 - APOIO A INICIATIVAS E PROJETOS DE INCLUSAO DIGITAL"/>
        <s v="0298 - SUBVENCAO ECONOMICA EM OPERACOES DE COMERCIALIZACAO DE PRODUTOS AGROPECUARIOS (LEI N. 8.427, DE 1992)"/>
        <s v="2317 - ACESSO A INFORMACAO CIENTIFICA E TECNOLOGICA"/>
        <s v="0048 - APOIO A ENTIDADES DE ENSINO SUPERIOR NAO FEDERAIS"/>
        <s v="00UC - TRANSFERENCIA AOS ENTES FEDERATIVOS PARA O PAGAMENTO DOS VENCIMENTOS DOS AGENTES COMUNITARIOS DE SAUDE"/>
        <s v="212M - APOIO E ESTRUTURACAO DE PROJETOS AQUICOLAS NA AREA DE ATUACAO DA CODEVASF"/>
        <s v="21D7 - PROGRAMA DE APOIO PARA A EXPANSAO DA EDUCACAO ONLINE EM UNIVERSIDADES FEDERAIS - REUNI DIGITAL"/>
        <s v="13X7 - ADEQUACAO DE TRECHO RODOVIARIO - DIVISA PE/BA (IBO) - FEIRA DE SANTANA - NA BR-116/BA"/>
        <s v="21DI - REGULARIZACAO AMBIENTAL E FUNDIARIA DE PROJETOS PUBLICOS DE IRRIGACAO"/>
        <s v="20RQ - PRODUCAO, AQUISICAO E DISTRIBUICAO DE LIVROS E MATERIAIS DIDATICOS E PEDAGOGICOS PARA EDUCACAO BASICA"/>
        <s v="20U5 - ENSINO DE GRADUACAO E POS-GRADUACAO EM ESTATISTICAS E GEOCIENCIAS"/>
        <s v="00QC - CONCESSAO DE BOLSAS DE PROGRAMAS DE DESENVOLVIMENTO DA EDUCACAO EM SAUDE"/>
        <s v="2C11 - APOIO TECNICO E ADMINISTRATIVO A EQUIPE DE TRANSICAO DE GOVERNO"/>
        <s v="7N22 - CONSTRUCAO DE TRECHO RODOVIARIO - DIVISA BA/PI - DIVISA PI/MA - NA BR-235/PI"/>
        <s v="217U - APOIO A MANUTENCAO DOS POLOS DE ACADEMIA DA SAUDE"/>
        <s v="2345 - APOIO LOGISTICO A PESQUISA CIENTIFICA NA ANTARTICA"/>
        <s v="10ZW - RECUPERACAO HIDROAMBIENTAL NAS BACIAS HIDROGRAFICAS NA AREA DE ATUACAO DA CODEVASF"/>
        <s v="20GP - JULGAMENTO DE CAUSAS E GESTAO ADMINISTRATIVA NA JUSTICA ELEITORAL"/>
        <s v="10JQ - ADEQUACAO DE TRECHO RODOVIARIO - SAO FRANCISCO DO SUL - JARAGUA DO SUL - NA BR-280/SC"/>
        <s v="14PC - CONSTRUCAO DA SEGUNDA PONTE SOBRE O RIO GUAIBA E ACESSOS - NA BR-116/290/RS"/>
        <s v="7S61 - CONSTRUCAO DE TRECHO RODOVIARIO - NOVO REPARTIMENTO - TUCURUI - NA BR-422/PA"/>
        <s v="20Y3 - PROMOCAO E MARKETING DO TURISMO NO MERCADO NACIONAL"/>
        <s v="108X - IMPLANTACAO DE POSTOS DE PESAGEM"/>
        <s v="2325 - OPERACAO DE PESAGEM E AUTORIZACOES ESPECIAIS DE TRANSITO DE VEICULOS"/>
        <s v="6438 - CAPACITACAO DE RECURSOS HUMANOS PARA TRANSPORTES COLETIVOS URBANOS"/>
        <s v="21CE - IMPLEMENTACAO DE POLITICAS DE ATENCAO PRIMARIA A SAUDE"/>
        <s v="2397 - LEVANTAMENTOS HIDROGEOLOGICOS, ESTUDOS INTEGRADOS EM RECURSOS HIDRICOS PARA GESTAO E AMPLIACAO DA OFERTA HIDRICA"/>
        <s v="2238 - ARRECADACAO TRIBUTARIA E ADUANEIRA"/>
        <s v="8873 - APOIO AO FORTALECIMENTO INSTITUCIONAL DOS AGENTES INTEGRANTES DO SISTEMA NACIONAL DE HABITACAO DE INTERESSE SOCIAL - SNHIS"/>
        <s v="00T1 - APOIO A POLITICA NACIONAL DE DESENVOLVIMENTO URBANO VOLTADO A IMPLANTACAO E QUALIFICACAO VIARIA"/>
        <s v="8690 - FISCALIZACAO E CONTROLE DO USO E OCUPACAO DE IMOVEIS DA UNIAO"/>
        <s v="2478 - PRODUCAO E FORNECIMENTO DE RADIOFARMACOS NO PAIS"/>
        <s v="21BJ - DESENVOLVIMENTO DO DESPORTO NACIONAL E MILITAR"/>
        <s v="219M - IMPLEMENTACAO DO PROGRAMA DE PROTECAO INTEGRADA DE FRONTEIRAS (PPIF)"/>
        <s v="00O0 - CONCESSAO DE BOLSAS DE APOIO A EDUCACAO BASICA"/>
        <s v="15F1 - DISPONIBILIZACAO DE PROPRIOS NACIONAIS RESIDENCIAIS PARA OS COMANDOS MILITARES"/>
        <s v="0A81 - FINANCIAMENTO DE OPERACOES NO AMBITO DO PROGRAMA NACIONAL DE FORTALECIMENTO DA AGRICULTURA FAMILIAR - PRONAF (LEI N. 10.186, DE 2001)"/>
        <s v="20XS - PRESTACAO DE ENSINO ASSISTENCIAL NA FUNDACAO OSORIO"/>
        <s v="0509 - APOIO AO DESENVOLVIMENTO DA EDUCACAO BASICA"/>
        <s v="8585 - ATENCAO A SAUDE DA POPULACAO PARA PROCEDIMENTOS EM MEDIA E ALTA COMPLEXIDADE"/>
        <s v="2684 - ACOES DE INTELIGENCIA"/>
        <s v="15F9 - APRIMORAMENTO DA INFRAESTRUTURA DA POLICIA FEDERAL"/>
        <s v="0739 - INDENIZACAO A ANISTIADOS POLITICOS EM PRESTACAO UNICA OU EM PRESTACAO MENSAL, PERMANENTE E CONTINUADA, NOS TERMOS DA LEI N. 10.559, DE 2002"/>
        <s v="20K2 - FOMENTO A PESQUISA E AO DESENVOLVIMENTO TECNOLOGICO, COM VISTAS AO APRIMORAMENTO E A SUSTENTABILIDADE DOS SERVICOS E ACOES DE SAUDE AMBIENTAL"/>
        <s v="20T4 - ATIVIDADES DO CENTRO DE APOIO A SISTEMAS LOGISTICOS DE DEFESA"/>
        <s v="20LO - OPERACAO DE ECLUSAS"/>
        <s v="21DH - IMPLANTACAO, AMPLIACAO, MELHORIAS OU ADEQUACAO DE SISTEMAS DE ABASTECIMENTO DE AGUA EM AREAS DE ATUACAO DA CODEVASF"/>
        <s v="20XL - SAUDE EM OPERACOES MILITARES"/>
        <s v="2017 - COMUNICACAO INSTITUCIONAL"/>
        <s v="00R3 - RACIONALIZACAO E MODERNIZACAO DO SISTEMA PENAL"/>
        <s v="0312 - SERVICOS PUBLICOS DE EDUCACAO DO DISTRITO FEDERAL"/>
        <s v="21C9 - IMPLANTACAO, AMPLIACAO OU MELHORIA DE ACOES E SERVICOS SUSTENTAVEIS DE SANEAMENTO BASICO EM PEQUENAS COMUNIDADES RURAIS (LOCALIDADES DE PEQUENO PORTE) OU EM COMUNIDADES TRADICIONAIS (REMANESCENTES DE QUILOMBOS)"/>
        <s v="7XI6 - ADEQUACAO DE TRECHO RODOVIARIO - PORTO ALEGRE - NOVO HAMBURGO - NA BR-116/RS"/>
        <s v="217Z - GESTAO DO SISTEMA NACIONAL DE CERTIFICACAO DIGITAL DA INFRAESTRUTURA DE CHAVES PUBLICAS - ICP - BRASIL E DE OUTRAS TECNOLOGIAS DE SEGURANCA DA INFORMACAO E IDENTIFICACAO DIGITAL"/>
        <s v="20Y2 - REGISTRO, MONITORAMENTO E CERTIFICACAO DA ATIVIDADE PESQUEIRA"/>
        <s v="7L04 - ADEQUACAO DE TRECHO RODOVIARIO - PORTO ALEGRE - PELOTAS - NA BR-116/RS"/>
        <s v="2994 - ASSISTENCIA AOS ESTUDANTES DAS INSTITUICOES FEDERAIS DE EDUCACAO PROFISSIONAL E TECNOLOGICA"/>
        <s v="21AS - FORTALECIMENTO DA FAMILIA"/>
        <s v="00T3 - APOIO A SISTEMAS DE TRANSPORTE PUBLICO COLETIVO URBANO"/>
        <s v="00NR - MANUTENCAO DAS POLICIAS CIVIL E MILITAR E DO CORPO DE BOMBEIROS DO DISTRITO FEDERAL"/>
        <s v="0605 - RESSARCIMENTO AO GESTOR DO FUNDO NACIONAL DE DESESTATIZACAO (LEI N. 9.491, DE 1997)"/>
        <s v="1ABD - PROGRAMA DE DESENVOLVIMENTO COM. INDIGENA SARARE"/>
        <s v="21DJ - ESTUDOS E PROJETOS PARA IMPLANTACAO DE PROJETOS PUBLICOS DE IRRIGACAO"/>
        <s v="215A - DESENVOLVIMENTO DAS CADEIAS PRODUTIVAS DA AGROPECUARIA"/>
        <s v="21CP - OPERACIONALIZACAO DO AUXILIO EMERGENCIAL PARA ENFRENTAMENTO DA EMERGENCIA DE SAUDE PUBLICA DE IMPORTANCIA INTERNACIONAL DECORRENTE DO CORONAVIRUS (COVID-19)"/>
        <s v="219G - ESTRUTURACAO DA REDE DE SERVICOS DO SISTEMA UNICO DE ASSISTENCIA SOCIAL (SUAS)"/>
        <s v="00PH - CONCESSAO DE BOLSAS E AUXILIO FINANCEIRO PARA PROMOVER A ALFABETIZACAO, A ELEVACAO DA ESCOLARIDADE E A INTEGRACAO A QUALIFICACAO PROFISSIONAL, NA EDUCACAO DE JOVENS E ADULTOS"/>
        <s v="20WI - IMPLEMENTACAO DA POLITICA NACIONAL DE RECURSOS HIDRICOS"/>
        <s v="21CL - RECOMPOSICAO DO NUCLEO DO PODER NAVAL"/>
        <s v="10SG - APOIO A SISTEMAS DE DRENAGEM URBANA SUSTENTAVEL E DE MANEJO DE AGUAS PLUVIAIS EM MUNICIPIOS CRITICOS SUJEITOS A EVENTOS RECORRENTES DE INUNDACOES, ENXURRADAS E ALAGAMENTOS"/>
        <s v="2137 - FISCALIZACAO DOS ESTOQUES E DAS OPERACOES DE GARANTIA E SUSTENTACAO DE PRECOS NA COMERCIALIZACAO DE PRODUTOS AGROPECUARIOS"/>
        <s v="2B00 - ATUACAO DA FORCA NACIONAL DE SEGURANCA PUBLICA"/>
        <s v="218R - MONITORAMENTO AMBIENTAL E GESTAO DA INFORMACAO SOBRE O MEIO AMBIENTE E EDUCACAO AMBIENTAL"/>
        <s v="2B28 - APOIO AO DESENVOLVIMENTO DE TECNOLOGIAS DE INTERESSE DA DEFESA NACIONAL"/>
        <s v="21BX - BONUS DE EFICIENCIA E PRODUTIVIDADE DE SERVIDORES ATIVOS DA UNIAO"/>
        <s v="122X - IMPLANTACAO DO SISTEMA DE ATENDIMENTO PORTUARIO UNIFICADO"/>
        <s v="21B8 - DESENVOLVIMENTO SUSTENTAVEL DA BIOECONOMIA"/>
        <s v="6179 - COMUNICACAO E INFORMACOES PARA A EDUCACAO EM SAUDE E EM CIENCIA E TECNOLOGIA"/>
        <s v="10SS - SISTEMAS DE TRANSPORTE PUBLICO COLETIVO URBANO"/>
        <s v="20QG - ATUACAO INTERNACIONAL DO MINISTERIO DA SAUDE"/>
        <s v="14XS - IMPLEMENTACAO DA CASA DA MULHER BRASILEIRA E DE CENTROS DE ATENDIMENTO AS MULHERES"/>
        <s v="7690 - ESTRUTURACAO DOS SERVICOS DE HEMATOLOGIA E HEMOTERAPIA"/>
        <s v="8287 - APRIMORAMENTO DA ARTICULACAO E COOPERACAO INTERFEDERATIVA EM SAUDE"/>
        <s v="218T - MANUTENCAO E OPERACAO DA INFRAESTRUTURA DE TECNOLOGIA DA INFORMACAO"/>
        <s v="6149 - RESIDENCIA DE PROFISSIONAIS DE SAUDE - SUS"/>
        <s v="4693 - SEGURANCA INSTITUCIONAL DO PRESIDENTE DA REPUBLICA E DO VICE-PRESIDENTE DA REPUBLICA, RESPECTIVOS FAMILIARES, E OUTRAS AUTORIDADES"/>
        <s v="214T - GESTAO, OPERACAO E MANUTENCAO DO PROJETO DE INTEGRACAO DO RIO SAO FRANCISCO - PISF"/>
        <s v="1248 - CONSTRUCAO DE TRECHO RODOVIARIO - MANAUS - DIVISA AM/RO - NA BR-319/AM"/>
        <s v="4926 - REGULACAO E FISCALIZACAO DOS USOS DE RECURSOS HIDRICOS, DOS SERVICOS DE IRRIGACAO E ADUCAO DE AGUA BRUTA E DA SEGURANCA DE BARRAGENS"/>
        <s v="21BP - APRIMORAMENTO DO SISTEMA PENITENCIARIO NACIONAL E INCENTIVO AO DESENVOLVIMENTO DA INTELIGENCIA PENITENCIARIA"/>
        <s v="20ZH - PRESERVACAO DO PATRIMONIO CULTURAL BRASILEIRO"/>
        <s v="2593 - FUNCIONAMENTO DAS UNIDADES DESCENTRALIZADAS DA PREVIDENCIA SOCIAL"/>
        <s v="00M3 - SUBVENCAO ECONOMICA NAS OPERACOES DE FINANCIAMENTO AO SETOR PRODUTIVO PARA O DESENVOLVIMENTO REGIONAL (LEI N. 12.712, DE 2012)"/>
        <s v="0243 - REFINANCIAMENTO DA DIVIDA PUBLICA MOBILIARIA FEDERAL EXTERNA"/>
        <s v="15W6 - IMPLANTACAO DO PROGRAMA ESTRATEGICO DO EXERCITO LUCERNA (PRG EE LUCERNA)"/>
        <s v="218K - INATIVOS MILITARES DOS EX-TERRITORIOS E DO ANTIGO ESTADO DA GUANABARA"/>
        <s v="8327 - MANUTENCAO DE SERVICO LABORATORIAL DE REFERENCIA PARA O CONTROLE DE DOENCAS"/>
        <s v="2244 - RECUPERACAO DE CREDITOS, CONSULTORIA, REPRESENTACAO JUDICIAL E EXTRAJUDICIAL DA FAZENDA NACIONAL"/>
        <s v="218E - ARMAZENAMENTO DE REJEITOS RADIATIVOS"/>
        <s v="13X5 - ADEQUACAO DE TRAVESSIA URBANA EM IMPERATRIZ - NA BR-010/MA"/>
        <s v="210U - ORGANIZACAO DA ESTRUTURA FUNDIARIA"/>
        <s v="123G - IMPLANTACAO DE ESTALEIRO E BASE NAVAL PARA CONSTRUCAO E MANUTENCAO DE SUBMARINOS CONVENCIONAIS E NUCLEARES"/>
        <s v="123I - CONSTRUCAO DE SUBMARINOS CONVENCIONAIS"/>
        <s v="20RW - APOIO A FORMACAO PROFISSIONAL, CIENTIFICA E TECNOLOGICA"/>
        <s v="8535 - ESTRUTURACAO DE UNIDADES DE ATENCAO ESPECIALIZADA EM SAUDE"/>
        <s v="15VX - CONSTRUCAO DO CENTRO DE DESENVOLVIMENTO TECNOLOGICO EM SAUDE - CDTS"/>
        <s v="4086 - FUNCIONAMENTO E GESTAO DE INSTITUICOES HOSPITALARES FEDERAIS"/>
        <s v="00QD - PENSOES MILITARES DOS EX-TERRITORIOS E DO ANTIGO ESTADO DA GUANABARA"/>
        <s v="2592 - AUTORIZACAO, MONITORAMENTO E FISCALIZACAO DAS ENTIDADES FECHADAS DE PREVIDENCIA COMPLEMENTAR"/>
        <s v="20YD - EDUCACAO E FORMACAO EM SAUDE"/>
        <s v="20XB - PESQUISA E DESENVOLVIMENTO NO SETOR AEROESPACIAL"/>
        <s v="8719 - VIGILANCIA SANITARIA DE PRODUTOS, SERVICOS E AMBIENTES"/>
        <s v="7N85 - CONSTRUCAO DE TRECHO RODOVIARIO - TIMBE DO SUL - DIVISA SC/RS - NA BR-285/SC"/>
        <s v="6503 - CENSO ESCOLAR DA EDUCACAO SUPERIOR"/>
        <s v="2161 - PRODUCAO E DIVULGACAO DE INFORMACOES METEOROLOGICAS E CLIMATOLOGICAS"/>
        <s v="14VI - IMPLANTACAO DE INFRAESTRUTURAS PARA SEGURANCA HIDRICA"/>
        <s v="00IN - BENEFICIOS DE PRESTACAO CONTINUADA (BPC) A PESSOA COM DEFICIENCIA E DA RENDA MENSAL VITALICIA (RMV) POR INVALIDEZ"/>
        <s v="7674 - MODERNIZACAO DE UNIDADES DA FUNDACAO OSWALDO CRUZ"/>
        <s v="154T - CONSTRUCAO DE UNIDADES OPERACIONAIS E ADMINISTRATIVAS DA PRF"/>
        <s v="218Y - DESPESAS JUDICIAIS DA UNIAO, DE SUAS AUTARQUIAS E FUNDACOES PUBLICAS"/>
        <s v="7XN4 - IMPLANTACAO DO COLEGIO MILITAR DE SAO PAULO (CMSP)"/>
        <s v="6147 - COOPERACAO INTERNACIONAL EM CIENCIA, TECNOLOGIA E INOVACAO"/>
        <s v="21D5 - GESTAO DE POLITICAS DE PROTECAO DE DADOS"/>
        <s v="21D2 - RECOMPOSICAO DA CAPACIDADE E DOS MEIOS DA FORCA TERRESTRE"/>
        <s v="7I71 - CONSTRUCAO DE CONTORNO RODOVIARIO EM JATAI - NA BR-060/GO"/>
        <s v="20GN - EDUCACAO PREVIDENCIARIA E FINANCEIRA"/>
        <s v="218A - INOVACAO, DIFUSAO E AMPLIACAO DO ACESSO A PRODUCAO AUDIOVISUAL BRASILEIRA"/>
        <s v="20X9 - CAPACITACAO PROFISSIONAL DA AERONAUTICA"/>
        <s v="15R4 - APOIO A CONSOLIDACAO E REESTRUTURACAO DAS INSTITUICOES DA REDE FEDERAL DE EDUCACAO PROFISSIONAL, CIENTIFICA E TECNOLOGICA"/>
        <s v="20EY - OPERACAO E MANUTENCAO DE PROJETOS PUBLICOS DE IRRIGACAO DE INTERESSE SOCIAL"/>
        <s v="21AA - FOMENTO E IMPLEMENTACAO DE PROJETOS RELACIONADOS A AREAS PROTEGIDAS"/>
        <s v="4590 - QUALIFICACAO E CERTIFICACAO NO TURISMO"/>
        <s v="7242 - CONSTRUCAO DE TRECHO RODOVIARIO - CANTA - NOVO PARAISO - NA BR-432/RR"/>
        <s v="7624 - ADEQUACAO DE TRECHO RODOVIARIO - DIVISA AL/PE - DIVISA AL/SE - NA BR-101/AL"/>
        <s v="216R - DESENVOLVIMENTO DE INICIATIVAS DE INOVACAO, ESTUDOS, PESQUISAS E PUBLICACOES"/>
        <s v="20JP - DESENVOLVIMENTO DE ATIVIDADES E APOIO A PROJETOS E EVENTOS DE ESPORTE, EDUCACAO, LAZER E INCLUSAO SOCIAL"/>
        <s v="20YU - FISCALIZACAO DE OBRIGACOES TRABALHISTAS E INSPECAO EM SEGURANCA E SAUDE NO TRABALHO"/>
        <s v="20Y8 - DESENVOLVIMENTO DA CAFEICULTURA"/>
        <s v="20GB - MONITORAMENTO E ALERTA DE DESASTRES NATURAIS - CEMADEN"/>
        <s v="7S51 - CONSTRUCAO DE CONTORNO RODOVIARIO (CONTORNO DE MESTRE ALVARO) EM SERRA - NA BR-101/ES"/>
        <s v="2C55 - DISSEMINACAO DE CONDUTA ETICA NO PODER EXECUTIVO FEDERAL"/>
        <s v="7530 - ADEQUACAO DE TRECHO RODOVIARIO - NAVEGANTES - RIO DO SUL - NA BR-470/SC"/>
        <s v="6702 - APOIO A PROJETOS E EVENTOS DE EDUCACAO, DIVULGACAO E POPULARIZACAO DA PESQUISA E DESENVOLVIMENTO"/>
        <s v="15P7 - MODERNIZACAO E AMPLIACAO DA INFRAESTRUTURA DE TECNOLOGIA DA INFORMACAO"/>
        <s v="2911 - LOGISTICA INTEGRADA EM PROVEITO DE ORGANIZACOES MILITARES DE ENGENHARIA DO EXERCITO"/>
        <s v="10S5 - APOIO A EMPREENDIMENTOS DE SANEAMENTO INTEGRADO EM MUNICIPIOS COM POPULACAO SUPERIOR A 50 MIL HABITANTES OU MUNICIPIOS INTEGRANTES DE REGIOES METROPOLITANAS OU DE REGIOES INTEGRADAS DE DESENVOLVIMENTO"/>
        <s v="157N - ADEQUACAO DA BRIGADA ANFIBIA DE FUZILEIROS NAVAIS - PROBANF"/>
        <s v="1D73 - APOIO A POLITICA NACIONAL DE DESENVOLVIMENTO URBANO VOLTADO A IMPLANTACAO E QUALIFICACAO VIARIA"/>
        <s v="2563 - GESTAO DA MELHORIA CONTINUA"/>
        <s v="4269 - PLEITOS ELEITORAIS"/>
        <s v="0483 - CONTRIBUICAO A CONVENCAO SOBRE DIVERSIDADE BIOLOGICA - CDB (MMA)"/>
        <s v="211F - FUNCIONAMENTO DE ESPACOS E EQUIPAMENTOS CULTURAIS"/>
        <s v="21DP - TRANSFERENCIA DE RENDA RELATIVA AOS BENEFICIOS E AUXILIOS DO PROGRAMA AUXILIO BRASIL (LEI N. 14.284, DE 29 DE DEZEMBRO DE 2021)"/>
        <s v="2D55 - IMPLEMENTACAO DE POLITICA, ESTRATEGIA E ASSUNTOS INTERNACIONAIS NA AREA DE DEFESA"/>
        <s v="216Z - GESTAO E PROMOCAO DO PROGRAMA DE PARCERIAS DE INVESTIMENTOS"/>
        <s v="20ZM - PRODUCAO E DIFUSAO DE CONHECIMENTO NA AREA CULTURAL"/>
        <s v="21DL - IMPLANTACAO, AMPLIACAO, MELHORIA OU ADEQUACAO DE SISTEMAS DE ESGOTAMENTO SANITARIO NA AREA DE ATUACAO DA CODEVASF"/>
        <s v="00IG - CONCESSAO DE FINANCIAMENTO ESTUDANTIL - FIES (LEI N. 10.260, DE 2001)"/>
        <s v="0C01 - VALORES RETROATIVOS A ANISTIADOS POLITICOS NOS TERMOS DA LEI N. 11.354, DE 19/10/2006"/>
        <s v="2792 - DISTRIBUICAO DE ALIMENTOS A GRUPOS POPULACIONAIS TRADICIONAIS E ESPECIFICOS E A FAMILIAS EM SITUACAO DE INSEGURANCA ALIMENTAR E NUTRICIONAL TEMPORARIA"/>
        <s v="1ABG - PROJETO COMUNIDADE INDIGENA ASSURINI"/>
        <s v="4031 - FOMENTO A PROJETOS INSTITUCIONAIS PARA PESQUISA NO SETOR DE BIOTECNOLOGIA (CT-BIOTECNOLOGIA)"/>
        <s v="20YN - SISTEMAS DE TECNOLOGIA DE INFORMACAO E COMUNICACAO PARA A SAUDE (E-SAUDE)"/>
        <s v="147F - IMPLANTACAO DE SISTEMA DE DEFESA CIBERNETICA PARA A DEFESA NACIONAL"/>
        <s v="20ZY - DESENVOLVIMENTO SUSTENTAVEL DA CADEIA PRODUTIVA DO CACAU"/>
        <s v="20X5 - OPERACOES DE COMANDO E CONTROLE DA DEFESA NACIONAL"/>
        <s v="215I - CONSOLIDACAO DA IMPLANTACAO DO SISTEMA NACIONAL DE SEGURANCA ALIMENTAR E NUTRICIONAL - SISAN"/>
        <s v="20UA - ESTUDOS, PROJETOS E PLANEJAMENTO DE INFRAESTRUTURA DE TRANSPORTES (PROGRAMA DE ACELERACAO DO CRESCIMENTO)"/>
        <s v="14T4 - IMPLANTACAO DO PROJETO FORCAS BLINDADAS"/>
        <s v="216W - PESQUISA E DESENVOLVIMENTO PARA ESTUDOS DE TEMPO, CLIMA, OBSERVACAO E MODELAGEM DO SISTEMA TERRESTRE"/>
        <s v="6925 - LICENCIAMENTO AMBIENTAL FEDERAL"/>
        <s v="210V - ESTRUTURACAO E INCLUSAO PRODUTIVA DOS AGRICULTORES FAMILIARES E DOS PEQUENOS E MEDIOS PRODUTORES RURAIS"/>
        <s v="4815 - FUNCIONAMENTO DAS UNIDADES DESCENTRALIZADAS"/>
        <s v="4909 - FUNCIONAMENTO DE PROGRAMAS DE POS-GRADUACAO E DEMAIS ATIVIDADES EDUCATIVAS EM BOTANICA E MEIO AMBIENTE E CAMPOS AFINS"/>
        <s v="00H5 - BENEFICIOS DE PRESTACAO CONTINUADA (BPC) A PESSOA IDOSA E DA RENDA MENSAL VITALICIA (RMV) POR IDADE"/>
        <s v="21DG - RECUPERACAO HIDROAMBIENTAL NAS BACIAS HIDROGRAFICAS NA AREA DE ATUACAO DA CODEVASF"/>
        <s v="21BQ - IMPLEMENTACAO DE POLITICAS DE SEGURANCA PUBLICA, PREVENCAO, E ENFRENTAMENTO A CRIMINALIDADE"/>
        <s v="20VF - FORTALECIMENTO INSTITUCIONAL"/>
        <s v="20QF - PESQUISAS, ENSINO E INOVACOES TECNOLOGICAS BIOMEDICAS E EM MEDICINA TROPICAL E MEIO AMBIENTE"/>
        <s v="2869 - OPERACAO DAS LINHAS DE NAVEGACAO NO LAGO DE TRES MARIAS"/>
        <s v="00NT - OUTROS BENEFICIOS DAS POLICIAS CIVIL E MILITAR E DO CORPO DE BOMBEIROS DO DISTRITO FEDERAL"/>
        <s v="21BF - PESQUISA, DESENVOLVIMENTO TECNOLOGICO E INOVACAO EM SAUDE"/>
        <s v="2452 - ADEQUACAO DA INFRAESTRUTURA DOS PELOTOES ESPECIAIS DE FRONTEIRA DA REGIAO DO CALHA NORTE"/>
        <s v="2993 - OUVIDORIA SETORIAL DA AGENCIA NACIONAL DE ENERGIA ELETRICA"/>
        <s v="7E79 - CONSTRUCAO DE TRECHO RODOVIARIO - URUACU - DIVISA GO/MT - NA BR-080/GO"/>
        <s v="20WX - RELACOES E NEGOCIACOES MULTILATERAIS"/>
        <s v="20I7 - PROMOCAO DA POLITICA NACIONAL DE JUSTICA"/>
        <s v="211B - AQUISICAO DE TERRAS"/>
        <s v="4727 - DIAGNOSTICOS, PROSPECCOES E ESTRATEGIAS DO DESENVOLVIMENTO BRASILEIRO"/>
        <s v="0546 - TRANSFERENCIAS DE COTAS-PARTES DA COMPENSACAO FINANCEIRA PELA UTILIZACAO DE RECURSOS HIDRICOS PARA FINS DE GERACAO DE ENERGIA ELETRICA (LEI N. 8.001, DE 1990 - ART.1.)"/>
        <s v="20U1 - APERFEICOAMENTO DA GESTAO PUBLICA"/>
        <s v="20X1 - PARTICIPACAO BRASILEIRA EM MISSOES DE PAZ E EM DESMINAGEM HUMANITARIA"/>
        <s v="14KP - ADEQUACAO DA INFRAESTRUTURA TURISTICA PUBLICA PARA OS GRANDES EVENTOS ESPORTIVOS"/>
        <s v="21D3 - MODERNIZACAO E ADEQUACAO DO SISTEMA DE AVIACAO DO EXERCITO"/>
        <s v="2591 - RECONHECIMENTO DE DIREITOS DE BENEFICIOS PREVIDENCIARIOS"/>
        <s v="20YQ - APOIO INSTITUCIONAL PARA APRIMORAMENTO DO SUS"/>
        <s v="20UW - SEGURANCA NUCLEAR, CONTROLE DE MATERIAL NUCLEAR E PROTECAO FISICA DE INSTALACOES NUCLEARES E RADIATIVAS"/>
        <s v="2912 - REGULACAO E FISCALIZACAO DA AVIACAO CIVIL"/>
        <s v="21BK - MANUTENCAO DAS ESTRUTURAS DO PROGRAMA ESTRATEGICO DE SISTEMAS ESPACIAIS"/>
        <s v="20Z6 - GESTAO DE POLITICAS ECONOMICAS E FISCAIS"/>
        <s v="2095 - FOMENTO A PROJETOS DE IMPLANTACAO, RECUPERACAO E MODERNIZACAO DA INFRAESTRUTURA DE PESQUISA DAS INSTITUICOES PUBLICAS (CT-INFRA)"/>
        <s v="20UC - ESTUDOS, PROJETOS E PLANEJAMENTO DE INFRAESTRUTURA DE TRANSPORTES"/>
        <s v="00OM - INDENIZACAO A SERVIDORES EM EXERCICIO EM LOCALIDADES DE FRONTEIRA (LEI N. 12.855, DE 2013)"/>
        <s v="7L92 - CONSTRUCAO DE PONTE SOBRE O RIO ARAGUAIA EM XAMBIOA - NA BR-153/TO"/>
        <s v="8593 - APOIO AO DESENVOLVIMENTO DA PRODUCAO AGROPECUARIA SUSTENTAVEL"/>
        <s v="8893 - APOIO A ORGANIZACAO, A GESTAO E A VIGILANCIA SOCIAL NO TERRITORIO, NO AMBITO DO SISTEMA UNICO DE ASSISTENCIA SOCIAL - SUAS"/>
        <s v="20WN - EXECUCAO DE PESQUISA, MONITORAMENTO E CONSERVACAO DE ESPECIES E DO PATRIMONIO ESPELEOLOGICO"/>
        <s v="211C - REFORMA AGRARIA E REGULARIZACAO FUNDIARIA"/>
        <s v="00QY - ACORDOS REFERENTES A PASSIVOS ATUARIAIS DE ESTATAIS DEPENDENTES"/>
        <s v="2B51 - GESTAO E DISSEMINACAO DA INFORMACAO GEOLOGICA"/>
        <s v="20Y1 - DESENVOLVIMENTO DA CADEIA PRODUTIVA DA PESCA"/>
        <s v="20U7 - CENSOS DEMOGRAFICO, AGROPECUARIO E GEOGRAFICO"/>
        <s v="8340 - INOVACAO PARA O DESENVOLVIMENTO REGIONAL"/>
        <s v="20AG - APOIO A GESTAO DOS SISTEMAS DE SANEAMENTO BASICO EM MUNICIPIOS DE ATE 50.000 HABITANTES"/>
        <s v="20K3 - AVALIACAO E INCORPORACAO DE TECNOLOGIAS DE SAUDE NO AMBITO DO SUS"/>
        <s v="20LF - ESTUDOS DE INVENTARIO E VIABILIDADE PARA EXPANSAO DA GERACAO HIDRELETRICA"/>
        <s v="00GW - SUBVENCAO ECONOMICA PARA GARANTIA E SUSTENTACAO DE PRECOS NA COMERCIALIZACAO DE PRODUTOS DA AGRICULTURA FAMILIAR (LEI N. 8.427, DE 1992)"/>
        <s v="20N4 - OPERACAO E MANUTENCAO DE INFRAESTRUTURAS HIDRICAS"/>
        <s v="00S6 - BENEFICIO ESPECIAL E DEMAIS COMPLEMENTACOES DE APOSENTADORIAS"/>
        <s v="2294 - DEFESA JUDICIAL DA PREVIDENCIA SOCIAL BASICA"/>
        <s v="215C - MANUTENCAO E MODERNIZACAO DA INFRAESTRUTURA FISICA DAS UNIDADES DA EMBRAPA"/>
        <s v="0031 - FINANCIAMENTO AOS SETORES PRODUTIVOS DA REGIAO NORDESTE"/>
        <s v="20V9 - MONITORAMENTO DA COBERTURA DA TERRA E DO RISCO DE QUEIMADAS E INCENDIOS FLORESTAIS (INPE)"/>
        <s v="21DK - GESTAO DE PROJETOS PUBLICOS DE IRRIGACAO"/>
        <s v="214Z - FOMENTO A TECNOLOGIA AGROPECUARIA E AOS RECURSOS GENETICOS"/>
        <s v="00RS - AJUDA DE CUSTO PARA MORADIA OU AUXILIO-MORADIA A AGENTES PUBLICOS DO FCDF"/>
        <s v="214M - PREVENCAO E CONTROLE DE INCENDIOS FLORESTAIS NAS AREAS FEDERAIS PRIORITARIAS"/>
        <s v="20ZA - FORTALECIMENTO DAS ACOES DE AUTORIDADE MONETARIA"/>
        <s v="4210 - FORMULACAO, GESTAO E MANUTENCAO DE POLITICAS E DO SISTEMA NACIONAL DE CIENCIA, TECNOLOGIA E INOVACOES"/>
        <s v="215N - PRESTACAO DE SERVICOS TECNOLOGICOS"/>
        <s v="09HB - CONTRIBUICAO DA UNIAO, DE SUAS AUTARQUIAS E FUNDACOES PARA O CUSTEIO DO REGIME DE PREVIDENCIA DOS SERVIDORES PUBLICOS FEDERAIS"/>
        <s v="0022 - SENTENCAS JUDICIAIS DEVIDAS POR EMPRESAS ESTATAIS"/>
        <s v="20M4 - APOIO A IMPLEMENTACAO DE POLITICAS AGROAMBIENTAIS"/>
        <s v="20R9 - REDUCAO DA DEMANDA DE DROGAS"/>
        <s v="7K66 - APOIO A PROJETOS DE DESENVOLVIMENTO SUSTENTAVEL LOCAL INTEGRADO"/>
        <s v="216T - GESTAO, MANUTENCAO E APERFEICOAMENTO DA REDE NACIONAL DE TREINAMENTO"/>
        <s v="21B4 - FOMENTO AO DESENVOLVIMENTO E MODERNIZACAO DOS SISTEMAS DE ENSINO DE EDUCACAO PROFISSIONAL E TECNOLOGICA"/>
        <s v="10KR - CONSTRUCAO DE TRECHO RODOVIARIO - DIVISA PA/TO - ALTAMIRA - NA BR-230/PA"/>
        <s v="00U1 - SUBVENCAO ECONOMICA DESTINADA A AQUISICAO E/OU CONSTRUCAO DE HABITACAO PARA PROFISSIONAIS DA SEGURANCA PUBLICA - PROGRAMA HABITE SEGURO"/>
        <s v="2872 - MOBILIZACAO PARA O SERVICO MILITAR OBRIGATORIO"/>
        <s v="123J - AQUISICAO DE HELICOPTEROS PARA EMPREGO DAS FORCAS ARMADAS"/>
        <s v="20XV - OPERACAO DO SISTEMA DE CONTROLE DO ESPACO AEREO BRASILEIRO - SISCEAB"/>
        <s v="6294 - PROMOCAO DE CURSOS PARA O DESENVOLVIMENTO LOCAL SUSTENTAVEL"/>
        <s v="213Y - LEVANTAMENTOS GEOLOGICOS E INTEGRACAO GEOLOGICA REGIONAL"/>
        <s v="2586 - MANUTENCAO DO SISTEMA DE EMISSAO DE PASSAPORTE, CONTROLE DO TRAFEGO INTERNACIONAL E DE REGISTROS DE ESTRANGEIROS"/>
        <s v="20LA - MAPEAMENTOS GEOLOGICO-GEOTECNICOS VOLTADOS PARA A PREVENCAO DE DESASTRES"/>
        <s v="20RH - GERENCIAMENTO DAS POLITICAS DE EDUCACAO"/>
        <s v="21DD - REABILITACAO DE BARRAGENS E DE OUTRAS INFRAESTRUTURAS HIDRICAS"/>
        <s v="21CB - IMPLANTACAO, AMPLIACAO E MELHORIA DE SISTEMAS PUBLICOS DE ESGOTAMENTO SANITARIO EM MUNICIPIOS COM ATE 50.000 HABITANTES, EXCLUSIVE EM REGIOES METROPOLITANAS (RM) OU REGIOES INTEGRADAS DE DESENVOLVIMENTO ECONOMICO (RIDE)"/>
        <s v="2674 - REPRESENTACAO JUDICIAL E EXTRAJUDICIAL DA UNIAO E SUAS AUTARQUIAS E FUNDACOES FEDERAIS"/>
        <s v="21AZ - SISTEMA DE ESCRITURACAO DIGITAL DAS OBRIGACOES FISCAIS, PREVIDENCIARIAS E TRABALHISTAS - ESOCIAL"/>
        <s v="21AX - GESTAO DAS POLITICAS DE PREVIDENCIA E TRABALHO"/>
        <s v="00M4 - REMUNERACAO A AGENTES FINANCEIROS"/>
        <s v="7S80 - CONSTRUCAO DE CONTORNO RODOVIARIO EM BARRA DO GARCAS - NA BR-070/MT"/>
        <s v="2048 - MANUTENCAO E SUPRIMENTO DE MATERIAL AERONAUTICO"/>
        <s v="21BW - BONUS DE EFICIENCIA E PRODUTIVIDADE DE SERVIDORES INATIVOS E PENSIONISTAS DA UNIAO"/>
        <s v="00QN - INATIVOS E PENSIONISTAS DA POLICIA CIVIL DO DISTRITO FEDERAL"/>
        <s v="21BY - FISCALIZACAO DA NAVEGACAO AQUAVIARIA"/>
        <s v="20X4 - MANUTENCAO E APRIMORAMENTO DO CENTRO GESTOR E OPERACIONAL DO SISTEMA DE PROTECAO DA AMAZONIA - CENSIPAM"/>
        <s v="219U - APOIO AO FUNCIONAMENTO E MODERNIZACAO DAS INSTITUICOES DA REDE FEDERAL DE EDUCACAO PROFISSIONAL, CIENTIFICA E TECNOLOGICA"/>
        <s v="20V6 - FOMENTO A PESQUISA E DESENVOLVIMENTO VOLTADOS A INOVACAO, A TECNOLOGIAS DIGITAIS E AO PROCESSO PRODUTIVO"/>
        <s v="20UY - RADIOPROTECAO, DOSIMETRIA E METROLOGIA DAS RADIACOES IONIZANTES"/>
        <s v="20ZT - PROMOCAO DO AGRONEGOCIO BRASILEIRO NO MERCADO INTERNACIONAL"/>
        <s v="20Z7 - GESTAO DE SISTEMAS INFORMATIZADOS DE ADMINISTRACAO FINANCEIRA E CONTABIL"/>
        <s v="2510 - PRESTACAO DE ENSINO PROFISSIONAL MARITIMO"/>
        <s v="5900 - INTEGRACAO DO RIO SAO FRANCISCO COM AS BACIAS DOS RIOS JAGUARIBE, PIRANHAS-ACU E APODI (EIXO NORTE)"/>
        <s v="2B27 - PROTECAO E DESENVOLVIMENTO DO PROGRAMA NUCLEAR BRASILEIRO"/>
        <s v="2399 - AVALIACAO DOS RECURSOS MINERAIS DO BRASIL"/>
        <s v="21DO - FISCALIZACAO DOS SERVICOS DE TRANSPORTE TERRESTRE E DA INFRAESTRUTURA CONCEDIDA"/>
        <s v="00SJ - BENEFICIOS PREVIDENCIARIOS"/>
        <s v="21DX - MANUTENCAO DE CONTRATO DE GESTAO COM A AGENCIA PARA O DESENVOLVIMENTO DA ATENCAO PRIMARIA A SAUDE (ADAPS) - PROGRAMA MEDICOS PELO BRASIL"/>
        <s v="2378 - OPERACAO DA REDE HIDROMETEOROLOGICA"/>
        <s v="00Q2 - PENSIONISTAS DA POLICIA MILITAR E DO CORPO DE BOMBEIROS DO DISTRITO FEDERAL"/>
        <s v="7S75 - ADEQUACAO DE TRECHO RODOVIARIO - ENTRONCAMENTO BR-226 - ENTRONCAMENTO BR-101 (RETA TABAJARA) - NA BR-304/RN"/>
        <s v="21DA - MODERNIZACAO DE UNIDADES DA FUNDACAO OSWALDO CRUZ"/>
        <s v="7T98 - ADEQUACAO DE TRECHO RODOVIARIO - KM 0 (CABEDELO) - KM 28 (OITIZEIRO) - NA BR-230/PB"/>
        <s v="20US - FOMENTO A PROJETOS DE PESQUISA E DESENVOLVIMENTO CIENTIFICO"/>
        <s v="21AD - PESQUISA, DESENVOLVIMENTO E INOVACAO NAS UNIDADES DE PESQUISA DO MCTI"/>
        <s v="20X6 - ADEQUACAO E MANUTENCAO DE UNIDADES MILITARES PARA A SOBERANIA E INTEGRIDADE NACIONAL NA REGIAO DO CALHA NORTE"/>
        <s v="20U6 - PESQUISAS E ESTUDOS ESTATISTICOS E GEOCIENTIFICOS"/>
        <s v="218I - ATIVOS CIVIS DOS EX-TERRITORIOS E DO ANTIGO ESTADO DA GUANABARA"/>
        <s v="869V - MANUTENCAO E GESTAO DOS ATIVOS FERROVIARIOS"/>
        <s v="20V7 - PESQUISA, DESENVOLVIMENTO CIENTIFICO, DIFUSAO DO CONHECIMENTO E POPULARIZACAO DA CIENCIA NAS UNIDADES DE PESQUISA DO MCTI"/>
        <s v="20VG - GESTAO DAS SOLUCOES INFORMATIZADAS DA SECRETARIA ESPECIAL DA RECEITA FEDERAL DO BRASIL E DO CONSELHO ADMINISTRATIVO DE RECURSOS FISCAIS"/>
        <s v="20RG - REESTRUTURACAO E MODERNIZACAO DAS INSTITUICOES DA REDE FEDERAL DE EDUCACAO PROFISSIONAL, CIENTIFICA E TECNOLOGICA"/>
        <s v="20SA - MANUTENCAO DE SISTEMAS DE INFORMACOES MILITARES DA FORCA AEREA"/>
        <s v="0625 - SENTENCAS JUDICIAIS TRANSITADAS EM JULGADO DE PEQUENO VALOR"/>
        <s v="213F - FUNCIONAMENTO DOS TERMINAIS PESQUEIROS PUBLICOS DE PROPRIEDADE E ADMINISTRACAO DA UNIAO"/>
        <s v="2424 - FISCALIZACAO REGULATORIA"/>
        <s v="12P1 - IMPLANTACAO DO REATOR MULTIPROPOSITO BRASILEIRO"/>
        <s v="212J - REGULACAO DA DISTRIBUICAO E REVENDA DE DERIVADOS DE PETROLEO, GAS NATURAL E BIOCOMBUSTIVEIS"/>
        <s v="15WP - REFORMA E MODERNIZACAO DE NOVA UNIDADE DO MINISTERIO DA SAUDE (BLOCO ?O? DA ESPLANADA DOS MINISTERIOS)"/>
        <s v="21BR - GESTAO DE ATIVOS E DESCAPITALIZACAO DO CRIME"/>
        <s v="2088 - CONCESSAO E REGULACAO DOS SERVICOS E DA EXPLORACAO DA INFRAESTRUTURA DO TRANSPORTE AQUAVIARIO"/>
        <s v="20YP - PROMOCAO, PROTECAO E RECUPERACAO DA SAUDE INDIGENA"/>
        <s v="00PW - CONTRIBUICOES A ENTIDADES NACIONAIS SEM EXIGENCIA DE PROGRAMACAO ESPECIFICA"/>
        <s v="20WZ - PROMOCAO COMERCIAL E DE INVESTIMENTOS"/>
        <s v="5516 - CONFERENCIAS NACIONAIS DE SAUDE"/>
        <s v="4018 - FISCALIZACAO DA APLICACAO DOS RECURSOS PUBLICOS FEDERAIS"/>
        <s v="214Y - FORTALECIMENTO DO SISTEMA UNIFICADO DE ATENCAO A SANIDADE AGROPECUARIA - SUASA"/>
        <s v="214N - CONTROLE E FISCALIZACAO AMBIENTAL"/>
        <s v="4641 - PUBLICIDADE DE UTILIDADE PUBLICA"/>
        <s v="21AR - PROMOCAO E DEFESA DE DIREITOS HUMANOS PARA TODOS"/>
        <s v="6557 - FORMACAO CIVICO-PROFISSIONAL DE JOVENS VINCULADOS AO SERVICO MILITAR - SOLDADO CIDADAO"/>
        <s v="214O - GESTAO DO USO SUSTENTAVEL DA BIODIVERSIDADE E RECUPERACAO AMBIENTAL"/>
        <s v="2723 - POLICIAMENTO, FISCALIZACAO, COMBATE A CRIMINALIDADE E CORRUPCAO"/>
        <s v="212K - REGULACAO DA EXPLORACAO, DESENVOLVIMENTO E PRODUCAO DE PETROLEO, GAS NATURAL E BIOCOMBUSTIVEIS"/>
        <s v="000K - SUBVENCAO ECONOMICA EM OPERACOES DE FINANCIAMENTO NO AMBITO DO PROGRAMA DE SUSTENTACAO DO INVESTIMENTO - PSI E DO PROGRAMA EMERGENCIAL DE RECONSTRUCAO DE MUNICIPIOS AFETADOS POR DESASTRES NATURAIS (LEIS N. 12.096, DE 200"/>
        <s v="20AF - APOIO AO CONTROLE E A VIGILANCIA DA QUALIDADE DA AGUA PARA CONSUMO HUMANO PARA PREVENCAO E CONTROLE DE DOENCAS E AGRAVOS"/>
        <s v="20RN - AVALIACAO DA EDUCACAO SUPERIOR E DA POS-GRADUACAO"/>
        <s v="2B32 - FORMACAO ESPECIALIZADA PARA O SETOR NUCLEAR"/>
        <s v="2865 - SUPRIMENTO DE FARDAMENTO"/>
        <s v="215Z - REGULACAO, OUTORGA E FISCALIZACAO DA MINERACAO"/>
        <s v="20WM - APOIO A CRIACAO, GESTAO E IMPLEMENTACAO DAS UNIDADES DE CONSERVACAO FEDERAIS"/>
        <s v="00T2 - APOIO A URBANIZACAO DE ASSENTAMENTOS PRECARIOS"/>
        <s v="20ZV - FOMENTO AO SETOR AGROPECUARIO"/>
        <s v="2810 - PROMOCAO DO ACESSO AO PATRIMONIO DOCUMENTAL NACIONAL"/>
        <s v="2D58 - AUDITORIA INTERNA, PREVENCAO E COMBATE A CORRUPCAO, OUVIDORIA E CORREICAO"/>
        <s v="20L9 - LEVANTAMENTOS, ESTUDOS, PREVISAO E ALERTA DE EVENTOS HIDROLOGICOS CRITICOS"/>
        <s v="2900 - SELECAO PARA O SERVICO MILITAR E APRESENTACAO DA RESERVA EM DISPONIBILIDADE"/>
        <s v="20WB - PESQUISA E INFORMACOES FLORESTAIS"/>
        <s v="21AG - DESENVOLVIMENTO DE SISTEMAS ESPACIAIS"/>
        <s v="214X - VIGILANCIA E INSPECAO DAS OPERACOES DE COMERCIO EXTERIOR DE MERCADORIAS, BENS E MATERIAIS DE INTERESSE AGROPECUARIO"/>
        <s v="8425 - APOIO AO PROJETO RONDON"/>
        <s v="20XM - PRESTACAO DE ENSINO ASSISTENCIAL NOS COLEGIOS MILITARES"/>
        <s v="2130 - FORMACAO DE ESTOQUES PUBLICOS - AGF"/>
        <s v="8708 - FORTALECIMENTO DA AUDITORIA DO SISTEMA UNICO DE SAUDE"/>
        <s v="20UF - REGULARIZACAO, DEMARCACAO E FISCALIZACAO DE TERRAS INDIGENAS E PROTECAO DOS POVOS INDIGENAS ISOLADOS"/>
        <s v="14T7 - DESENVOLVIMENTO DE SISTEMAS DE TECNOLOGIA NUCLEAR DA MARINHA"/>
        <s v="20Q8 - APOIO A IMPLANTACAO E MANUTENCAO DOS SISTEMAS DE SANEAMENTO BASICO A ACOES DE SAUDE AMBIENTAL"/>
        <s v="21B1 - FORMULACAO DA POLITICA MONETARIA CAMBIAL E DE CREDITO E SUPERVISAO DO SISTEMA FINANCEIRO NACIONAL"/>
        <s v="0179 - PENSOES MILITARES DAS FORCAS ARMADAS"/>
        <s v="21BG - FORMACAO E PROVISAO DE PROFISSIONAIS PARA A ATENCAO PRIMARIA A SAUDE"/>
        <s v="00M5 - AQUISICAO DE TERRENOS E CONSTRUCAO DE UNIDADES HABITACIONAIS DESTINADAS A MORADIA DO PESSOAL DA MARINHA"/>
        <s v="20WY - DIFUSAO CULTURAL E DIVULGACAO DO BRASIL NO EXTERIOR"/>
        <s v="219C - ACOLHIMENTO HUMANITARIO E INTERIORIZACAO DE MIGRANTES EM SITUACAO DE VULNERABILIDADE E FORTALECIMENTO DO CONTROLE DE FRONTEIRAS"/>
        <s v="2533 - COOPERACAO TECNICA INTERNACIONAL"/>
        <s v="4295 - ATENCAO AOS PACIENTES PORTADORES DE DOENCAS HEMATOLOGICAS"/>
        <s v="20XR - CAPACITACAO PROFISSIONAL DA MARINHA"/>
        <s v="211A - CONSOLIDACAO DE ASSENTAMENTOS RURAIS"/>
        <s v="20VA - APOIO A ESTUDOS E PROJETOS DE PESQUISAS E DESENVOLVIMENTO RELACIONADOS A MUDANCA DO CLIMA"/>
        <s v="20XE - MANUTENCAO E MODERNIZACAO DE SISTEMAS DE COMANDO E CONTROLE DO EXERCITO"/>
        <s v="2585 - SERVICO DE REABILITACAO PROFISSIONAL"/>
        <s v="20X7 - EMPREGO CONJUNTO OU COMBINADO DAS FORCAS ARMADAS"/>
        <s v="21CJ - SANEAMENTO BASICO EM ALDEIAS INDIGENAS PARA PREVENCAO DE DOENCAS E AGRAVOS"/>
        <s v="2B53 - PRODUCAO LABORATORIAL DE ANALISES MINERAIS - REDE LAMIN"/>
        <s v="20WK - PESQUISA, AVALIACAO E MONITORAMENTO DA FLORA BRASILEIRA"/>
        <s v="00SB - COMPLEMENTACAO DA UNIAO AO FUNDO DE MANUTENCAO E DESENVOLVIMENTO DA EDUCACAO BASICA E DE VALORIZACAO DOS PROFISSIONAIS DA EDUCACAO - FUNDEB"/>
        <s v="20XJ - DESENVOLVIMENTO TECNOLOGICO DO EXERCITO"/>
        <s v="20RI - FUNCIONAMENTO DAS INSTITUICOES FEDERAIS DE EDUCACAO BASICA"/>
        <s v="2D62 - LEVANTAMENTOS GEOLOGICO-AMBIENTAIS APLICADOS AO ORDENAMENTO TERRITORIAL"/>
        <s v="0745 - INVESTIMENTO EM EMPRESAS INOVADORAS"/>
        <s v="20U4 - GOVERNANCA DO PATRIMONIO IMOBILIARIO DA UNIAO"/>
        <s v="2913 - INVESTIGACAO E PREVENCAO DE ACIDENTES AERONAUTICOS"/>
        <s v="20RJ - APOIO A CAPACITACAO E FORMACAO INICIAL E CONTINUADA PARA A EDUCACAO BASICA"/>
        <s v="20ZF - PROMOCAO E FOMENTO A CULTURA BRASILEIRA"/>
        <s v="20IE - ARTICULACAO DE POLITICA PUBLICA SOBRE DROGAS"/>
        <s v="20RM - EXAMES E AVALIACOES DA EDUCACAO BASICA"/>
        <s v="20Y7 - DESENVOLVIMENTO DO ABASTECIMENTO AGROALIMENTAR"/>
        <s v="00SX - APOIO A PROJETOS DE DESENVOLVIMENTO SUSTENTAVEL LOCAL INTEGRADO"/>
        <s v="21BZ - PRESTACAO DE AUXILIOS A NAVEGACAO"/>
        <s v="21B3 - FOMENTO AS ACOES DE ENSINO, PESQUISA, EXTENSAO E INOVACAO E AO DESENVOLVIMENTO DE POLITICAS, REGULACAO E SUPERVISAO DA EDUCACAO PROFISSIONAL E TECNOLOGICA"/>
        <s v="2237 - AUDITORIA E FISCALIZACAO TRIBUTARIA E ADUANEIRA"/>
        <s v="2919 - REGISTRO E FISCALIZACAO DE PRODUTOS CONTROLADOS"/>
        <s v="8282 - REESTRUTURACAO E MODERNIZACAO DAS INSTITUICOES FEDERAIS DE ENSINO SUPERIOR"/>
        <s v="2A82 - PRESTACAO DE ENSINO DE GRADUACAO E POS-GRADUACAO NO INSTITUTO MILITAR DE ENGENHARIA"/>
        <s v="20LC - LEVANTAMENTO GEOLOGICO, OCEANOGRAFICO E AMBIENTAL DO POTENCIAL MINERAL DO ESPACO MARINHO E COSTEIRO"/>
        <s v="00Q3 - ASSUNCAO E NOVACAO DE DIVIDAS DO FUNDO DE COMPENSACAO DAS VARIACOES SALARIAIS - FCVS"/>
        <s v="0536 - BENEFICIOS E PENSOES INDENIZATORIAS DECORRENTES DE LEGISLACAO ESPECIAL E/OU DECISOES JUDICIAIS"/>
        <s v="214I - GESTAO DA METROLOGIA LEGAL E DE AVALIACAO DA CONFORMIDADE"/>
        <s v="156M - MODERNIZACAO E TRANSFORMACAO ESTRATEGICA E OPERACIONAL DO EXERCITO BRASILEIRO"/>
        <s v="20RK - FUNCIONAMENTO DE INSTITUICOES FEDERAIS DE ENSINO SUPERIOR"/>
        <s v="216H - AJUDA DE CUSTO PARA MORADIA OU AUXILIO-MORADIA A AGENTES PUBLICOS"/>
        <s v="20YI - IMPLEMENTACAO DE POLITICAS DE ATENCAO A SAUDE"/>
        <s v="00TZ - AUXILIO-INCLUSAO AS PESSOAS COM DEFICIENCIA (LEI N. 14.176, DE 22 DE JUNHO DE 2021)"/>
        <s v="8965 - CAPACITACAO PROFISSIONAL MILITAR DO EXERCITO BRASILEIRO"/>
        <s v="20UX - DESENVOLVIMENTO DA CIENCIA E DA TECNOLOGIA NUCLEARES"/>
        <s v="20I5 - SERVICOS CONSULARES E DE ASSISTENCIA A BRASILEIROS NO EXTERIOR"/>
        <s v="21BO - PROTECAO E PROMOCAO DOS DIREITOS DOS POVOS INDIGENAS"/>
        <s v="2866 - ACOES DE CARATER SIGILOSO"/>
        <s v="2518 - APOIO A PESQUISA E AO MONITORAMENTO OCEANOGRAFICO E CLIMATOLOGICO DA AMAZONIA AZUL"/>
        <s v="20U9 - DESENVOLVIMENTO DE COMPETENCIAS DE AGENTES PUBLICOS"/>
        <s v="8924 - TRANSFERENCIA DE TECNOLOGIAS PARA A INOVACAO PARA A AGROPECUARIA"/>
        <s v="20WW - RELACOES E NEGOCIACOES BILATERAIS"/>
        <s v="20TP - ATIVOS CIVIS DA UNIAO"/>
        <s v="0355 - FINANCIAMENTO DE PROJETOS DO SETOR PRODUTIVO NO AMBITO DO FUNDO DE DESENVOLVIMENTO DO NORDESTE - FDNE (LEI COMPLEMENTAR N. 125, DE 3 DE JANEIRO DE 2007)"/>
        <s v="4002 - ASSISTENCIA AO ESTUDANTE DE ENSINO SUPERIOR"/>
        <s v="2726 - PREVENCAO E REPRESSAO AO TRAFICO ILICITO DE DROGAS E A CRIMES PRATICADOS CONTRA BENS, SERVICOS E INTERESSES DA UNIAO"/>
        <s v="22BO - ACOES DE PROTECAO E DEFESA CIVIL"/>
        <s v="21A0 - APRESTAMENTO DAS FORCAS - MANUTENCAO DA PRONTIDAO E DA CAPACIDADE OPERATIVA"/>
        <s v="212O - MOVIMENTACAO DE MILITARES"/>
        <s v="214W - MODERNIZACAO E FORTALECIMENTO DA DEFESA AGROPECUARIA"/>
        <s v="21BB - PESQUISA, DESENVOLVIMENTO E INOVACAO NAS GEOCIENCIAS E SETOR MINERAL"/>
        <s v="0181 - APOSENTADORIAS E PENSOES CIVIS DA UNIAO"/>
        <s v="2798 - AQUISICAO E DISTRIBUICAO DE ALIMENTOS DA AGRICULTURA FAMILIAR PARA PROMOCAO DA SEGURANCA ALIMENTAR E NUTRICIONAL"/>
        <s v="00P1 - APOIO A RESIDENCIA EM SAUDE"/>
        <s v="20JO - PROMOCAO E APOIO AO DESENVOLVIMENTO DO FUTEBOL MASCULINO E FEMININO E DEFESA DOS DIREITOS DO TORCEDOR"/>
        <s v="21D0 - REFORMA, MANUTENCAO E READEQUACAO DE PROPRIOS NACIONAIS RESIDENCIAIS PARA OS COMANDOS MILITARES"/>
        <s v="212B - BENEFICIOS OBRIGATORIOS AOS SERVIDORES CIVIS, EMPREGADOS, MILITARES E SEUS DEPENDENTES"/>
        <s v="219R - MELHORIA DA QUALIDADE REGULATORIA DO SETOR DE SANEAMENTO"/>
        <s v="20GK - FOMENTO AS ACOES DE GRADUACAO, POS-GRADUACAO, ENSINO, PESQUISA E EXTENSAO"/>
        <s v="4261 - DEFESA DO INTERESSE PUBLICO NO PROCESSO JUDICIARIO - MINISTERIO PUBLICO DO DISTRITO FEDERAL E TERRITORIOS"/>
        <s v="20Y4 - ARTICULACAO E ORDENAMENTO TURISTICO"/>
        <s v="2223 - FOMENTO A PROJETOS INSTITUCIONAIS PARA PESQUISA NO SETOR DE RECURSOS HIDRICOS (CT-HIDRO)"/>
        <s v="0354 - CONCESSAO DE EMPRESTIMOS PARA LIQUIDACAO DE OPERADORAS DE PLANOS PRIVADOS DE ASSISTENCIA A SAUDE (LEI N. 9.961, DE 2000)"/>
        <s v="2B12 - FOMENTO A INCLUSAO PRODUTIVA"/>
        <s v="2119 - FOMENTO A PROJETOS INSTITUCIONAIS PARA PESQUISA NO SETOR MINERAL (CT-MINERAL)"/>
        <s v="2E97 - OPERACAO DO SISTEMA DE GERENCIAMENTO DA AMAZONIA AZUL (SISGAAZ)"/>
        <s v="2907 - FISCALIZACAO DA EXPLORACAO DA INFRAESTRUTURA RODOVIARIA"/>
        <s v="00TA - APOIO A GESTAO E IMPLANTACAO DE SISTEMAS DE PURIFICACAO E DE DESSALINIZACAO DE AGUAS CONTINENTAIS E MARINHAS E REDE DE DISTRIBUICAO ASSOCIADA"/>
        <s v="7U06 - CONSTRUCAO DE ACESSO RODOVIARIO AO TERMINAL PORTUARIO DE CAPUABA - NA BR-447/ES"/>
        <s v="14XU - ESTUDOS E PROJETOS PARA IMPLANTACAO DE PROJETOS PUBLICOS DE IRRIGACAO"/>
        <s v="14X0 - ADEQUACAO DE TRECHO RODOVIARIO - ENTRONCAMENTO BR-232 (SAO CAETANO) - ENTRONCAMENTO BR-424/PE-218 (GARANHUNS) - NA BR-423/PE"/>
        <s v="15SP - IMPLANTACAO DO PLANO DE RECUPERACAO DE AREAS DEGRADADAS EM SAO FELIX/BA"/>
        <s v="8010 - ATUACAO ESTRATEGICA PARA CONTROLE E FORTALECIMENTO DO MINISTERIO PUBLICO"/>
        <s v="15V1 - INSTALACAO DE EQUIPAMENTOS DE AUXILIOS A NAVEGACAO AEREA"/>
        <s v="21BN - GESTAO DA POLITICA DE COMBATE A CORRUPCAO E A LAVAGEM DE DINHEIRO"/>
        <s v="20Z8 - ACOMPANHAMENTO E CONTROLE DE ATIVIDADES ECONOMICAS"/>
        <s v="20KH - ACOES INTEGRADAS DE CULTURA E EDUCACAO"/>
        <s v="20K7 - APOIO AO DESENVOLVIMENTO E MODERNIZACAO DE PLATAFORMAS TECNOLOGICAS PARA FORTALECIMENTO DO COMPLEXO INDUSTRIAL DA SAUDE"/>
        <s v="7K23 - CONSTRUCAO DE TRECHO RODOVIARIO - PORTO CAMARGO - CAMPO MOURAO - NA BR-487/PR"/>
        <s v="155L - APRIMORAMENTO DA INFRAESTRUTURA DA FUNDACAO NACIONAL DO INDIO"/>
        <s v="2191 - FOMENTO A PROJETOS INSTITUCIONAIS PARA PESQUISA NO SETOR DE TRANSPORTES TERRESTRES E HIDROVIARIOS (CT-TRANSPORTE)"/>
        <s v="00OE - REMUNERACAO DA EMPRESA PRE-SAL PETROLEO S.A. PELA GESTAO DE CONTRATOS"/>
        <s v="00AF - INTEGRALIZACAO DE COTAS AO FUNDO DE ARRENDAMENTO RESIDENCIAL - FAR"/>
        <s v="21AC - ENCOMENDAS TECNOLOGICAS E FOMENTO A TECNOLOGIAS APLICADAS EM SETORES ESTRATEGICOS"/>
        <s v="20ZU - REDUCAO DE RISCOS NA ATIVIDADE AGROPECUARIA"/>
        <s v="20G8 - REESTRUTURACAO DOS SERVICOS AMBULATORIAIS E HOSPITALARES PRESTADOS PELOS HOSPITAIS UNIVERSITARIOS FEDERAIS (FINANCIAMENTO PARTILHADO - REHUF)"/>
        <s v="4542 - FOMENTO A PESQUISA, TECNOLOGIA E INOVACAO PARA O DESENVOLVIMENTO SUSTENTAVEL DA BIODIVERSIDADE AMAZONICA"/>
        <s v="7X64 - CONSTRUCAO DE PONTES NA BR-425/RO"/>
        <s v="21C2 - BENEFICIO EMERGENCIAL DE MANUTENCAO DO EMPREGO E DA RENDA - COVID-19"/>
        <s v="20Q4 - OPERACAO DO CANAL SAUDE"/>
        <s v="4887 - GESTAO DAS POLITICAS DE GEOLOGIA, MINERACAO E TRANSFORMACAO MINERAL"/>
        <s v="20Z3 - APOIO OPERACIONAL AO PAGAMENTO DO SEGURO-DESEMPREGO E DO ABONO SALARIAL"/>
        <s v="15K0 - CONSTRUCAO DE CONTORNO RODOVIARIO EM ARAGARCAS - NA BR-070/GO"/>
        <s v="14UO - IMPLANTACAO DE CENTROS DE DESENVOLVIMENTO TECNOLOGICO E DE PRODUCAO DE INSUMOS PARA O SUS"/>
        <s v="4061 - PROCESSO LEGISLATIVO, FISCALIZACAO E REPRESENTACAO POLITICA"/>
        <s v="7M91 - CONSTRUCAO DE CONTORNO RODOVIARIO EM MARINGA - NA BR-376/PR"/>
        <s v="20AH - ORGANIZACAO DOS SERVICOS DE ASSISTENCIA FARMACEUTICA NO SUS"/>
        <s v="1490 - CONSTRUCAO DE TRECHO RODOVIARIO - DIVISA MT/PA - SANTAREM - NA BR-163/PA"/>
        <s v="12JL - ADEQUACAO DE TRECHO RODOVIARIO - CASCAVEL - GUAIRA - NA BR-163/PR"/>
        <s v="20WQ - GESTAO DE POLITICAS DE DESENVOLVIMENTO REGIONAL, ORDENAMENTO TERRITORIAL E IRRIGACAO"/>
        <s v="21CC - IMPLANTACAO E MELHORIA DE SISTEMAS PUBLICOS DE MANEJO DE RESIDUOS SOLIDOS EM MUNICIPIOS DE ATE 50.000 HABITANTES, EXCLUSIVE EM REGIOES METROPOLITANAS (RM) OU REGIOES INTEGRADAS DE DESENVOLVIMENTO ECONOMICO (RIDE)"/>
        <s v="7V19 - CONSTRUCAO DE TRECHO RODOVIARIO - ENTRONCAMENTO BR-135/BA-594 (COCOS) - ACESSO A CARIRANHA - NA BR-030/BA"/>
        <s v="7684 - SANEAMENTO BASICO EM ALDEIAS INDIGENAS PARA PREVENCAO DE DOENCAS E AGRAVOS"/>
        <s v="20XX - PRESTACAO DE AUXILIOS A NAVEGACAO E FISCALIZACAO DA NAVEGACAO AQUAVIARIA"/>
        <s v="10IW - CONSTRUCAO DE TRECHO RODOVIARIO - ITACARAMBI - DIVISA MG/BA - NA BR-135/MG"/>
        <s v="00TB - APOIO A IMPLANTACAO, AMPLIACAO OU MELHORIAS DE INFRAESTRUTURAS DE OFERTA DE AGUA PARA SEGURANCA HIDRICA"/>
        <s v="00UI - INDENIZACAO PELA DISPONIBILIZACAO VOLUNTARIA DURANTE O REPOUSO REMUNERADO"/>
        <s v="20K5 - APOIO AO USO DE PLANTAS MEDICINAIS E FITOTERAPICOS NO SUS"/>
        <s v="21D9 - ESTRUTURACAO DOS SERVICOS DE HEMATOLOGIA E HEMOTERAPIA"/>
        <s v="00CB - CONCESSAO DE BOLSAS DE ESTUDO A ALUNOS ESTRANGEIROS, NO SISTEMA EDUCACIONAL BRASILEIRO"/>
        <s v="152X - AMPLIACAO E REESTRUTURACAO DE INSTITUICOES MILITARES DE ENSINO SUPERIOR"/>
        <s v="13CM - IMPLANTACAO DO CENTRO TECNOLOGICO NUCLEAR E AMBIENTAL - CENTENA"/>
        <s v="7XM8 - IMPLANTACAO DE AERODROMO EM SANTA ROSA DO PURUS/AC"/>
        <s v="7U07 - CONSTRUCAO DE TRECHO RODOVIARIO - COLONIA LEOPOLDINA - IBATEGUARA - NA BR-416/AL"/>
        <s v="0454 - FINANCIAMENTO DA INFRAESTRUTURA TURISTICA NACIONAL"/>
        <s v="8753 - MONITORAMENTO, AVALIACAO E GESTAO DA INFORMACAO ESTRATEGICA EM SAUDE"/>
        <s v="21E7 - MANUTENCAO DA CAPACIDADE OPERATIVA DOS MEIOS AEREOS DAS FORCAS ARMADAS"/>
        <s v="15W3 - ESTRUTURACAO DO CENTRO DE ONCOLOGIA E HEMATOLOGIA DO GRUPO HOSPITALAR CONCEICAO"/>
        <s v="4234 - APRECIACAO E JULGAMENTO DE CAUSAS NO DISTRITO FEDERAL"/>
        <s v="12KU - APOIO A IMPLANTACAO DE ESCOLAS PARA EDUCACAO INFANTIL"/>
        <s v="105S - ADEQUACAO DE TRECHO RODOVIARIO - DIVISA SE/BA - ENTRONCAMENTO BR-324 - NA BR-101/BA"/>
        <s v="00TS - POLITICA PRODUTIVA E INOVACAO TECNOLOGICA"/>
        <s v="8730 - AMPLIACAO DA RESOLUTIVIDADE DA SAUDE BUCAL NA ATENCAO BASICA E ESPECIALIZADA"/>
        <s v="123M - MELHORAMENTOS NO CANAL DE NAVEGACAO DA HIDROVIA DO RIO TOCANTINS"/>
        <s v="116E - CONSTRUCAO DA FERROVIA NORTE-SUL - ANAPOLIS/GO - URUACU/GO - EF-151"/>
        <s v="0E53 - AQUISICAO DE VEICULOS PARA O TRANSPORTE ESCOLAR DA EDUCACAO BASICA - CAMINHO DA ESCOLA"/>
        <s v="6146 - PESQUISA EM SAUDE E AVALIACAO DE NOVAS TECNOLOGIAS PARA O SUS"/>
        <s v="4640 - CAPACITACAO DE RECURSOS HUMANOS PARA A COMPETITIVIDADE"/>
        <s v="4897 - PLANEJAMENTO DO SETOR ENERGETICO"/>
        <s v="15W1 - CONSTRUCAO DO HOSPITAL DO SANGUE DO AMAZONAS"/>
        <s v="1N56 - DESENVOLVIMENTO DE MISSIL NACIONAL ANTINAVIO"/>
        <s v="11ZI - CONSTRUCAO DA FERROVIA NORTE-SUL - SANTA VITORIA/MG - ITURAMA/MG - EF-151"/>
        <s v="7XJ5 - ADEQUACAO DE TRECHO RODOVIARIO - FLORIANOPOLIS - SAO MIGUEL DO OESTE - NA BR-282/SC"/>
        <s v="21EC - GESTAO DE PROGRAMAS E PROJETOS DE COOPERACAO TECNICA E CONTRATOS DE GESTAO"/>
        <s v="4892 - PLANEJAMENTO DOS SETORES DE PETROLEO, DERIVADOS, GAS NATURAL E BIOCOMBUSTIVEIS"/>
        <s v="214V - APOIO A ALFABETIZACAO, A ELEVACAO DA ESCOLARIDADE E A INTEGRACAO A QUALIFICACAO PROFISSIONAL NA EDUCACAO DE JOVENS E ADULTOS"/>
        <s v="15XW - IMPLANTACAO DA BARRAGEM TINGUIS"/>
        <s v="15YU - REVISAO E AUTOMACAO DOS PROCESSOS DE OUTORGA E FISCALIZACAO DE PESQUISA E LAVRA MINERAL DA ANM"/>
        <s v="3138 - IMPLANTACAO DO SISTEMA DE AVIACAO DO EXERCITO"/>
        <s v="4043 - FOMENTO A PROJETOS INSTITUCIONAIS PARA PESQUISA NO SETOR DE AGRONEGOCIO (CT-AGRONEGOCIO)"/>
        <s v="8695 - DESSALINIZACAO DE AGUAS CONTINENTAIS E MARINHAS - PROGRAMA AGUA DOCE E PROGRAMA DOCE MAR"/>
        <s v="13DB - AQUISICAO DE SISTEMAS DE ARTILHARIA ANTIAEREA"/>
        <s v="0005 - SENTENCAS JUDICIAIS TRANSITADAS EM JULGADO (PRECATORIOS)"/>
        <s v="1214 - ADEQUACAO DE TRECHO RODOVIARIO - RIO GRANDE - PELOTAS - NA BR-392/RS"/>
        <s v="8458 - APOIO A AGRICULTURA URBANA"/>
        <s v="4482 - JULGAMENTO DE RECURSOS ADMINISTRATIVOS A MULTAS DE TRANSITO"/>
        <s v="151S - IMPLANTACAO DA INFRAESTRUTURA PARA O PROGRAMA ESTRATEGICO DE SISTEMAS ESPACIAIS (PESE)"/>
        <s v="210E - PROMOCAO DO DESENVOLVIMENTO INDUSTRIAL"/>
        <s v="0297 - SUBVENCAO ECONOMICA PARA RECUPERACAO DA LAVOURA CACAUEIRA BAIANA (LEIS N. 9.126, DE 1995)"/>
        <s v="00CC - CONCESSAO DE BOLSAS DE ESTUDO A CANDIDATOS AFRODESCENDENTES A CARREIRA DIPLOMATICA"/>
        <s v="0118 - FINANCIAMENTOS A INFRAESTRUTURA AQUAVIARIA, PORTUARIA E CONSTRUCAO/MANUTENCAO NAVAL"/>
        <s v="8563 - FOMENTO A PROJETOS INSTITUCIONAIS PARA PESQUISA NO SETOR DE TRANSPORTE AQUAVIARIO E DE CONSTRUCAO NAVAL (CT-AQUAVIARIO)"/>
        <s v="7S73 - ADEQUACAO DE TRECHO RODOVIARIO - ACESSO A ONDA VERDE - ENTRONCAMENTO SP-355 - NA BR-153/SP"/>
        <s v="7XJ4 - CONSTRUCAO DE TRECHO RODOVIARIO - MARAU - ENTRONCAMENTO BR-101 - NA BR-030/BA"/>
        <s v="5E83 - CONSTRUCAO DA FERROVIA NORTE-SUL - AGUIARNOPOLIS/TO - PALMAS/TO - EF-151"/>
        <s v="20GG - PROMOCAO DA INCLUSAO PRODUTIVA DE PESSOAS EM SITUACAO DE POBREZA"/>
        <s v="0467 - COBERTURA DE SALDO RESIDUAL DE CONTRATOS DE FINANCIAMENTOS FIRMADOS NO SISTEMA FINANCEIRO DE HABITACAO (SFH)"/>
        <s v="21CR - ASSISTENCIA TECNICA PARA GESTAO DOS PROJETOS DE MODERNIZACAO DA GESTAO ADMINISTRATIVA E FISCAL DOS MUNICIPIOS"/>
        <s v="218B - POLITICAS DE IGUALDADE E ENFRENTAMENTO A VIOLENCIA CONTRA AS MULHERES"/>
        <s v="21B9 - PROMOCAO E FORTALECIMENTO DA COMERCIALIZACAO E ACESSO AOS MERCADOS"/>
        <s v="20UT - PROMOCAO DA PESQUISA, DO DESENVOLVIMENTO E DA INOVACAO EM TECNOLOGIAS DIGITAIS"/>
        <s v="21DV - AUXILIO GAS DOS BRASILEIROS"/>
        <s v="8315 - PESQUISA E DESENVOLVIMENTO TECNOLOGICO EM SAUDE"/>
        <s v="210D - FOMENTO A INOVACAO, EMPREENDEDORES, ARTESAOS E EMPRESAS"/>
        <s v="00UM - APOIO A IMPLANTACAO, AMPLIACAO, MANUTENCAO, MELHORIA OU ADEQUACAO DE SISTEMAS DE ESGOTAMENTO SANITARIO NA AREA DE ATUACAO DA CODEVASF"/>
        <s v="219N - GOVERNANCA FUNDIARIA E GERENCIAMENTO DO CADASTRO RURAL"/>
        <s v="140X - REGULARIZACAO AMBIENTAL E FUNDIARIA DE PROJETOS PUBLICOS DE IRRIGACAO"/>
        <s v="20JT - GESTAO DO SISTEMA NACIONAL DE EMPREGO - SINE"/>
        <s v="20AM - IMPLEMENTACAO DE PROJETOS DE COLETA, TRIAGEM E RECICLAGEM DE RESIDUOS SOLIDOS"/>
        <s v="8636 - FORTALECIMENTO DA INOVACAO TECNOLOGICA DE INSUMOS ESTRATEGICOS PARA O SUS"/>
        <s v="8948 - IMPLANTACAO DE EQUIPAMENTOS E DE TECNOLOGIA SOCIAL DE ACESSO A AGUA PARA CONSUMO HUMANO E PRODUCAO DE ALIMENTOS"/>
        <s v="21AQ - PROTECAO DO DIREITO A VIDA"/>
        <s v="8172 - COORDENACAO E FORTALECIMENTO DO SISTEMA NACIONAL DE PROTECAO E DEFESA CIVIL - SINPDEC"/>
        <s v="15XV - CONSTRUCAO DE SISTEMA INTEGRADO DE ABASTECIMENTO DE AGUA"/>
        <s v="7X34 - CONSTRUCAO DE ANEL RODOVIARIO EM TRES LAGOAS - NAS BRS 262/158/MS"/>
        <s v="21BA - COORDENACAO DAS ACOES DE GESTAO E MONITORAMENTO DO SETOR ELETRICO"/>
        <s v="2189 - FOMENTO A PROJETOS INSTITUCIONAIS PARA PESQUISA NO SETOR DE ENERGIA ELETRICA (CT-ENERG)"/>
        <s v="20AB - INCENTIVO FINANCEIRO AOS ESTADOS, DISTRITO FEDERAL E MUNICIPIOS PARA EXECUCAO DE ACOES DE VIGILANCIA SANITARIA"/>
        <s v="20N1 - FOMENTO A PROJETOS DE DESENVOLVIMENTO SUSTENTAVEL E CONSERVACAO DO MEIO AMBIENTE"/>
        <s v="1ACM - PROJETO C.I. AVA-CANOEIRO - ROYALTIES - GO"/>
        <s v="15LR - IMPLANTACAO DA GEOINFORMACAO DE DEFESA - GEODEF"/>
        <s v="21DR - APOIO AOS ENTES FEDERADOS POR MEIO DO INDICE DE GESTAO DESCENTRALIZADA DO PROGRAMA AUXILIO BRASIL - IGD - PAB"/>
        <s v="4053 - FOMENTO A PROJETOS INSTITUCIONAIS PARA PESQUISA NO SETOR AERONAUTICO (CT-AERONAUTICO)"/>
        <s v="00SU - APOIO A IMPLANTACAO DE ESCOLAS PARA EDUCACAO INFANTIL"/>
        <s v="10S3 - APOIO A URBANIZACAO DE ASSENTAMENTOS PRECARIOS"/>
        <s v="10ST - TRANSPORTE NAO MOTORIZADO"/>
        <s v="15P9 - CONSTRUCAO DE IMOVEL DA FORCA NACIONAL DE SEGURANCA PUBLICA"/>
        <s v="15EW - IMPLANTACAO DE SISTEMAS INTEGRADOS DE REGISTRO E SERVICOS PARA EMPRESA E ARTESANATO"/>
        <s v="00E8 - CONTRIBUICAO A ORGANIZACAO INTERNACIONAL PARA AS MIGRACOES - OIM (MJSP)"/>
        <s v="0969 - APOIO AO TRANSPORTE ESCOLAR NA EDUCACAO BASICA"/>
        <s v="7X96 - CONSTRUCAO DE PONTE SOBRE O RIO URUGUAI (FRONTEIRA BRASIL/ARGENTINA) - NA BR-392/RS"/>
        <s v="21E4 - IMPLEMENTACAO E MONITORAMENTO DE POLITICAS DE MUDANCAS CLIMATICAS, MITIGACAO E ADAPTACAO"/>
        <s v="0B66 - CONTRIBUICAO A SECRETARIA GERAL IBERO-AMERICANA - SEGIB (MRE)"/>
        <s v="219L - SERVICO PUBLICO DE PRODUCAO DE SELOS FISCAIS FEDERAIS"/>
        <s v="155N - APRIMORAMENTO DA INFRAESTRUTURA E MODERNIZACAO DO SISTEMA PENAL"/>
        <s v="7U22 - ADEQUACAO DE TRECHO RODOVIARIO - ENTRONCAMENTO BR-277 (ACESSO CASCAVEL) - MARMELANDIA - NA BR-163/PR"/>
        <s v="10GG - IMPLANTACAO E MELHORIA DE SISTEMAS PUBLICOS DE MANEJO DE RESIDUOS SOLIDOS EM MUNICIPIOS DE ATE 50.000 HABITANTES, EXCLUSIVE EM REGIOES METROPOLITANAS (RM) OU REGIOES INTEGRADAS DE DESENVOLVIMENTO ECONOMICO (RIDE)"/>
        <s v="0870 - CONTRIBUICAO A COMUNIDADE DOS PAISES DE LINGUA PORTUGUESA - CPLP (MRE)"/>
        <s v="20UB - FISCALIZACAO DOS SERVICOS DE TRANSPORTE RODOVIARIO"/>
        <s v="0420 - CONTRIBUICAO A ORGANIZACAO MUNDIAL DE METEOROLOGIA - OMM (MAPA)"/>
        <s v="0122 - CONTRIBUICAO A ORGANIZACAO INTERNACIONAL DE POLICIA CRIMINAL - INTERPOL (MJ)"/>
        <s v="0B64 - CONTRIBUICAO A ASSOCIACAO LATINO-AMERICANA DE INTEGRACAO - ALADI (MRE)"/>
        <s v="0344 - CONTRIBUICAO A ORGANIZACAO MUNDIAL DAS ADUANAS - OMA (ME)"/>
        <s v="0461 - CONCESSAO DE EMPRESTIMOS PARA LIQUIDACAO DE SOCIEDADES SEGURADORAS, RESSEGURADORAS, ENTIDADES DE PREVIDENCIA COMPLEMENTAR ABERTA E CAPITALIZACAO"/>
        <s v="00SY - APOIO A PROJETOS E OBRAS DE REABILITACAO, DE ACESSIBILIDADE E MODERNIZACAO TECNOLOGICA EM AREAS URBANAS"/>
        <s v="2522 - PRODUCAO DE FARMACOS, MEDICAMENTOS E FITOTERAPICOS"/>
        <s v="15YV - REFORMA E MODERNIZACAO DA UNIDADE DO MINISTERIO DA SAUDE (S.I.A.)"/>
        <s v="21CK - PROMOCAO E DESENVOLVIMENTO DO PARADESPORTO NACIONAL"/>
        <s v="15WF - REFORMA DA SEDE DA SUPERINTENDENCIA DO RIO GRANDE DO SUL"/>
        <s v="00T9 - APOIO A IMPLANTACAO DO CINTURAO DAS AGUAS DO CEARA"/>
        <s v="00U0 - PAGAMENTO DE DESPESAS REFERENTES A CONDENACOES JUDICIAIS (EXTINTA RFFSA)"/>
        <s v="7XT4 - AMPLIACAO E ADEQUACAO DO HOSPITAL GERAL DE SALVADOR (HGES)"/>
        <s v="0B73 - CONTRIBUICAO A ORGANIZACAO DAS NACOES UNIDAS PARA O DESENVOLVIMENTO INDUSTRIAL - UNIDO (MRE)"/>
        <s v="20ZQ - ESTUDOS, PESQUISAS E PRODUCAO DE INDICADORES NA AREA DAS COMUNICACOES"/>
        <s v="21C5 - ELABORACAO DE ESTUDOS E AVALIACAO DE PROJETOS DE INVESTIMENTOS DO GOVERNO FEDERAL"/>
        <s v="15UW - REFORMA E REAPARELHAMENTO DO AEROPORTO DE MARINGA/PR"/>
        <s v="15OH - CONSTRUCAO DA PENITENCIARIA FEDERAL EM CHARQUEADAS - RS"/>
        <s v="21BU - REGULARIZACAO FUNDIARIA E ASSISTENCIA TECNICA E EXTENSAO RURAL NA AMAZONIA LEGAL E SUA REGIAO FRONTEIRICA"/>
        <s v="20ID - APOIO A MODERNIZACAO DAS INSTITUICOES DE SEGURANCA PUBLICA"/>
        <s v="0E83 - FINANCIAMENTO DE PROJETOS DO SETOR PRODUTIVO NO AMBITO DO FUNDO DE DESENVOLVIMENTO DO CENTRO-OESTE - FDCO (LEI COMPLEMENTAR N. 129, DE 8 DE JANEIRO DE 2009)"/>
        <s v="0EC2 - TRANSFERENCIAS ESPECIAIS"/>
        <s v="7XM6 - ADEQUACAO DE TRAVESSIA URBANA EM IJUI - NA BR-285/RS"/>
        <s v="009B - CONTRIBUICAO AO FUNDO PARA A CONVERGENCIA ESTRUTURAL DO MERCOSUL - FOCEM (MRE)"/>
        <s v="00TV - APOIO A IMPLANTACAO DE MELHORAMENTOS NO CANAL DE NAVEGACAO DA HIDROVIA DO RIO TIETE/SP"/>
        <s v="116X - CONSTRUCAO DA FERROVIA NORTE-SUL - PALMAS/TO - URUACU/GO - EF-151"/>
        <s v="2F01 - REFORCO DE RECURSOS PARA EMERGENCIA INTERNACIONAL EM SAUDE PUBLICA - CORONAVIRUS"/>
        <s v="0221 - CONTRIBUICAO A ORGANIZACAO MUNDIAL DE SAUDE - OMS (MS)"/>
        <s v="14LV - ADEQUACAO DE TRAVESSIA URBANA EM JUAZEIRO - NAS BRS 235/407/BA"/>
        <s v="0873 - CONTRIBUICAO A ORGANIZACAO INTERNACIONAL DO TRABALHO - OIT (MRE)"/>
        <s v="00TG - APOIO A CONSTRUCAO DA BARRAGEM OITICICA"/>
        <s v="20R4 - APOIO A IMPLEMENTACAO DA REDE CEGONHA"/>
        <s v="20YA - PREPARACAO DE ATLETAS E CAPACITACAO DE RECURSOS HUMANOS PARA O ESPORTE DE ALTO RENDIMENTO"/>
        <s v="0B74 - CONTRIBUICAO A ORGANIZACAO PARA A PROIBICAO DAS ARMAS QUIMICAS - OPAQ (MRE)"/>
        <s v="0734 - INDENIZACAO A VITIMAS DE VIOLACAO DAS OBRIGACOES CONTRAIDAS PELA UNIAO POR MEIO DA ADESAO A TRATADOS INTERNACIONAIS DE PROTECAO DOS DIREITOS HUMANOS"/>
        <s v="212Z - APOIO AO FUNCIONAMENTO DE UNIDADES DE PRODUCAO, A PESQUISA, AO DESENVOLVIMENTO TECNOLOGICO E A INOVACAO PARA A PRODUCAO AQUICOLA SUSTENTAVEL"/>
        <s v="11ZD - CONSTRUCAO DA FERROVIA NORTE-SUL - OUROESTE/SP - ESTRELA D?OESTE/SP - EF-151"/>
        <s v="0869 - CONTRIBUICAO A AGENCIA INTERNACIONAL DE ENERGIA ATOMICA - AIEA (MRE)"/>
        <s v="20VQ - GESTAO SOCIOAMBIENTAL EM TERRITORIOS DE POVOS E COMUNIDADES TRADICIONAIS E AGRICULTORES FAMILIARES"/>
        <s v="21EA - MANUTENCAO DA CAPACIDADE OPERATIVA DAS FRAGATAS ?CLASSE TAMANDARE? DESENVOLVIDAS NO AMBITO DO PROGRAMA FRAGATA CLASSE TAMANDARE (PFCT)"/>
        <s v="20TT - PROMOCAO DO DESENVOLVIMENTO DO SETOR DE COMERCIO E SERVICOS"/>
        <s v="10KK - CONSTRUCAO DE TRECHO RODOVIARIO - ENTRONCAMENTO BR-163/MT (SORRISO) - ENTRONCAMENTO BR-158/MT (RIBEIRAO CASCALHEIRA) - NA BR-242/MT"/>
        <s v="21AJ - AGROPECUARIA CONSERVACIONISTA"/>
        <s v="00GT - CONTRIBUICAO AO PARLAMENTO DO MERCOSUL - PARLASUL (MRE)"/>
        <s v="00OW - APOIO A MANUTENCAO DA EDUCACAO INFANTIL"/>
        <s v="2E74 - ESTRUTURACAO E MODERNIZACAO DE UNIDADES DE SAUDE DAS FORCAS ARMADAS"/>
        <s v="14TQ - IMPLANTACAO DE INFRAESTRUTURA PARA OS JOGOS OLIMPICOS E PARAOLIMPICOS RIO 2016"/>
        <s v="12MG - IMPLANTACAO DE ESPACOS INTEGRADOS DE ESPORTE, CULTURA, LAZER E SERVICOS PUBLICOS - PRACAS DOS ESPORTES E DA CULTURA"/>
        <s v="00BC - CONTRIBUICAO A AGENCIA BRASILEIRO-ARGENTINA DE CONTABILIDADE E CONTROLE DE MATERIAIS NUCLEARES - ABACC (MRE)"/>
        <s v="00SM - APOIO A IMPLANTACAO DE INFRAESTRUTURA ESPORTIVA DE ALTO RENDIMENTO"/>
        <s v="0B75 - CONTRIBUICAO AO TRIBUNAL PENAL INTERNACIONAL - TPI (MRE)"/>
        <s v="006C - FINANCIAMENTO AO SETOR AUDIOVISUAL - FUNDO SETORIAL DO AUDIOVISUAL (LEI N. 11.437, DE 2006)"/>
        <s v="6105 - RELACOES E NEGOCIACOES NO AMBITO DA ORGANIZACAO MUNDIAL DO COMERCIO - OMC"/>
        <s v="10TN - IMPLANTACAO DA ADVOCACIA PUBLICA ELETRONICA E-AGU"/>
        <s v="0070 - CONTRIBUICAO AO INSTITUTO INTERAMERICANO DE COOPERACAO PARA A AGRICULTURA - IICA (MAPA)"/>
        <s v="7XA3 - ADEQUACAO DE TRECHO RODOVIARIO - VILHENA - PORTO VELHO - NA BR-364/RO"/>
        <s v="21D4 - MODERNIZACAO E ADEQUACAO DO SISTEMA DE PROTECAO DA SOCIEDADE"/>
        <s v="20SW - FORMACAO E CAPACITACAO PARA A AVIACAO CIVIL"/>
        <s v="11ZE - CONSTRUCAO DA FERROVIA DE INTEGRACAO OESTE-LESTE - ILHEUS/BA - CAETITE/BA - EF-334"/>
        <s v="217M - DESENVOLVIMENTO INTEGRAL NA PRIMEIRA INFANCIA - CRIANCA FELIZ"/>
        <s v="10SJ - APOIO A PRODUCAO DE INTERESSE SOCIAL"/>
        <s v="8855 - FORTALECIMENTO E MODERNIZACAO DAS INSTITUICOES DE SEGURANCA PUBLICA"/>
        <s v="15EH - IMPLANTACAO DE SISTEMAS ESTRATEGICOS PARA GESTAO TRIBUTARIA E ADUANEIRA"/>
        <s v="00IO - INVENTARIANCA DO FUNDO NACIONAL DE DESENVOLVIMENTO - FND (EXTINTO PELA LEI N. 12.431, DE 2011)"/>
        <s v="0867 - CONTRIBUICAO A SECRETARIA DO MERCADO COMUM DO SUL - MERCOSUL (MRE)"/>
        <s v="8652 - APOIO A REDE PUBLICA NAO FEDERAL DE EDUCACAO PROFISSIONAL, CIENTIFICA E TECNOLOGICA"/>
        <s v="1ABF - PROJETO URUBU/KAAPOR TIMBIRA ± T.I. ALTO TURIACU"/>
        <s v="00T7 - APOIO A IMPLANTACAO DA ADUTORA DO AGRESTE"/>
        <s v="00T8 - APOIO A CONSTRUCAO DO CANAL ADUTOR VERTENTE LITORANEA"/>
        <s v="1ADB - INDENIZACAO BELO MONTE"/>
        <s v="00BG - CONTRIBUICAO A COMISSAO PREPARATORIA DA ORGANIZACAO DO TRATADO DE PROIBICAO COMPLETA DE TESTES NUCLEARES - CTBTO (MRE)"/>
        <s v="15ZK - IMPLANTACAO DO PROJETO SERIDO"/>
        <s v="006A - INVESTIMENTOS RETORNAVEIS NO SETOR AUDIOVISUAL MEDIANTE PARTICIPACAO EM EMPRESAS E PROJETOS - FUNDO SETORIAL DO AUDIOVISUAL"/>
        <s v="0218 - CONTRIBUICAO A ORGANIZACAO PAN-AMERICANA DE SAUDE - OPAS (MS)"/>
        <s v="0872 - CONTRIBUICAO A ORGANIZACAO MUNDIAL DO COMERCIO - OMC (MRE)"/>
        <s v="00PX - TRANSFERENCIA DE RECURSOS ARRECADADOS POR TAXA DE OCUPACAO, FORO E LAUDEMIO"/>
        <s v="200D - PARTICIPACAO BRASILEIRA EM TELESCOPIOS INTERNACIONAIS"/>
        <s v="1ADC - PROJETO ASSURINI"/>
        <s v="21EN - GESTAO DE UNIDADES DE CONSERVACAO RELACIONADA A PROTECAO DA VIDA, DA SAUDE E DA SEGURANCA EM TERRAS INDIGENAS"/>
        <s v="00OP - INTEGRALIZACAO DE COTAS DE CAPITAL EM ORGANISMOS FINANCEIROS INTERNACIONAIS"/>
        <s v="12G6 - RECUPERACAO DE RESERVATORIOS ESTRATEGICOS PARA A INTEGRACAO DO RIO SAO FRANCISCO"/>
        <s v="20YL - ESTRUTURACAO DE ACADEMIAS DA SAUDE"/>
        <s v="10BC - IMPLANTACAO DE PROJETOS DE IRRIGACAO"/>
        <s v="00RO - CONTRIBUICAO A AUTORIDADE INTERNACIONAL DOS FUNDOS MARINHOS - ISBA (MRE)"/>
        <s v="4450 - APRESTAMENTO DO EXERCITO"/>
        <s v="123B - DESENVOLVIMENTO DE CARGUEIRO TATICO MILITAR DE 10 A 20 TONELADAS (PROJETO KC-X)"/>
        <s v="20B0 - ESTRUTURACAO DA ATENCAO ESPECIALIZADA EM SAUDE MENTAL"/>
        <s v="0017 - CONTRIBUICAO A ORGANIZACAO INTERNACIONAL DO CAFE - OIC (MAPA)"/>
        <s v="20NK - ESTRUTURACAO E DINAMIZACAO DE ARRANJOS PRODUTIVOS LOCAIS EM ESPACOS SUB-REGIONAIS"/>
        <s v="10GM - ESTUDOS E PROJETOS DE INFRAESTRUTURA PARA SEGURANCA HIDRICA"/>
        <s v="13CL - CONSTRUCAO DE FONTE DE LUZ SINCROTRON DE 4. GERACAO - SIRIUS, POR ORGANIZACAO SOCIAL (LEI N. 9.637, DE 15 DE MAIO DE 1998)"/>
        <s v="00B7 - CONTRIBUICAO A ORGANIZACAO DOS ESTADOS AMERICANOS - OEA (MRE)"/>
        <s v="7XM5 - CONSTRUCAO DE PONTE SOBRE O RIO PARNAIBA NA DIVISA PI/MA - NA BR-330/PI"/>
        <s v="15VY - CONSTRUCAO DA SEDE DA FIOCRUZ RONDONIA"/>
        <s v="00U7 - APOIO AOS ENTES FEDERADOS POR MEIO DO INDICE DE GESTAO DESCENTRALIZADA DO PROGRAMA AUXILIO BRASIL - IGD - PAB"/>
        <s v="2E89 - INCREMENTO TEMPORARIO AO CUSTEIO DOS SERVICOS DE ATENCAO PRIMARIA A SAUDE PARA CUMPRIMENTO DE METAS"/>
        <s v="15MZ - ADEQUACAO DE SISTEMAS DE ESGOTAMENTO SANITARIO NA AREA DE ATUACAO DA CODEVASF"/>
        <s v="15XB - CONSTRUCAO DO INSTITUTO NACIONAL DE IDENTIFICACAO - INI/DIREX/PF"/>
        <s v="0089 - CONTRIBUICAO A UNIAO INTERNACIONAL DE TELECOMUNICACOES - UIT (ANATEL)"/>
        <s v="0123 - CONTRIBUICAO A ORGANIZACAO MARITIMA INTERNACIONAL - IMO (MD)"/>
        <s v="12KV - IMPLANTACAO E ADEQUACAO DE ESTRUTURAS ESPORTIVAS ESCOLARES"/>
        <s v="7R82 - ADEQUACAO DE TRECHO RODOVIARIO - DIVISA DF/GO - DIVISA GO/BA - NA BR-020/GO"/>
        <s v="20UD - PREVENCAO A VIOLENCIA E A CRIMINALIDADE"/>
        <s v="20ZJ - FISCALIZACAO E REGULAMENTACAO DO SETOR AUDIOVISUAL"/>
        <s v="20QI - IMPLANTACAO E MANUTENCAO DA FORCA NACIONAL DO SISTEMA UNICO DE SAUDE (FN-SUS)"/>
        <s v="20W2 - ENFRENTAMENTO DOS PROCESSOS DE DESERTIFICACAO, MITIGACAO E ADAPTACAO AOS EFEITOS DA SECA"/>
        <s v="20VS - FORMULACAO E APOIO A IMPLEMENTACAO DA POLITICA NACIONAL DE RECURSOS HIDRICOS"/>
        <s v="20YY - ESTUDOS, PESQUISAS E GERACAO DE INFORMACOES SOBRE TRABALHO, EMPREGO E RENDA"/>
        <s v="0074 - CONTRIBUICAO A ORGANIZACAO DAS NACOES UNIDAS PARA A ALIMENTACAO E AGRICULTURA - FAO (MRE)"/>
        <s v="21EK - FISCALIZACAO AMBIENTAL RELACIONADA A PROTECAO DA VIDA, DA SAUDE E DA SEGURANCA EM TERRAS INDIGENAS"/>
        <s v="0515 - DINHEIRO DIRETO NA ESCOLA PARA A EDUCACAO BASICA"/>
        <s v="210N - PROMOCAO E DEFESA DOS DIREITOS DA PESSOA COM DEFICIENCIA"/>
        <s v="8866 - APOIO A REGULARIZACAO FUNDIARIA EM AREAS URBANAS"/>
        <s v="00R4 - CONTRIBUICAO A AGENCIA INTERNACIONAL ANTIDOPING - WADA"/>
        <s v="2E90 - INCREMENTO TEMPORARIO AO CUSTEIO DOS SERVICOS DE ASSISTENCIA HOSPITALAR E AMBULATORIAL PARA CUMPRIMENTO DE METAS"/>
        <s v="147S - AMPLIACAO DA REDE NACIONAL DE MONITORAMENTO METEOROLOGICO"/>
        <s v="8902 - PROMOCAO DE INVESTIMENTOS EM INFRAESTRUTURA ECONOMICA"/>
        <s v="00SR - CONTRIBUICAO VOLUNTARIA AO INSTITUTO INTERAMERICANO DE DIREITOS HUMANOS DA UNIORE - IIDH"/>
        <s v="1P95 - APOIO A ELABORACAO DE PLANOS E PROJETOS DE SANEAMENTO EM MUNICIPIOS COM POPULACAO SUPERIOR A 50 MIL HABITANTES OU INTEGRANTES DE REGIOES METROPOLITANAS OU DE REGIOES INTEGRADAS DE DESENVOLVIMENTO"/>
        <s v="210X - APOIO AO DESENVOLVIMENTO SUSTENTAVEL DE TERRITORIOS RURAIS"/>
        <s v="7P87 - ADEQUACAO DE TRAVESSIA URBANA EM JI-PARANA - NA BR-364/RO"/>
        <s v="1ABE - PROJETO COMPANHIA VALE DO RIO DOCE ± CVRD"/>
        <s v="20Z1 - QUALIFICACAO SOCIAL E PROFISSIONAL DE TRABALHADORES"/>
        <s v="0284 - AMORTIZACAO E ENCARGOS DE FINANCIAMENTO DA DIVIDA CONTRATUAL EXTERNA"/>
        <s v="21EM - EMPREGO DAS FORCAS ARMADAS EM APOIO A ACOES EMERGENCIAIS EM TERRAS INDIGENAS"/>
        <s v="211K - APOIO A IMPLANTACAO DE INFRAESTRUTURA ECONOMICA SOCIAL E PRODUTIVA"/>
        <s v="0021 - FINANCIAMENTO PARA MODERNIZACAO DA GESTAO ADMINISTRATIVA E FISCAL DOS MUNICIPIOS"/>
        <s v="14XT - EXPANSAO DAS INSTALACOES FISICA E LABORATORIAL DO LNNANO, POR ORGANIZACAO SOCIAL (LEI N. 9.637, DE 15 DE MAIO DE 1998)"/>
        <s v="00QX - PAGAMENTO DA TAXA DE ADMINISTRACAO DO ESCRITORIO LOCAL DO PROGRAMA DAS NACOES UNIDAS PARA O DESENVOLVIMENTO (PNUD)"/>
        <s v="2B30 - ESTRUTURACAO DA REDE DE SERVICOS DE PROTECAO SOCIAL BASICA"/>
        <s v="1ACK - PROJETO GUAJAJARA/CARU - T.I CARU"/>
        <s v="0359 - CONTRIBUICAO AO FUNDO GARANTIA-SAFRA (LEI N. 10.420, DE 2002)"/>
        <s v="00RN - CONTRIBUICAO A ORGANIZACAO MUNDIAL DE TURISMO - OMT (MTUR)"/>
        <s v="15WH - CONSTRUCAO DA SUPERINTENDENCIA REGIONAL EM MINAS GERAIS"/>
        <s v="21AH - GOVERNANCA, ESTUDOS ESTRATEGICOS E REGULACAO DE ATIVIDADES ESPACIAIS"/>
        <s v="13DU - CONSTRUCAO DO COMPLEXO DE PESQUISA E DESENVOLVIMENTO EM SAUDE E PRODUCAO DE IMUNOBIOLOGICOS DA FIOCRUZ NO CEARA"/>
        <s v="00TK - APOIO A SISTEMAS DE DRENAGEM URBANA SUSTENTAVEL E DE MANEJO DE AGUAS PLUVIAIS EM MUNICIPIOS CRITICOS SUJEITOS A EVENTOS RECORRENTES DE INUNDACOES, ENXURRADAS E ALAGAMENTOS"/>
        <s v="217W - OPERACAO DE SISTEMAS ESPACIAIS DE OBSERVACAO DA TERRA"/>
        <s v="1N64 - IMPLANTACAO DA ADUTORA PAJEU NOS ESTADOS DE PERNAMBUCO E PARAIBA"/>
        <s v="7S97 - CONSTRUCAO DE CONTORNO RODOVIARIO - NO MUNICIPIO DE BRASILEIA - NA BR-317/AC"/>
        <s v="1276 - CONSTRUCAO DE CONTORNO FERROVIARIO EM SAO FRANCISCO DO SUL - NA EF-485/SC"/>
        <s v="0069 - CONTRIBUICAO AO CENTRO PAN-AMERICANO DE FEBRE AFTOSA - PANAFTOSA (MAPA)"/>
        <s v="216F - GESTAO DA POLITICA DE SANEAMENTO BASICO"/>
        <s v="21DF - RECUPERACAO DE RESERVATORIOS ESTRATEGICOS PARA A INTEGRACAO DO RIO SAO FRANCISCO"/>
        <s v="0113 - CONTRIBUICAO AO FUNDO DE COOPERACAO TECNICA DA AGENCIA INTERNACIONAL DE ENERGIA ATOMICA - AIEA FCT (MRE)"/>
        <s v="20SL - APOIO A IMPLANTACAO DE INFRAESTRUTURA PARA OS JOGOS OLIMPICOS E PARAOLIMPICOS RIO 2016"/>
        <s v="15W5 - REESTRUTURACAO DO SISTEMA DE ENGENHARIA DO EXERCITO"/>
        <s v="0080 - SUBVENCAO ECONOMICA AO PRECO DO OLEO DIESEL DE EMBARCACOES PESQUEIRAS (LEI N. 9.445, DE 1997)"/>
        <s v="12KY - CONSTRUCAO DE CONTORNO RODOVIARIO EM CUIABA - NAS BRS 070/163/364/MT"/>
        <s v="7S62 - CONSTRUCAO DE TRECHO RODOVIARIO - VISEU - BRAGANCA - NA BR-308/PA"/>
        <s v="8348 - APOIO A OBRAS EMERGENCIAIS DE MITIGACAO PARA REDUCAO DE DESASTRES"/>
        <s v="20VP - APOIO A CONSERVACAO AMBIENTAL E A ERRADICACAO DA EXTREMA POBREZA - BOLSA VERDE"/>
        <s v="10M8 - DESENVOLVIMENTO DO SISTEMA DE GESTAO DE PESSOAS - SIGEPE.GOV"/>
        <s v="2532 - COOPERACAO COM PAISES DE LINGUA PORTUGUESA E PAISES MEMBROS DE ORGANISMOS REGIONAIS AFRICANOS"/>
        <s v="0073 - CONTRIBUICAO A ORGANIZACAO MUNDIAL DE SAUDE ANIMAL - OIE (MAPA)"/>
        <s v="00NJ - DOACAO A AGENCIA INTERNACIONAL DE COMPRA DE MEDICAMENTOS PARA PAISES EM DESENVOLVIMENTO - UNITAID"/>
        <s v="20JQ - REALIZACAO E APOIO A EVENTOS DE ESPORTE, LAZER E INCLUSAO SOCIAL"/>
        <s v="00BU - CONTRIBUICAO AO TRIBUNAL INTERNACIONAL DO DIREITO DO MAR - TIDM (MRE)"/>
        <s v="156O - OBTENCAO DE MEIOS DA MARINHA"/>
        <s v="00LS - CONTRIBUICAO A CONVENCAO-QUADRO SOBRE CONTROLE DO USO DO TABACO - CQCT FCTC (MS)"/>
        <s v="5E15 - CONSTRUCAO DE TRECHO RODOVIARIO - PEIXE - PARANA - TAGUATINGA - NA BR-242/TO"/>
        <s v="00RM - CONTRIBUICAO A CONVENCAO INTERNACIONAL DAS NACOES UNIDAS DE COMBATE A DESERTIFICACAO NOS PAISES AFETADOS POR SECA GRAVE E/OU DESERTIFICACAO - UNCCD (MMA)"/>
        <s v="008A - CONTRIBUICAO A ACADEMIA BRASILEIRA DE CIENCIAS - ABC"/>
        <s v="00TP - APOIO A ELABORACAO DE PLANOS E PROJETOS DE SANEAMENTO EM MUNICIPIOS COM POPULACAO SUPERIOR A 50 MIL HABITANTES OU INTEGRANTES DE REGIOES METROPOLITANAS OU DE REGIOES INTEGRADAS DE DESENVOLVIMENTO"/>
        <s v="00TI - APOIO A PRODUCAO HABITACIONAL DE INTERESSE SOCIAL"/>
        <s v="00NQ - CONTRIBUICAO A ASSOCIACAO PARA PROMOCAO DA EXCELENCIA DO SOFTWARE BRASILEIRO - SOFTEX"/>
        <s v="0505 - FINANCIAMENTO A PROJETOS DE DESENVOLVIMENTO DE TECNOLOGIAS NAS TELECOMUNICACOES"/>
        <s v="00F8 - CONTRIBUICAO A SOCIEDADE BRASILEIRA PARA O PROGRESSO DA CIENCIA - SBPC"/>
        <s v="21ED - FORTALECIMENTO DO PROGRAMA NACIONAL DE GENOMICA E SAUDE DE PRECISAO - GENOMAS BRASIL"/>
        <s v="12L5 - CONSTRUCAO E AMPLIACAO DE UNIDADES BASICAS DE SAUDE - UBS"/>
        <s v="00UN - APOIO A IMPLANTACAO, AMPLIACAO, MELHORIAS OU ADEQUACAO DE SISTEMAS DE ABASTECIMENTO DE AGUA EM AREAS DE ATUACAO DA CODEVASF"/>
        <s v="00CY - TRANSFERENCIAS AO FUNDO DE DESENVOLVIMENTO SOCIAL - FDS (LEI N. 14.118, DE 2021)"/>
        <s v="20DB - APOIO A REALIZACAO DA COPA DO MUNDO FIFA 2014"/>
        <s v="14TP - IMPLANTACAO DE INFRAESTRUTURA ESPORTIVA DE ALTO RENDIMENTO"/>
        <s v="210A - PROMOCAO DE POLITICAS DE IGUALDADE E DE DIREITOS DAS MULHERES"/>
        <s v="7V25 - CONSTRUCAO DE CONTORNO RODOVIARIO - MARINGA - PAICANDU - SARANDI - MARIALVA - NA BR-376/PR"/>
        <s v="0190 - CONTRIBUICAO A CONVENCAO-QUADRO DAS NACOES UNIDAS SOBRE MUDANCA DO CLIMA - UNFCCC (MCTI)"/>
        <s v="8858 - VALORIZACAO DE PROFISSIONAIS E OPERADORES DE SEGURANCA PUBLICA"/>
        <s v="15YT - REFORMA E REAPARELHAMENTO DO AEROPORTO DE DOURADOS/MS"/>
        <s v="21E9 - MANUTENCAO DA CAPACIDADE OPERATIVA DOS SUBMARINOS S-BR ?CLASSE RIACHUELO? DESENVOLVIDOS NO AMBITO DO PROGRAMA DE DESENVOLVIMENTO DE SUBMARINOS (PROSUB)"/>
        <s v="15WI - CONSTRUCAO DA SUPERINTENDENCIA REGIONAL NO PIAUI-PI"/>
        <s v="00RK - CONTRIBUICAO A COMISSAO MISTA BRASILEIRO ARGENTINA PARA GESTAO E MANUTENCAO DA PONTE SAO BORJA E SAO TOME"/>
        <s v="7XJ9 - ADEQUACAO DE TRECHO RODOVIARIO - DIVISA PI/MA - DIVISA MA/TO - NA BR-226/MA"/>
        <s v="7XM0 - CONSTRUCAO DE CONTORNO RODOVIARIO EM FEIRA DE SANTANA - NA BR-324/BA"/>
        <s v="14RL - REALIZACAO DE ESTUDOS, PROJETOS E OBRAS PARA CONTENCAO OU AMORTECIMENTO DE CHEIAS E INUNDACOES E PARA CONTENCAO DE EROSOES MARINHAS E FLUVIAIS"/>
        <s v="2272 - GESTAO E ADMINISTRACAO DO PROGRAMA"/>
        <s v="20ZN - PROMOCAO DOS DIREITOS HUMANOS"/>
        <s v="1ACX - PROGRAMA DE COMPENSACAO COMPLEXO JURUENA"/>
        <s v="00UR - AUXILIO FINANCEIRO AOS ESTADOS, AO DISTRITO FEDERAL E AOS MUNICIPIOS RELACIONADO A ACOES EMERGENCIAIS DESTINADAS AO SETOR CULTURAL (LEI COMPLEMENTAR N. 195, DE 8 DE JULHO DE 2022)"/>
        <s v="00EE - INTEGRALIZACAO DE COTAS NO FUNDO GARANTIDOR DE OPERACOES (FGO) PARA O PROGRAMA NACIONAL DE APOIO AS MICROEMPRESAS E EMPRESAS DE PEQUENO PORTE (PRONAMPE)"/>
        <s v="20N8 - PROMOCAO DE INICIATIVAS PARA O APRIMORAMENTO DA PRODUCAO E A INSERCAO MERCADOLOGICA - PLANO BRASIL SEM MISERIA"/>
        <s v="4236 - APRECIACAO E JULGAMENTO DE CAUSAS"/>
        <s v="0128 - CONTRIBUICAO A ORGANIZACAO DAS NACOES UNIDAS - ONU (MRE)"/>
        <s v="00US - APOIO AOS ENTES FEDERADOS POR MEIO DO INDICE DE GESTAO DESCENTRALIZADA DO PROGRAMA BOLSA FAMILIA E DO CADASTRO UNICO PARA PROGRAMAS SOCIAIS DO GOVERNO FEDERAL - IGD"/>
        <s v="7U27 - ADEQUACAO DE ACESSO RODOVIARIO AO PORTO DE PECEM (CE-155) - NA BR-222/CE"/>
        <s v="15YS - IMPLANTACAO DO ALOJAMENTO DO ITA"/>
        <s v="215J - DEFESA DOS DIREITOS HUMANOS"/>
        <s v="20Z9 - APOIO A COMPETITIVIDADE E A MODERNIZACAO DA CONSTRUCAO CIVIL COM SUSTENTABILIDADE AMBIENTAL"/>
        <s v="00F7 - CONTRIBUICAO A ASSOCIACAO BRASILEIRA DAS INSTITUICOES DE PESQUISA TECNOLOGICA - ABIPTI"/>
        <s v="0146 - CONTRIBUICAO AO FUNDO DO PATRIMONIO MUNDIAL - FPM (MINC)"/>
        <s v="2250 - SELECAO E DESENVOLVIMENTO DE PESSOAS"/>
        <s v="0026 - COBERTURA DE DEFICIT NAS OPERACOES DE SEGURO RURAL"/>
        <s v="20YV - DEMOCRATIZACAO DAS RELACOES DE TRABALHO"/>
        <s v="20XN - APRESTAMENTO DA MARINHA"/>
        <s v="6662 - FORMULACAO E DESENVOLVIMENTO DE POLITICAS E ESTRATEGIAS DE LONGO PRAZO"/>
        <s v="7XW5 - CONSTRUCAO DE TREVO DE ACESSO A BAIXO GUANDU - NA BR-259/ES"/>
        <s v="8106 - APOIO A PROJETOS AUDIOVISUAIS ESPECIFICOS - FUNDO SETORIAL DO AUDIOVISUAL"/>
        <s v="00T5 - APOIO A REALIZACAO DE ESTUDOS, PROJETOS E OBRAS DOS ENTES FEDERADOS PARA CONTENCAO OU AMORTECIMENTO DE CHEIAS E INUNDACOES E PARA CONTENCAO DE EROSOES MARINHAS E FLUVIAIS"/>
        <s v="00QF - INTEGRALIZACAO DE COTAS EM FUNDO DE APOIO A ESTRUTURACAO E AO DESENVOLVIMENTO DE PROJETOS DE CONCESSOES E PARCERIAS PUBLICO-PRIVADAS DA UNIAO, DOS ESTADOS, DO DISTRITO FEDERAL E DOS MUNICIPIOS"/>
        <s v="210L - PROMOCAO DO DESENVOLVIMENTO ECONOMICO, CIENTIFICO, TECNOLOGICO E DE INOVACAO NA AREA DE ATUACAO DA SUFRAMA"/>
        <s v="8442 - TRANSFERENCIA DIRETA E CONDICIONADA DE RENDA AS FAMILIAS BENEFICIARIAS DO PROGRAMA BOLSA FAMILIA"/>
        <s v="2553 - IDENTIFICACAO DA POPULACAO POR MEIO DA CARTEIRA DE TRABALHO E PREVIDENCIA SOCIAL - CTPS"/>
        <s v="00SP - CONTRIBUICAO VOLUNTARIA AO INSTITUTO INTERNACIONAL PARA A DEMOCRACIA E A ASSISTENCIA ELEITORAL - IDEA"/>
        <s v="12L4 - IMPLANTACAO, CONSTRUCAO E AMPLIACAO DE UNIDADES DE PRONTO ATENDIMENTO - UPA"/>
        <s v="7W59 - IMPLANTACAO DO PROJETO SUL-FRONTEIRA"/>
        <s v="125H - CONSTRUCAO DO COMPLEXO INTEGRADO DO INSTITUTO NACIONAL DE CANCER - INCA"/>
        <s v="0095 - RESSARCIMENTO AS EMPRESAS BRASILEIRAS DE NAVEGACAO"/>
        <s v="00SO - APOIO A CONSTRUCAO, REFORMA, EQUIPAGEM E AMPLIACAO DE UNIDADES DE ATENDIMENTO SOCIOEDUCATIVO"/>
        <s v="7XK8 - IMPLANTACAO E MELHORIA DE SISTEMAS PUBLICOS DE MANEJO DE RESIDUOS SOLIDOS EM MUNICIPIOS COM ATE 50.000 HABITANTES"/>
        <s v="8874 - APOIO AO PLANEJAMENTO E A GESTAO URBANA MUNICIPAL E INTERFEDERATIVA"/>
        <s v="00UW - ASSISTENCIA FINANCEIRA COMPLEMENTAR AOS ESTADOS, AO DISTRITO FEDERAL E AOS MUNICIPIOS PARA O PAGAMENTO DO PISO SALARIAL DOS PROFISSIONAIS DA ENFERMAGEM"/>
        <s v="7XK6 - IMPLANTACAO, AMPLIACAO E MELHORIA DE SISTEMAS PUBLICOS DE ABASTECIMENTO DE AGUA EM MUNICIPIOS COM ATE 50.000 HABITANTES"/>
        <s v="20W6 - APOIO A IMPLEMENTACAO DE INSTRUMENTOS ESTRUTURANTES DA POLITICA NACIONAL DE RESIDUOS SOLIDOS"/>
        <s v="7XG6 - ADEQUACAO DE TRECHO RODOVIARIO - BATAGUASSU - PORTO MURTINHO - NA BR-267/MS"/>
        <s v="20QK - INSTALACAO E MODERNIZACAO DE EQUIPAMENTOS E ESPACOS CULTURAIS"/>
        <s v="1ABK - PROJETO COMUNIDADE INDIGENA AVA±CANOEIRO"/>
        <s v="00TH - APOIO A URBANIZACAO DE ASSENTAMENTOS PRECARIOS POR MEIO DO FUNDO NACIONAL DE HABITACAO DE INTERESSE SOCIAL"/>
        <s v="0C39 - CONTRIBUICAO A ORGANIZACAO INTERNACIONAL DE MADEIRAS TROPICAIS - OIMT (MMA)"/>
        <s v="0299 - SUBVENCAO ECONOMICA NAS AQUISICOES DO GOVERNO FEDERAL E NA FORMACAO DE ESTOQUES REGULADORES E ESTRATEGICOS - AGF (LEI N. 8.427, DE 1992)"/>
        <s v="20UV - FOMENTO A PESQUISA E DESENVOLVIMENTO EM CIENCIA E TECNOLOGIA DO MAR E ANTARTICA E A INFRAESTRUTURA OCEANICA E ANTARTICA"/>
        <s v="148D - DESENVOLVIMENTO E IMPLANTACAO DO NOVO SISTEMA DE CONTROLE DE ATIVIDADES FINANCEIRAS - SISCOAF II"/>
        <s v="2E94 - FOMENTO A PESQUISA VOLTADA PARA A GERACAO DE CONHECIMENTO, NOVAS TECNOLOGIAS, PRODUTOS E PROCESSOS INOVADORES NO SETOR AGROPECUARIO"/>
        <s v="2C43 - GESTAO DO FUNDO DE AMPARO AO TRABALHADOR - FAT"/>
        <s v="20G2 - FORMACAO E APERFEICOAMENTO DE MAGISTRADOS"/>
        <s v="00F4 - CONTRIBUICAO AO PROTOCOLO DE MONTREAL SOBRE SUBSTANCIAS QUE DESTROEM A CAMADA DE OZONIO - PROTOCOLO DE MONTREAL (MRE)"/>
      </sharedItems>
    </cacheField>
    <cacheField name="Valor Empenhado" numFmtId="0">
      <sharedItems containsSemiMixedTypes="0" containsString="0" containsNumber="1" minValue="-1436803433.72" maxValue="561094325085.04004"/>
    </cacheField>
    <cacheField name="Valor Liquidado" numFmtId="0">
      <sharedItems containsSemiMixedTypes="0" containsString="0" containsNumber="1" minValue="-8826466.8499999996" maxValue="420308958123.21002"/>
    </cacheField>
    <cacheField name="Valor Pago" numFmtId="0">
      <sharedItems containsSemiMixedTypes="0" containsString="0" containsNumber="1" minValue="-2391601.31" maxValue="420308958123.21002"/>
    </cacheField>
    <cacheField name="Meses" numFmtId="0" databaseField="0">
      <fieldGroup base="0">
        <rangePr groupBy="months" startDate="2023-01-01T00:00:00" endDate="2023-08-02T00:00:00"/>
        <groupItems count="14">
          <s v="&lt;01/01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8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06">
  <r>
    <x v="0"/>
    <s v="0905 - OPERACOES ESPECIAIS: SERVICO DA DIVIDA INTERNA (JUROS EAMORTIZACOES)"/>
    <x v="0"/>
    <n v="26060241594.439999"/>
    <n v="4940131281.6499996"/>
    <n v="4940131281.6499996"/>
  </r>
  <r>
    <x v="0"/>
    <s v="5025 - CULTURA"/>
    <x v="1"/>
    <n v="0"/>
    <n v="0"/>
    <n v="0"/>
  </r>
  <r>
    <x v="0"/>
    <s v="0903 - OPERACOES ESPECIAIS: TRANSFERENCIAS CONSTITUCIONAIS E AS DECORRENTES DE LEGISLACAO ESPECIFICA"/>
    <x v="2"/>
    <n v="66554016107"/>
    <n v="3319073882.3899999"/>
    <n v="3319073882.3899999"/>
  </r>
  <r>
    <x v="0"/>
    <s v="2214 - NOVA PREVIDENCIA"/>
    <x v="3"/>
    <n v="119210561.45"/>
    <n v="11931333.710000001"/>
    <n v="11504912.93"/>
  </r>
  <r>
    <x v="0"/>
    <s v="5020 - DESENVOLVIMENTO CIENTIFICO, TECNOLOGICO E PRODUTIVO EM SAUDE"/>
    <x v="4"/>
    <n v="60559.62"/>
    <n v="60559.62"/>
    <n v="60559.62"/>
  </r>
  <r>
    <x v="0"/>
    <s v="2208 - TECNOLOGIAS APLICADAS, INOVACAO E DESENVOLVIMENTO SUSTENTAVEL"/>
    <x v="5"/>
    <n v="16646857.74"/>
    <n v="16646857.74"/>
    <n v="16646857.74"/>
  </r>
  <r>
    <x v="0"/>
    <s v="3001 - ENERGIA ELETRICA"/>
    <x v="6"/>
    <n v="367956.15"/>
    <n v="5408.82"/>
    <n v="0"/>
  </r>
  <r>
    <x v="0"/>
    <s v="3006 - TRANSPORTE TERRESTRE E TRANSITO"/>
    <x v="7"/>
    <n v="0"/>
    <n v="0"/>
    <n v="0"/>
  </r>
  <r>
    <x v="0"/>
    <s v="6012 - DEFESA NACIONAL"/>
    <x v="8"/>
    <n v="0"/>
    <n v="0"/>
    <n v="0"/>
  </r>
  <r>
    <x v="0"/>
    <s v="1040 - GOVERNANCA FUNDIARIA"/>
    <x v="9"/>
    <n v="0"/>
    <n v="0"/>
    <n v="0"/>
  </r>
  <r>
    <x v="0"/>
    <s v="2206 - POLITICA NUCLEAR"/>
    <x v="10"/>
    <n v="8094685.2800000003"/>
    <n v="3343389.56"/>
    <n v="2832423.91"/>
  </r>
  <r>
    <x v="0"/>
    <s v="2204 - BRASIL NA FRONTEIRA DO CONHECIMENTO"/>
    <x v="11"/>
    <n v="0"/>
    <n v="0"/>
    <n v="0"/>
  </r>
  <r>
    <x v="0"/>
    <s v="2222 - SANEAMENTO BASICO"/>
    <x v="12"/>
    <n v="0"/>
    <n v="0"/>
    <n v="0"/>
  </r>
  <r>
    <x v="0"/>
    <s v="1166 - TURISMO SOCIAL NO BRASIL: UMA VIAGEM DE INCLUSAO"/>
    <x v="13"/>
    <n v="0"/>
    <n v="0"/>
    <n v="0"/>
  </r>
  <r>
    <x v="0"/>
    <s v="2201 - BRASIL MODERNIZA"/>
    <x v="14"/>
    <n v="0"/>
    <n v="0"/>
    <n v="0"/>
  </r>
  <r>
    <x v="0"/>
    <s v="1031 - AGROPECUARIA SUSTENTAVEL"/>
    <x v="15"/>
    <n v="3483179920"/>
    <n v="41.7"/>
    <n v="41.7"/>
  </r>
  <r>
    <x v="0"/>
    <s v="3001 - ENERGIA ELETRICA"/>
    <x v="16"/>
    <n v="562344.72"/>
    <n v="16733.009999999998"/>
    <n v="16733.009999999998"/>
  </r>
  <r>
    <x v="0"/>
    <s v="0032 - PROGRAMA DE GESTAO E MANUTENCAO DO PODER EXECUTIVO"/>
    <x v="17"/>
    <n v="592107.64"/>
    <n v="414884.39"/>
    <n v="123352"/>
  </r>
  <r>
    <x v="0"/>
    <s v="0909 - OPERACOES ESPECIAIS: OUTROS ENCARGOS ESPECIAIS"/>
    <x v="18"/>
    <n v="18583810.469999999"/>
    <n v="18583810.469999999"/>
    <n v="6549323.6399999997"/>
  </r>
  <r>
    <x v="0"/>
    <s v="1041 - CONSERVACAO E USO SUSTENTAVEL DA BIODIVERSIDADE E DOS RECURSOS NATURAIS"/>
    <x v="19"/>
    <n v="0"/>
    <n v="0"/>
    <n v="0"/>
  </r>
  <r>
    <x v="0"/>
    <s v="5021 - GESTAO E ORGANIZACAO DO SUS"/>
    <x v="20"/>
    <n v="1201666.6599999999"/>
    <n v="1201666.6599999999"/>
    <n v="1201666.6599999999"/>
  </r>
  <r>
    <x v="0"/>
    <s v="0910 - OPERACOES ESPECIAIS: GESTAO DA PARTICIPACAO EM ORGANISMOS E ENTIDADES NACIONAIS E INTERNACIONAIS"/>
    <x v="21"/>
    <n v="0"/>
    <n v="0"/>
    <n v="0"/>
  </r>
  <r>
    <x v="0"/>
    <s v="2221 - RECURSOS HIDRICOS"/>
    <x v="22"/>
    <n v="0"/>
    <n v="0"/>
    <n v="0"/>
  </r>
  <r>
    <x v="0"/>
    <s v="2204 - BRASIL NA FRONTEIRA DO CONHECIMENTO"/>
    <x v="23"/>
    <n v="0"/>
    <n v="0"/>
    <n v="0"/>
  </r>
  <r>
    <x v="0"/>
    <s v="0902 - OPERACOES ESPECIAIS: FINANCIAMENTOS COM RETORNO"/>
    <x v="24"/>
    <n v="4413485665"/>
    <n v="396273591.25"/>
    <n v="396273591.25"/>
  </r>
  <r>
    <x v="0"/>
    <s v="2058 - DEFESA NACIONAL"/>
    <x v="25"/>
    <n v="0"/>
    <n v="0"/>
    <n v="0"/>
  </r>
  <r>
    <x v="0"/>
    <s v="5021 - GESTAO E ORGANIZACAO DO SUS"/>
    <x v="26"/>
    <n v="25700"/>
    <n v="0"/>
    <n v="0"/>
  </r>
  <r>
    <x v="0"/>
    <s v="3006 - TRANSPORTE TERRESTRE E TRANSITO"/>
    <x v="27"/>
    <n v="0"/>
    <n v="0"/>
    <n v="0"/>
  </r>
  <r>
    <x v="0"/>
    <s v="0903 - OPERACOES ESPECIAIS: TRANSFERENCIAS CONSTITUCIONAIS E AS DECORRENTES DE LEGISLACAO ESPECIFICA"/>
    <x v="28"/>
    <n v="4880613987"/>
    <n v="173610822.15000001"/>
    <n v="173610822.15000001"/>
  </r>
  <r>
    <x v="0"/>
    <s v="2204 - BRASIL NA FRONTEIRA DO CONHECIMENTO"/>
    <x v="29"/>
    <n v="0"/>
    <n v="0"/>
    <n v="0"/>
  </r>
  <r>
    <x v="0"/>
    <s v="2052 - PESCA E AQUICULTURA"/>
    <x v="30"/>
    <n v="0"/>
    <n v="0"/>
    <n v="0"/>
  </r>
  <r>
    <x v="0"/>
    <s v="3004 - AVIACAO CIVIL"/>
    <x v="31"/>
    <n v="0"/>
    <n v="0"/>
    <n v="0"/>
  </r>
  <r>
    <x v="0"/>
    <s v="5014 - ESTATISTICAS E AVALIACOES EDUCACIONAIS"/>
    <x v="32"/>
    <n v="323639.84000000003"/>
    <n v="150627"/>
    <n v="150627"/>
  </r>
  <r>
    <x v="0"/>
    <s v="2208 - TECNOLOGIAS APLICADAS, INOVACAO E DESENVOLVIMENTO SUSTENTAVEL"/>
    <x v="33"/>
    <n v="10663925"/>
    <n v="10663925"/>
    <n v="5418796"/>
  </r>
  <r>
    <x v="0"/>
    <s v="2205 - CONECTA BRASIL"/>
    <x v="34"/>
    <n v="0"/>
    <n v="0"/>
    <n v="0"/>
  </r>
  <r>
    <x v="0"/>
    <s v="4001 - COMUNICACAO PUBLICA E DIVULGACAO DE ATOS E MATERIAS DO GOVERNO FEDERAL"/>
    <x v="35"/>
    <n v="6738785.2000000002"/>
    <n v="1293374.51"/>
    <n v="629044.72"/>
  </r>
  <r>
    <x v="0"/>
    <s v="0909 - OPERACOES ESPECIAIS: OUTROS ENCARGOS ESPECIAIS"/>
    <x v="36"/>
    <n v="0"/>
    <n v="0"/>
    <n v="0"/>
  </r>
  <r>
    <x v="0"/>
    <s v="0032 - PROGRAMA DE GESTAO E MANUTENCAO DO PODER EXECUTIVO"/>
    <x v="37"/>
    <n v="0"/>
    <n v="0"/>
    <n v="0"/>
  </r>
  <r>
    <x v="0"/>
    <s v="2058 - DEFESA NACIONAL"/>
    <x v="38"/>
    <n v="0"/>
    <n v="0"/>
    <n v="0"/>
  </r>
  <r>
    <x v="0"/>
    <s v="2207 - PROGRAMA ESPACIAL BRASILEIRO"/>
    <x v="39"/>
    <n v="0"/>
    <n v="0"/>
    <n v="0"/>
  </r>
  <r>
    <x v="0"/>
    <s v="2109 - PROGRAMA DE GESTAO E MANUTENCAO DO MINISTERIO DA EDUCACAO"/>
    <x v="40"/>
    <n v="0"/>
    <n v="0"/>
    <n v="0"/>
  </r>
  <r>
    <x v="0"/>
    <s v="2037 - CONSOLIDACAO DO SISTEMA UNICO DE ASSISTENCIA SOCIAL (SUAS)"/>
    <x v="41"/>
    <n v="0"/>
    <n v="0"/>
    <n v="0"/>
  </r>
  <r>
    <x v="0"/>
    <s v="2068 - SANEAMENTO BASICO"/>
    <x v="42"/>
    <n v="0"/>
    <n v="0"/>
    <n v="0"/>
  </r>
  <r>
    <x v="0"/>
    <s v="0903 - OPERACOES ESPECIAIS: TRANSFERENCIAS CONSTITUCIONAIS E AS DECORRENTES DE LEGISLACAO ESPECIFICA"/>
    <x v="43"/>
    <n v="148955141146"/>
    <n v="6693567645.3800001"/>
    <n v="6693567645.3800001"/>
  </r>
  <r>
    <x v="0"/>
    <s v="0902 - OPERACOES ESPECIAIS: FINANCIAMENTOS COM RETORNO"/>
    <x v="44"/>
    <n v="745602973.94000006"/>
    <n v="745602973.94000006"/>
    <n v="745602973.94000006"/>
  </r>
  <r>
    <x v="0"/>
    <s v="2207 - PROGRAMA ESPACIAL BRASILEIRO"/>
    <x v="45"/>
    <n v="0"/>
    <n v="0"/>
    <n v="0"/>
  </r>
  <r>
    <x v="0"/>
    <s v="5021 - GESTAO E ORGANIZACAO DO SUS"/>
    <x v="46"/>
    <n v="1414072.9"/>
    <n v="175768.38"/>
    <n v="29476.400000000001"/>
  </r>
  <r>
    <x v="0"/>
    <s v="2205 - CONECTA BRASIL"/>
    <x v="47"/>
    <n v="0"/>
    <n v="0"/>
    <n v="0"/>
  </r>
  <r>
    <x v="0"/>
    <s v="1031 - AGROPECUARIA SUSTENTAVEL"/>
    <x v="48"/>
    <n v="0"/>
    <n v="0"/>
    <n v="0"/>
  </r>
  <r>
    <x v="0"/>
    <s v="5021 - GESTAO E ORGANIZACAO DO SUS"/>
    <x v="49"/>
    <n v="621067.64"/>
    <n v="0"/>
    <n v="0"/>
  </r>
  <r>
    <x v="0"/>
    <s v="2212 - MELHORIA DO AMBIENTE DE NEGOCIOS E DA PRODUTIVIDADE"/>
    <x v="50"/>
    <n v="0"/>
    <n v="0"/>
    <n v="0"/>
  </r>
  <r>
    <x v="0"/>
    <s v="2216 - POLITICA EXTERNA"/>
    <x v="51"/>
    <n v="50000"/>
    <n v="23535.599999999999"/>
    <n v="0"/>
  </r>
  <r>
    <x v="0"/>
    <s v="2134 - PROGRAMA DE GESTAO E MANUTENCAO DO MINISTERIO DA MULHER, DA FAMILIA E DOS DIREITOS HUMANOS"/>
    <x v="52"/>
    <n v="0"/>
    <n v="0"/>
    <n v="0"/>
  </r>
  <r>
    <x v="0"/>
    <s v="2084 - RECURSOS HIDRICOS"/>
    <x v="53"/>
    <n v="0"/>
    <n v="0"/>
    <n v="0"/>
  </r>
  <r>
    <x v="0"/>
    <s v="2015 - FORTALECIMENTO DO SISTEMA UNICO DE SAUDE (SUS)"/>
    <x v="54"/>
    <n v="0"/>
    <n v="0"/>
    <n v="0"/>
  </r>
  <r>
    <x v="0"/>
    <s v="2049 - MORADIA DIGNA"/>
    <x v="36"/>
    <n v="0"/>
    <n v="0"/>
    <n v="0"/>
  </r>
  <r>
    <x v="0"/>
    <s v="6011 - COOPERACAO COM O DESENVOLVIMENTO NACIONAL"/>
    <x v="55"/>
    <n v="0"/>
    <n v="0"/>
    <n v="0"/>
  </r>
  <r>
    <x v="0"/>
    <s v="2211 - INSERCAO ECONOMICA INTERNACIONAL"/>
    <x v="56"/>
    <n v="2000000000"/>
    <n v="150000000"/>
    <n v="150000000"/>
  </r>
  <r>
    <x v="0"/>
    <s v="5026 - ESPORTE"/>
    <x v="57"/>
    <n v="0"/>
    <n v="0"/>
    <n v="0"/>
  </r>
  <r>
    <x v="0"/>
    <s v="5013 - EDUCACAO SUPERIOR - GRADUACAO, POS-GRADUACAO, ENSINO, PESQUISA E EXTENSAO"/>
    <x v="58"/>
    <n v="4000000"/>
    <n v="0"/>
    <n v="0"/>
  </r>
  <r>
    <x v="0"/>
    <s v="0909 - OPERACOES ESPECIAIS: OUTROS ENCARGOS ESPECIAIS"/>
    <x v="59"/>
    <n v="0"/>
    <n v="0"/>
    <n v="0"/>
  </r>
  <r>
    <x v="0"/>
    <s v="0909 - OPERACOES ESPECIAIS: OUTROS ENCARGOS ESPECIAIS"/>
    <x v="60"/>
    <n v="0"/>
    <n v="0"/>
    <n v="0"/>
  </r>
  <r>
    <x v="0"/>
    <s v="5020 - DESENVOLVIMENTO CIENTIFICO, TECNOLOGICO E PRODUTIVO EM SAUDE"/>
    <x v="61"/>
    <n v="0"/>
    <n v="0"/>
    <n v="0"/>
  </r>
  <r>
    <x v="0"/>
    <s v="2024 - COMERCIO EXTERIOR"/>
    <x v="62"/>
    <n v="0"/>
    <n v="0"/>
    <n v="0"/>
  </r>
  <r>
    <x v="0"/>
    <s v="5016 - SEGURANCA PUBLICA, COMBATE A CORRUPCAO, AO CRIME ORGANIZADO E AO CRIME VIOLENTO"/>
    <x v="63"/>
    <n v="0"/>
    <n v="0"/>
    <n v="0"/>
  </r>
  <r>
    <x v="0"/>
    <s v="0903 - OPERACOES ESPECIAIS: TRANSFERENCIAS CONSTITUCIONAIS E AS DECORRENTES DE LEGISLACAO ESPECIFICA"/>
    <x v="64"/>
    <n v="126519922358"/>
    <n v="6396075671"/>
    <n v="6396075671"/>
  </r>
  <r>
    <x v="0"/>
    <s v="6012 - DEFESA NACIONAL"/>
    <x v="65"/>
    <n v="108600"/>
    <n v="1248.29"/>
    <n v="1248.29"/>
  </r>
  <r>
    <x v="0"/>
    <s v="2217 - DESENVOLVIMENTO REGIONAL, TERRITORIAL E URBANO"/>
    <x v="66"/>
    <n v="0"/>
    <n v="0"/>
    <n v="0"/>
  </r>
  <r>
    <x v="0"/>
    <s v="4001 - COMUNICACAO PUBLICA E DIVULGACAO DE ATOS E MATERIAS DO GOVERNO FEDERAL"/>
    <x v="37"/>
    <n v="0"/>
    <n v="0"/>
    <n v="0"/>
  </r>
  <r>
    <x v="0"/>
    <s v="0031 - PROGRAMA DE GESTAO E MANUTENCAO DO MINISTERIO PUBLICO"/>
    <x v="67"/>
    <n v="0"/>
    <n v="0"/>
    <n v="0"/>
  </r>
  <r>
    <x v="0"/>
    <s v="3006 - TRANSPORTE TERRESTRE E TRANSITO"/>
    <x v="68"/>
    <n v="0"/>
    <n v="0"/>
    <n v="0"/>
  </r>
  <r>
    <x v="0"/>
    <s v="3006 - TRANSPORTE TERRESTRE E TRANSITO"/>
    <x v="69"/>
    <n v="17242706"/>
    <n v="0"/>
    <n v="0"/>
  </r>
  <r>
    <x v="0"/>
    <s v="0905 - OPERACOES ESPECIAIS: SERVICO DA DIVIDA INTERNA (JUROS EAMORTIZACOES)"/>
    <x v="70"/>
    <n v="12666559"/>
    <n v="1305741.8"/>
    <n v="1305741.8"/>
  </r>
  <r>
    <x v="0"/>
    <s v="0461 - PROMOCAO DA PESQUISA E DO DESENVOLVIMENTO CIENTIFICO E TECNOLOGICO"/>
    <x v="71"/>
    <n v="16473.04"/>
    <n v="0"/>
    <n v="0"/>
  </r>
  <r>
    <x v="0"/>
    <s v="1043 - QUALIDADE AMBIENTAL URBANA"/>
    <x v="72"/>
    <n v="0"/>
    <n v="0"/>
    <n v="0"/>
  </r>
  <r>
    <x v="0"/>
    <s v="0032 - PROGRAMA DE GESTAO E MANUTENCAO DO PODER EXECUTIVO"/>
    <x v="73"/>
    <n v="0"/>
    <n v="0"/>
    <n v="0"/>
  </r>
  <r>
    <x v="0"/>
    <s v="5025 - CULTURA"/>
    <x v="74"/>
    <n v="0"/>
    <n v="0"/>
    <n v="0"/>
  </r>
  <r>
    <x v="0"/>
    <s v="6012 - DEFESA NACIONAL"/>
    <x v="75"/>
    <n v="3644.39"/>
    <n v="1474.39"/>
    <n v="0"/>
  </r>
  <r>
    <x v="0"/>
    <s v="5018 - ATENCAO ESPECIALIZADA A SAUDE"/>
    <x v="76"/>
    <n v="0"/>
    <n v="0"/>
    <n v="0"/>
  </r>
  <r>
    <x v="0"/>
    <s v="1031 - AGROPECUARIA SUSTENTAVEL"/>
    <x v="77"/>
    <n v="0"/>
    <n v="0"/>
    <n v="0"/>
  </r>
  <r>
    <x v="0"/>
    <s v="0032 - PROGRAMA DE GESTAO E MANUTENCAO DO PODER EXECUTIVO"/>
    <x v="78"/>
    <n v="861843.62"/>
    <n v="430921.81"/>
    <n v="0"/>
  </r>
  <r>
    <x v="0"/>
    <s v="5016 - SEGURANCA PUBLICA, COMBATE A CORRUPCAO, AO CRIME ORGANIZADO E AO CRIME VIOLENTO"/>
    <x v="79"/>
    <n v="0"/>
    <n v="0"/>
    <n v="0"/>
  </r>
  <r>
    <x v="0"/>
    <s v="2205 - CONECTA BRASIL"/>
    <x v="80"/>
    <n v="73484557.370000005"/>
    <n v="2017400.21"/>
    <n v="2002020.83"/>
  </r>
  <r>
    <x v="0"/>
    <s v="1040 - GOVERNANCA FUNDIARIA"/>
    <x v="81"/>
    <n v="0"/>
    <n v="0"/>
    <n v="0"/>
  </r>
  <r>
    <x v="0"/>
    <s v="0903 - OPERACOES ESPECIAIS: TRANSFERENCIAS CONSTITUCIONAIS E AS DECORRENTES DE LEGISLACAO ESPECIFICA"/>
    <x v="82"/>
    <n v="4000000000"/>
    <n v="332230811.08999997"/>
    <n v="332230811.08999997"/>
  </r>
  <r>
    <x v="0"/>
    <s v="5018 - ATENCAO ESPECIALIZADA A SAUDE"/>
    <x v="83"/>
    <n v="23776576.940000001"/>
    <n v="5315276.46"/>
    <n v="1218791.1599999999"/>
  </r>
  <r>
    <x v="0"/>
    <s v="4001 - COMUNICACAO PUBLICA E DIVULGACAO DE ATOS E MATERIAS DO GOVERNO FEDERAL"/>
    <x v="84"/>
    <n v="212061.63"/>
    <n v="66510.850000000006"/>
    <n v="66418.47"/>
  </r>
  <r>
    <x v="0"/>
    <s v="2204 - BRASIL NA FRONTEIRA DO CONHECIMENTO"/>
    <x v="37"/>
    <n v="0"/>
    <n v="0"/>
    <n v="0"/>
  </r>
  <r>
    <x v="0"/>
    <s v="3004 - AVIACAO CIVIL"/>
    <x v="85"/>
    <n v="0"/>
    <n v="0"/>
    <n v="0"/>
  </r>
  <r>
    <x v="0"/>
    <s v="5019 - ATENCAO PRIMARIA A SAUDE"/>
    <x v="86"/>
    <n v="2055500"/>
    <n v="2055500"/>
    <n v="2055500"/>
  </r>
  <r>
    <x v="0"/>
    <s v="2208 - TECNOLOGIAS APLICADAS, INOVACAO E DESENVOLVIMENTO SUSTENTAVEL"/>
    <x v="87"/>
    <n v="0"/>
    <n v="0"/>
    <n v="0"/>
  </r>
  <r>
    <x v="0"/>
    <s v="2221 - RECURSOS HIDRICOS"/>
    <x v="88"/>
    <n v="0"/>
    <n v="0"/>
    <n v="0"/>
  </r>
  <r>
    <x v="0"/>
    <s v="5013 - EDUCACAO SUPERIOR - GRADUACAO, POS-GRADUACAO, ENSINO, PESQUISA E EXTENSAO"/>
    <x v="89"/>
    <n v="0"/>
    <n v="0"/>
    <n v="0"/>
  </r>
  <r>
    <x v="0"/>
    <s v="0032 - PROGRAMA DE GESTAO E MANUTENCAO DO PODER EXECUTIVO"/>
    <x v="90"/>
    <n v="0"/>
    <n v="0"/>
    <n v="0"/>
  </r>
  <r>
    <x v="0"/>
    <s v="0032 - PROGRAMA DE GESTAO E MANUTENCAO DO PODER EXECUTIVO"/>
    <x v="91"/>
    <n v="2439101.7799999998"/>
    <n v="2047188.09"/>
    <n v="2047188.09"/>
  </r>
  <r>
    <x v="0"/>
    <s v="5026 - ESPORTE"/>
    <x v="92"/>
    <n v="0"/>
    <n v="0"/>
    <n v="0"/>
  </r>
  <r>
    <x v="0"/>
    <s v="1031 - AGROPECUARIA SUSTENTAVEL"/>
    <x v="93"/>
    <n v="8000000"/>
    <n v="0"/>
    <n v="0"/>
  </r>
  <r>
    <x v="0"/>
    <s v="5021 - GESTAO E ORGANIZACAO DO SUS"/>
    <x v="94"/>
    <n v="0"/>
    <n v="0"/>
    <n v="0"/>
  </r>
  <r>
    <x v="0"/>
    <s v="5013 - EDUCACAO SUPERIOR - GRADUACAO, POS-GRADUACAO, ENSINO, PESQUISA E EXTENSAO"/>
    <x v="95"/>
    <n v="0"/>
    <n v="0"/>
    <n v="0"/>
  </r>
  <r>
    <x v="0"/>
    <s v="2215 - POLITICA ECONOMICA E EQUILIBRIO FISCAL"/>
    <x v="96"/>
    <n v="117193.33"/>
    <n v="968.34"/>
    <n v="968.34"/>
  </r>
  <r>
    <x v="0"/>
    <s v="3001 - ENERGIA ELETRICA"/>
    <x v="97"/>
    <n v="5070130.1900000004"/>
    <n v="9408.0400000000009"/>
    <n v="9408.0400000000009"/>
  </r>
  <r>
    <x v="0"/>
    <s v="6012 - DEFESA NACIONAL"/>
    <x v="98"/>
    <n v="60000"/>
    <n v="0"/>
    <n v="0"/>
  </r>
  <r>
    <x v="0"/>
    <s v="2212 - MELHORIA DO AMBIENTE DE NEGOCIOS E DA PRODUTIVIDADE"/>
    <x v="99"/>
    <n v="0"/>
    <n v="0"/>
    <n v="0"/>
  </r>
  <r>
    <x v="0"/>
    <s v="2223 - A HORA DO TURISMO"/>
    <x v="100"/>
    <n v="0"/>
    <n v="0"/>
    <n v="0"/>
  </r>
  <r>
    <x v="0"/>
    <s v="2215 - POLITICA ECONOMICA E EQUILIBRIO FISCAL"/>
    <x v="101"/>
    <n v="140677.23000000001"/>
    <n v="46698.68"/>
    <n v="44593.52"/>
  </r>
  <r>
    <x v="0"/>
    <s v="5023 - VIGILANCIA EM SAUDE"/>
    <x v="102"/>
    <n v="0"/>
    <n v="0"/>
    <n v="0"/>
  </r>
  <r>
    <x v="0"/>
    <s v="2077 - AGROPECUARIA SUSTENTAVEL"/>
    <x v="103"/>
    <n v="0"/>
    <n v="0"/>
    <n v="0"/>
  </r>
  <r>
    <x v="0"/>
    <s v="0909 - OPERACOES ESPECIAIS: OUTROS ENCARGOS ESPECIAIS"/>
    <x v="104"/>
    <n v="11762.19"/>
    <n v="11762.19"/>
    <n v="11762.19"/>
  </r>
  <r>
    <x v="0"/>
    <s v="2222 - SANEAMENTO BASICO"/>
    <x v="105"/>
    <n v="0"/>
    <n v="0"/>
    <n v="0"/>
  </r>
  <r>
    <x v="0"/>
    <s v="3001 - ENERGIA ELETRICA"/>
    <x v="106"/>
    <n v="6693511.1100000003"/>
    <n v="31013.56"/>
    <n v="31013.56"/>
  </r>
  <r>
    <x v="0"/>
    <s v="2217 - DESENVOLVIMENTO REGIONAL, TERRITORIAL E URBANO"/>
    <x v="107"/>
    <n v="0"/>
    <n v="0"/>
    <n v="0"/>
  </r>
  <r>
    <x v="0"/>
    <s v="3006 - TRANSPORTE TERRESTRE E TRANSITO"/>
    <x v="108"/>
    <n v="0"/>
    <n v="0"/>
    <n v="0"/>
  </r>
  <r>
    <x v="0"/>
    <s v="1043 - QUALIDADE AMBIENTAL URBANA"/>
    <x v="109"/>
    <n v="138666.67000000001"/>
    <n v="0"/>
    <n v="0"/>
  </r>
  <r>
    <x v="0"/>
    <s v="2217 - DESENVOLVIMENTO REGIONAL, TERRITORIAL E URBANO"/>
    <x v="110"/>
    <n v="0"/>
    <n v="0"/>
    <n v="0"/>
  </r>
  <r>
    <x v="0"/>
    <s v="3006 - TRANSPORTE TERRESTRE E TRANSITO"/>
    <x v="111"/>
    <n v="0"/>
    <n v="0"/>
    <n v="0"/>
  </r>
  <r>
    <x v="0"/>
    <s v="0909 - OPERACOES ESPECIAIS: OUTROS ENCARGOS ESPECIAIS"/>
    <x v="112"/>
    <n v="4813111"/>
    <n v="4813111"/>
    <n v="4813111"/>
  </r>
  <r>
    <x v="0"/>
    <s v="0910 - OPERACOES ESPECIAIS: GESTAO DA PARTICIPACAO EM ORGANISMOS E ENTIDADES NACIONAIS E INTERNACIONAIS"/>
    <x v="113"/>
    <n v="0"/>
    <n v="0"/>
    <n v="0"/>
  </r>
  <r>
    <x v="0"/>
    <s v="2108 - PROGRAMA DE GESTAO E MANUTENCAO DO MINISTERIO DA DEFESA"/>
    <x v="114"/>
    <n v="0"/>
    <n v="0"/>
    <n v="0"/>
  </r>
  <r>
    <x v="0"/>
    <s v="5023 - VIGILANCIA EM SAUDE"/>
    <x v="115"/>
    <n v="16970817.149999999"/>
    <n v="16666663.48"/>
    <n v="16666663.48"/>
  </r>
  <r>
    <x v="0"/>
    <s v="2077 - AGROPECUARIA SUSTENTAVEL"/>
    <x v="116"/>
    <n v="0"/>
    <n v="0"/>
    <n v="0"/>
  </r>
  <r>
    <x v="0"/>
    <s v="2204 - BRASIL NA FRONTEIRA DO CONHECIMENTO"/>
    <x v="117"/>
    <n v="0"/>
    <n v="0"/>
    <n v="0"/>
  </r>
  <r>
    <x v="0"/>
    <s v="2027 - CULTURA: DIMENSAO ESSENCIAL DO DESENVOLVIMENTO"/>
    <x v="118"/>
    <n v="0"/>
    <n v="0"/>
    <n v="0"/>
  </r>
  <r>
    <x v="0"/>
    <s v="0910 - OPERACOES ESPECIAIS: GESTAO DA PARTICIPACAO EM ORGANISMOS E ENTIDADES NACIONAIS E INTERNACIONAIS"/>
    <x v="119"/>
    <n v="0"/>
    <n v="0"/>
    <n v="0"/>
  </r>
  <r>
    <x v="0"/>
    <s v="3006 - TRANSPORTE TERRESTRE E TRANSITO"/>
    <x v="120"/>
    <n v="0"/>
    <n v="0"/>
    <n v="0"/>
  </r>
  <r>
    <x v="0"/>
    <s v="5017 - ASSISTENCIA FARMACEUTICA NO SUS"/>
    <x v="121"/>
    <n v="124215.33"/>
    <n v="124215.33"/>
    <n v="124215.33"/>
  </r>
  <r>
    <x v="0"/>
    <s v="3003 - PETROLEO, GAS, DERIVADOS E BIOCOMBUSTIVEIS"/>
    <x v="122"/>
    <n v="1052946.31"/>
    <n v="0"/>
    <n v="0"/>
  </r>
  <r>
    <x v="0"/>
    <s v="5013 - EDUCACAO SUPERIOR - GRADUACAO, POS-GRADUACAO, ENSINO, PESQUISA E EXTENSAO"/>
    <x v="123"/>
    <n v="3860800"/>
    <n v="3851200"/>
    <n v="0"/>
  </r>
  <r>
    <x v="0"/>
    <s v="5017 - ASSISTENCIA FARMACEUTICA NO SUS"/>
    <x v="124"/>
    <n v="2548040.79"/>
    <n v="19456.64"/>
    <n v="19456.64"/>
  </r>
  <r>
    <x v="0"/>
    <s v="3006 - TRANSPORTE TERRESTRE E TRANSITO"/>
    <x v="125"/>
    <n v="0"/>
    <n v="0"/>
    <n v="0"/>
  </r>
  <r>
    <x v="0"/>
    <s v="2222 - SANEAMENTO BASICO"/>
    <x v="126"/>
    <n v="0"/>
    <n v="0"/>
    <n v="0"/>
  </r>
  <r>
    <x v="0"/>
    <s v="0906 - OPERACOES ESPECIAIS: SERVICO DA DIVIDA EXTERNA (JUROS EAMORTIZACOES)"/>
    <x v="127"/>
    <n v="3581479612.1900001"/>
    <n v="3581479612.1900001"/>
    <n v="3581479612.1900001"/>
  </r>
  <r>
    <x v="0"/>
    <s v="0903 - OPERACOES ESPECIAIS: TRANSFERENCIAS CONSTITUCIONAIS E AS DECORRENTES DE LEGISLACAO ESPECIFICA"/>
    <x v="128"/>
    <n v="160804764.53"/>
    <n v="160700448.56"/>
    <n v="-39964.160000000003"/>
  </r>
  <r>
    <x v="0"/>
    <s v="2080 - EDUCACAO DE QUALIDADE PARA TODOS"/>
    <x v="129"/>
    <n v="0"/>
    <n v="0"/>
    <n v="0"/>
  </r>
  <r>
    <x v="0"/>
    <s v="2058 - DEFESA NACIONAL"/>
    <x v="130"/>
    <n v="0"/>
    <n v="0"/>
    <n v="0"/>
  </r>
  <r>
    <x v="0"/>
    <s v="0030 - PROGRAMA DE GESTAO E MANUTENCAO DA DEFENSORIA PUBLICA DA UNIAO"/>
    <x v="131"/>
    <n v="35000"/>
    <n v="0"/>
    <n v="0"/>
  </r>
  <r>
    <x v="0"/>
    <s v="5014 - ESTATISTICAS E AVALIACOES EDUCACIONAIS"/>
    <x v="132"/>
    <n v="360320.4"/>
    <n v="0"/>
    <n v="0"/>
  </r>
  <r>
    <x v="0"/>
    <s v="3006 - TRANSPORTE TERRESTRE E TRANSITO"/>
    <x v="133"/>
    <n v="6253292"/>
    <n v="0"/>
    <n v="0"/>
  </r>
  <r>
    <x v="0"/>
    <s v="2058 - DEFESA NACIONAL"/>
    <x v="134"/>
    <n v="0"/>
    <n v="0"/>
    <n v="0"/>
  </r>
  <r>
    <x v="0"/>
    <s v="0903 - OPERACOES ESPECIAIS: TRANSFERENCIAS CONSTITUCIONAIS E AS DECORRENTES DE LEGISLACAO ESPECIFICA"/>
    <x v="135"/>
    <n v="0"/>
    <n v="0"/>
    <n v="0"/>
  </r>
  <r>
    <x v="0"/>
    <s v="2015 - FORTALECIMENTO DO SISTEMA UNICO DE SAUDE (SUS)"/>
    <x v="136"/>
    <n v="0"/>
    <n v="0"/>
    <n v="0"/>
  </r>
  <r>
    <x v="0"/>
    <s v="2209 - BRASIL, NOSSO PROPOSITO"/>
    <x v="137"/>
    <n v="0"/>
    <n v="0"/>
    <n v="0"/>
  </r>
  <r>
    <x v="0"/>
    <s v="5025 - CULTURA"/>
    <x v="118"/>
    <n v="0"/>
    <n v="0"/>
    <n v="0"/>
  </r>
  <r>
    <x v="0"/>
    <s v="1031 - AGROPECUARIA SUSTENTAVEL"/>
    <x v="138"/>
    <n v="1795227154.46"/>
    <n v="0"/>
    <n v="0"/>
  </r>
  <r>
    <x v="0"/>
    <s v="2062 - PROMOCAO, PROTECAO E DEFESA DOS DIREITOS HUMANOS DE CRIANCAS E ADOLESCENTES"/>
    <x v="139"/>
    <n v="0"/>
    <n v="0"/>
    <n v="0"/>
  </r>
  <r>
    <x v="0"/>
    <s v="3006 - TRANSPORTE TERRESTRE E TRANSITO"/>
    <x v="140"/>
    <n v="0"/>
    <n v="0"/>
    <n v="0"/>
  </r>
  <r>
    <x v="0"/>
    <s v="3006 - TRANSPORTE TERRESTRE E TRANSITO"/>
    <x v="141"/>
    <n v="5985112"/>
    <n v="0"/>
    <n v="0"/>
  </r>
  <r>
    <x v="0"/>
    <s v="2219 - MOBILIDADE URBANA"/>
    <x v="142"/>
    <n v="0"/>
    <n v="0"/>
    <n v="0"/>
  </r>
  <r>
    <x v="0"/>
    <s v="0032 - PROGRAMA DE GESTAO E MANUTENCAO DO PODER EXECUTIVO"/>
    <x v="143"/>
    <n v="0"/>
    <n v="0"/>
    <n v="0"/>
  </r>
  <r>
    <x v="0"/>
    <s v="5012 - EDUCACAO PROFISSIONAL E TECNOLOGICA"/>
    <x v="144"/>
    <n v="0"/>
    <n v="0"/>
    <n v="0"/>
  </r>
  <r>
    <x v="0"/>
    <s v="5023 - VIGILANCIA EM SAUDE"/>
    <x v="145"/>
    <n v="159182520"/>
    <n v="159182520"/>
    <n v="159182520"/>
  </r>
  <r>
    <x v="0"/>
    <s v="0902 - OPERACOES ESPECIAIS: FINANCIAMENTOS COM RETORNO"/>
    <x v="146"/>
    <n v="6620228494"/>
    <n v="0"/>
    <n v="0"/>
  </r>
  <r>
    <x v="0"/>
    <s v="2211 - INSERCAO ECONOMICA INTERNACIONAL"/>
    <x v="147"/>
    <n v="160000"/>
    <n v="0"/>
    <n v="0"/>
  </r>
  <r>
    <x v="0"/>
    <s v="2205 - CONECTA BRASIL"/>
    <x v="148"/>
    <n v="40547062.210000001"/>
    <n v="78924.81"/>
    <n v="77067.23"/>
  </r>
  <r>
    <x v="0"/>
    <s v="2221 - RECURSOS HIDRICOS"/>
    <x v="149"/>
    <n v="0"/>
    <n v="0"/>
    <n v="0"/>
  </r>
  <r>
    <x v="0"/>
    <s v="2222 - SANEAMENTO BASICO"/>
    <x v="150"/>
    <n v="0"/>
    <n v="0"/>
    <n v="0"/>
  </r>
  <r>
    <x v="0"/>
    <s v="3004 - AVIACAO CIVIL"/>
    <x v="151"/>
    <n v="0"/>
    <n v="0"/>
    <n v="0"/>
  </r>
  <r>
    <x v="0"/>
    <s v="5028 - INCLUSAO SOCIAL POR MEIO DO BOLSA FAMILIA E DA ARTICULACAO DE POLITICAS PUBLICAS"/>
    <x v="152"/>
    <n v="0"/>
    <n v="0"/>
    <n v="0"/>
  </r>
  <r>
    <x v="0"/>
    <s v="2222 - SANEAMENTO BASICO"/>
    <x v="42"/>
    <n v="0"/>
    <n v="0"/>
    <n v="0"/>
  </r>
  <r>
    <x v="0"/>
    <s v="2080 - EDUCACAO DE QUALIDADE PARA TODOS"/>
    <x v="153"/>
    <n v="0"/>
    <n v="0"/>
    <n v="0"/>
  </r>
  <r>
    <x v="0"/>
    <s v="1041 - CONSERVACAO E USO SUSTENTAVEL DA BIODIVERSIDADE E DOS RECURSOS NATURAIS"/>
    <x v="154"/>
    <n v="272000"/>
    <n v="0"/>
    <n v="0"/>
  </r>
  <r>
    <x v="0"/>
    <s v="2086 - TRANSPORTE AQUAVIARIO"/>
    <x v="155"/>
    <n v="0"/>
    <n v="0"/>
    <n v="0"/>
  </r>
  <r>
    <x v="0"/>
    <s v="0903 - OPERACOES ESPECIAIS: TRANSFERENCIAS CONSTITUCIONAIS E AS DECORRENTES DE LEGISLACAO ESPECIFICA"/>
    <x v="156"/>
    <n v="0"/>
    <n v="0"/>
    <n v="0"/>
  </r>
  <r>
    <x v="0"/>
    <s v="5021 - GESTAO E ORGANIZACAO DO SUS"/>
    <x v="157"/>
    <n v="100000"/>
    <n v="0"/>
    <n v="0"/>
  </r>
  <r>
    <x v="0"/>
    <s v="2211 - INSERCAO ECONOMICA INTERNACIONAL"/>
    <x v="158"/>
    <n v="1254000000"/>
    <n v="10709418.76"/>
    <n v="5354709.38"/>
  </r>
  <r>
    <x v="0"/>
    <s v="2213 - MODERNIZACAO TRABALHISTA E TRABALHO DIGNO"/>
    <x v="159"/>
    <n v="141585.54"/>
    <n v="29718.27"/>
    <n v="15784.94"/>
  </r>
  <r>
    <x v="0"/>
    <s v="2205 - CONECTA BRASIL"/>
    <x v="160"/>
    <n v="0"/>
    <n v="0"/>
    <n v="0"/>
  </r>
  <r>
    <x v="0"/>
    <s v="0902 - OPERACOES ESPECIAIS: FINANCIAMENTOS COM RETORNO"/>
    <x v="161"/>
    <n v="228473762"/>
    <n v="8015693.0700000003"/>
    <n v="8015693.0700000003"/>
  </r>
  <r>
    <x v="0"/>
    <s v="3006 - TRANSPORTE TERRESTRE E TRANSITO"/>
    <x v="162"/>
    <n v="0"/>
    <n v="0"/>
    <n v="0"/>
  </r>
  <r>
    <x v="0"/>
    <s v="5013 - EDUCACAO SUPERIOR - GRADUACAO, POS-GRADUACAO, ENSINO, PESQUISA E EXTENSAO"/>
    <x v="163"/>
    <n v="13000000"/>
    <n v="0"/>
    <n v="0"/>
  </r>
  <r>
    <x v="0"/>
    <s v="1041 - CONSERVACAO E USO SUSTENTAVEL DA BIODIVERSIDADE E DOS RECURSOS NATURAIS"/>
    <x v="164"/>
    <n v="1031000"/>
    <n v="144.35"/>
    <n v="144.35"/>
  </r>
  <r>
    <x v="0"/>
    <s v="5021 - GESTAO E ORGANIZACAO DO SUS"/>
    <x v="165"/>
    <n v="655861.18000000005"/>
    <n v="28088.22"/>
    <n v="0"/>
  </r>
  <r>
    <x v="0"/>
    <s v="3006 - TRANSPORTE TERRESTRE E TRANSITO"/>
    <x v="166"/>
    <n v="0"/>
    <n v="0"/>
    <n v="0"/>
  </r>
  <r>
    <x v="0"/>
    <s v="2084 - RECURSOS HIDRICOS"/>
    <x v="167"/>
    <n v="0"/>
    <n v="0"/>
    <n v="0"/>
  </r>
  <r>
    <x v="0"/>
    <s v="2212 - MELHORIA DO AMBIENTE DE NEGOCIOS E DA PRODUTIVIDADE"/>
    <x v="168"/>
    <n v="0"/>
    <n v="0"/>
    <n v="0"/>
  </r>
  <r>
    <x v="0"/>
    <s v="3006 - TRANSPORTE TERRESTRE E TRANSITO"/>
    <x v="169"/>
    <n v="0"/>
    <n v="0"/>
    <n v="0"/>
  </r>
  <r>
    <x v="0"/>
    <s v="2068 - SANEAMENTO BASICO"/>
    <x v="170"/>
    <n v="0"/>
    <n v="0"/>
    <n v="0"/>
  </r>
  <r>
    <x v="0"/>
    <s v="0032 - PROGRAMA DE GESTAO E MANUTENCAO DO PODER EXECUTIVO"/>
    <x v="171"/>
    <n v="0"/>
    <n v="0"/>
    <n v="0"/>
  </r>
  <r>
    <x v="0"/>
    <s v="6012 - DEFESA NACIONAL"/>
    <x v="172"/>
    <n v="0"/>
    <n v="0"/>
    <n v="0"/>
  </r>
  <r>
    <x v="0"/>
    <s v="2015 - FORTALECIMENTO DO SISTEMA UNICO DE SAUDE (SUS)"/>
    <x v="173"/>
    <n v="0"/>
    <n v="0"/>
    <n v="0"/>
  </r>
  <r>
    <x v="0"/>
    <s v="0903 - OPERACOES ESPECIAIS: TRANSFERENCIAS CONSTITUCIONAIS E AS DECORRENTES DE LEGISLACAO ESPECIFICA"/>
    <x v="174"/>
    <n v="165671092"/>
    <n v="0"/>
    <n v="0"/>
  </r>
  <r>
    <x v="0"/>
    <s v="0901 - OPERACOES ESPECIAIS: CUMPRIMENTO DE SENTENCAS JUDICIAIS"/>
    <x v="175"/>
    <n v="0"/>
    <n v="0"/>
    <n v="0"/>
  </r>
  <r>
    <x v="0"/>
    <s v="1041 - CONSERVACAO E USO SUSTENTAVEL DA BIODIVERSIDADE E DOS RECURSOS NATURAIS"/>
    <x v="176"/>
    <n v="9166.66"/>
    <n v="0"/>
    <n v="0"/>
  </r>
  <r>
    <x v="0"/>
    <s v="1041 - CONSERVACAO E USO SUSTENTAVEL DA BIODIVERSIDADE E DOS RECURSOS NATURAIS"/>
    <x v="177"/>
    <n v="0"/>
    <n v="0"/>
    <n v="0"/>
  </r>
  <r>
    <x v="0"/>
    <s v="2221 - RECURSOS HIDRICOS"/>
    <x v="167"/>
    <n v="50000"/>
    <n v="0"/>
    <n v="0"/>
  </r>
  <r>
    <x v="0"/>
    <s v="0032 - PROGRAMA DE GESTAO E MANUTENCAO DO PODER EXECUTIVO"/>
    <x v="178"/>
    <n v="0"/>
    <n v="0"/>
    <n v="0"/>
  </r>
  <r>
    <x v="0"/>
    <s v="2208 - TECNOLOGIAS APLICADAS, INOVACAO E DESENVOLVIMENTO SUSTENTAVEL"/>
    <x v="179"/>
    <n v="0"/>
    <n v="0"/>
    <n v="0"/>
  </r>
  <r>
    <x v="0"/>
    <s v="1040 - GOVERNANCA FUNDIARIA"/>
    <x v="180"/>
    <n v="0"/>
    <n v="0"/>
    <n v="0"/>
  </r>
  <r>
    <x v="0"/>
    <s v="0909 - OPERACOES ESPECIAIS: OUTROS ENCARGOS ESPECIAIS"/>
    <x v="181"/>
    <n v="300000000"/>
    <n v="0"/>
    <n v="0"/>
  </r>
  <r>
    <x v="0"/>
    <s v="2211 - INSERCAO ECONOMICA INTERNACIONAL"/>
    <x v="182"/>
    <n v="46000"/>
    <n v="20126.84"/>
    <n v="11431.17"/>
  </r>
  <r>
    <x v="0"/>
    <s v="2204 - BRASIL NA FRONTEIRA DO CONHECIMENTO"/>
    <x v="183"/>
    <n v="103871.34"/>
    <n v="78871.34"/>
    <n v="67591.34"/>
  </r>
  <r>
    <x v="0"/>
    <s v="2076 - DESENVOLVIMENTO E PROMOCAO DO TURISMO"/>
    <x v="13"/>
    <n v="0"/>
    <n v="0"/>
    <n v="0"/>
  </r>
  <r>
    <x v="0"/>
    <s v="2080 - EDUCACAO DE QUALIDADE PARA TODOS"/>
    <x v="184"/>
    <n v="0"/>
    <n v="0"/>
    <n v="0"/>
  </r>
  <r>
    <x v="0"/>
    <s v="6014 - PREVENCAO E CONTROLE DO DESMATAMENTO E DOS INCENDIOS NOS BIOMAS"/>
    <x v="185"/>
    <n v="27355673.120000001"/>
    <n v="6513655.0800000001"/>
    <n v="167620.35"/>
  </r>
  <r>
    <x v="0"/>
    <s v="5018 - ATENCAO ESPECIALIZADA A SAUDE"/>
    <x v="186"/>
    <n v="216666666.66"/>
    <n v="108333333.33"/>
    <n v="108333333.33"/>
  </r>
  <r>
    <x v="0"/>
    <s v="2214 - NOVA PREVIDENCIA"/>
    <x v="187"/>
    <n v="6001000"/>
    <n v="2611836.81"/>
    <n v="547388.25"/>
  </r>
  <r>
    <x v="0"/>
    <s v="2080 - EDUCACAO DE QUALIDADE PARA TODOS"/>
    <x v="188"/>
    <n v="0"/>
    <n v="0"/>
    <n v="0"/>
  </r>
  <r>
    <x v="0"/>
    <s v="2208 - TECNOLOGIAS APLICADAS, INOVACAO E DESENVOLVIMENTO SUSTENTAVEL"/>
    <x v="189"/>
    <n v="0"/>
    <n v="0"/>
    <n v="0"/>
  </r>
  <r>
    <x v="0"/>
    <s v="2207 - PROGRAMA ESPACIAL BRASILEIRO"/>
    <x v="190"/>
    <n v="13946142.550000001"/>
    <n v="8952000.0099999998"/>
    <n v="8952000.0099999998"/>
  </r>
  <r>
    <x v="0"/>
    <s v="2208 - TECNOLOGIAS APLICADAS, INOVACAO E DESENVOLVIMENTO SUSTENTAVEL"/>
    <x v="191"/>
    <n v="5778619.0199999996"/>
    <n v="136331.92000000001"/>
    <n v="136331.92000000001"/>
  </r>
  <r>
    <x v="0"/>
    <s v="1031 - AGROPECUARIA SUSTENTAVEL"/>
    <x v="192"/>
    <n v="0"/>
    <n v="0"/>
    <n v="0"/>
  </r>
  <r>
    <x v="0"/>
    <s v="4002 - SEGURANCA INSTITUCIONAL"/>
    <x v="193"/>
    <n v="51505.25"/>
    <n v="21939.31"/>
    <n v="21939.31"/>
  </r>
  <r>
    <x v="0"/>
    <s v="2221 - RECURSOS HIDRICOS"/>
    <x v="194"/>
    <n v="0"/>
    <n v="0"/>
    <n v="0"/>
  </r>
  <r>
    <x v="0"/>
    <s v="2105 - PROGRAMA DE GESTAO E MANUTENCAO DO MINISTERIO DA AGRICULTURA, PECUARIA E ABASTECIMENTO"/>
    <x v="52"/>
    <n v="0"/>
    <n v="0"/>
    <n v="0"/>
  </r>
  <r>
    <x v="0"/>
    <s v="3006 - TRANSPORTE TERRESTRE E TRANSITO"/>
    <x v="195"/>
    <n v="0"/>
    <n v="0"/>
    <n v="0"/>
  </r>
  <r>
    <x v="0"/>
    <s v="2217 - DESENVOLVIMENTO REGIONAL, TERRITORIAL E URBANO"/>
    <x v="196"/>
    <n v="0"/>
    <n v="0"/>
    <n v="0"/>
  </r>
  <r>
    <x v="0"/>
    <s v="5031 - PROTECAO SOCIAL NO AMBITO DO SISTEMA UNICO DE ASSISTENCIA SOCIAL (SUAS)"/>
    <x v="197"/>
    <n v="252000"/>
    <n v="38168.65"/>
    <n v="34071.68"/>
  </r>
  <r>
    <x v="0"/>
    <s v="2206 - POLITICA NUCLEAR"/>
    <x v="198"/>
    <n v="0"/>
    <n v="0"/>
    <n v="0"/>
  </r>
  <r>
    <x v="0"/>
    <s v="6012 - DEFESA NACIONAL"/>
    <x v="199"/>
    <n v="0"/>
    <n v="0"/>
    <n v="0"/>
  </r>
  <r>
    <x v="0"/>
    <s v="5035 - PROMOCAO DE CIDADANIA POR MEIO DO AUXILIO BRASIL E DA ARTICULACAO DE POLITICAS PUBLICAS"/>
    <x v="200"/>
    <n v="0"/>
    <n v="0"/>
    <n v="0"/>
  </r>
  <r>
    <x v="0"/>
    <s v="2213 - MODERNIZACAO TRABALHISTA E TRABALHO DIGNO"/>
    <x v="201"/>
    <n v="901939"/>
    <n v="901939"/>
    <n v="901939"/>
  </r>
  <r>
    <x v="0"/>
    <s v="5018 - ATENCAO ESPECIALIZADA A SAUDE"/>
    <x v="202"/>
    <n v="8046639.2999999998"/>
    <n v="657384.17000000004"/>
    <n v="0"/>
  </r>
  <r>
    <x v="0"/>
    <s v="2221 - RECURSOS HIDRICOS"/>
    <x v="203"/>
    <n v="0"/>
    <n v="0"/>
    <n v="0"/>
  </r>
  <r>
    <x v="0"/>
    <s v="2221 - RECURSOS HIDRICOS"/>
    <x v="204"/>
    <n v="0"/>
    <n v="0"/>
    <n v="0"/>
  </r>
  <r>
    <x v="0"/>
    <s v="0033 - PROGRAMA DE GESTAO E MANUTENCAO DO PODER JUDICIARIO"/>
    <x v="205"/>
    <n v="0"/>
    <n v="0"/>
    <n v="0"/>
  </r>
  <r>
    <x v="0"/>
    <s v="2068 - SANEAMENTO BASICO"/>
    <x v="206"/>
    <n v="0"/>
    <n v="0"/>
    <n v="0"/>
  </r>
  <r>
    <x v="0"/>
    <s v="2222 - SANEAMENTO BASICO"/>
    <x v="206"/>
    <n v="0"/>
    <n v="0"/>
    <n v="0"/>
  </r>
  <r>
    <x v="0"/>
    <s v="2015 - FORTALECIMENTO DO SISTEMA UNICO DE SAUDE (SUS)"/>
    <x v="207"/>
    <n v="0"/>
    <n v="0"/>
    <n v="0"/>
  </r>
  <r>
    <x v="0"/>
    <s v="2204 - BRASIL NA FRONTEIRA DO CONHECIMENTO"/>
    <x v="208"/>
    <n v="0"/>
    <n v="0"/>
    <n v="0"/>
  </r>
  <r>
    <x v="0"/>
    <s v="2201 - BRASIL MODERNIZA"/>
    <x v="209"/>
    <n v="0"/>
    <n v="0"/>
    <n v="0"/>
  </r>
  <r>
    <x v="0"/>
    <s v="6012 - DEFESA NACIONAL"/>
    <x v="210"/>
    <n v="0"/>
    <n v="0"/>
    <n v="0"/>
  </r>
  <r>
    <x v="0"/>
    <s v="5021 - GESTAO E ORGANIZACAO DO SUS"/>
    <x v="211"/>
    <n v="298473.23"/>
    <n v="11882.57"/>
    <n v="11781.57"/>
  </r>
  <r>
    <x v="0"/>
    <s v="3005 - TRANSPORTE AQUAVIARIO"/>
    <x v="212"/>
    <n v="157874.35"/>
    <n v="0"/>
    <n v="0"/>
  </r>
  <r>
    <x v="0"/>
    <s v="2217 - DESENVOLVIMENTO REGIONAL, TERRITORIAL E URBANO"/>
    <x v="213"/>
    <n v="0"/>
    <n v="0"/>
    <n v="0"/>
  </r>
  <r>
    <x v="0"/>
    <s v="2213 - MODERNIZACAO TRABALHISTA E TRABALHO DIGNO"/>
    <x v="214"/>
    <n v="1942029116.3099999"/>
    <n v="1942029116.3099999"/>
    <n v="1942029116.3099999"/>
  </r>
  <r>
    <x v="0"/>
    <s v="0903 - OPERACOES ESPECIAIS: TRANSFERENCIAS CONSTITUCIONAIS E AS DECORRENTES DE LEGISLACAO ESPECIFICA"/>
    <x v="215"/>
    <n v="923184712"/>
    <n v="50543516.990000002"/>
    <n v="50543516.990000002"/>
  </r>
  <r>
    <x v="0"/>
    <s v="3006 - TRANSPORTE TERRESTRE E TRANSITO"/>
    <x v="216"/>
    <n v="0"/>
    <n v="0"/>
    <n v="0"/>
  </r>
  <r>
    <x v="0"/>
    <s v="2223 - A HORA DO TURISMO"/>
    <x v="217"/>
    <n v="0"/>
    <n v="0"/>
    <n v="0"/>
  </r>
  <r>
    <x v="0"/>
    <s v="2208 - TECNOLOGIAS APLICADAS, INOVACAO E DESENVOLVIMENTO SUSTENTAVEL"/>
    <x v="218"/>
    <n v="9707945.3100000005"/>
    <n v="9707945.3100000005"/>
    <n v="9537220.3100000005"/>
  </r>
  <r>
    <x v="0"/>
    <s v="2015 - FORTALECIMENTO DO SISTEMA UNICO DE SAUDE (SUS)"/>
    <x v="219"/>
    <n v="0"/>
    <n v="0"/>
    <n v="0"/>
  </r>
  <r>
    <x v="0"/>
    <s v="6012 - DEFESA NACIONAL"/>
    <x v="220"/>
    <n v="18972443.420000002"/>
    <n v="7140190.0300000003"/>
    <n v="5532951.1600000001"/>
  </r>
  <r>
    <x v="0"/>
    <s v="5015 - JUSTICA"/>
    <x v="221"/>
    <n v="3893490.3"/>
    <n v="185868.7"/>
    <n v="94287.28"/>
  </r>
  <r>
    <x v="0"/>
    <s v="2217 - DESENVOLVIMENTO REGIONAL, TERRITORIAL E URBANO"/>
    <x v="222"/>
    <n v="332000"/>
    <n v="0"/>
    <n v="0"/>
  </r>
  <r>
    <x v="0"/>
    <s v="2035 - ESPORTE, CIDADANIA E DESENVOLVIMENTO"/>
    <x v="223"/>
    <n v="0"/>
    <n v="0"/>
    <n v="0"/>
  </r>
  <r>
    <x v="0"/>
    <s v="0032 - PROGRAMA DE GESTAO E MANUTENCAO DO PODER EXECUTIVO"/>
    <x v="224"/>
    <n v="0"/>
    <n v="0"/>
    <n v="0"/>
  </r>
  <r>
    <x v="0"/>
    <s v="3006 - TRANSPORTE TERRESTRE E TRANSITO"/>
    <x v="225"/>
    <n v="0"/>
    <n v="0"/>
    <n v="0"/>
  </r>
  <r>
    <x v="0"/>
    <s v="2205 - CONECTA BRASIL"/>
    <x v="37"/>
    <n v="0"/>
    <n v="0"/>
    <n v="0"/>
  </r>
  <r>
    <x v="0"/>
    <s v="2015 - FORTALECIMENTO DO SISTEMA UNICO DE SAUDE (SUS)"/>
    <x v="226"/>
    <n v="0"/>
    <n v="0"/>
    <n v="0"/>
  </r>
  <r>
    <x v="0"/>
    <s v="5028 - INCLUSAO SOCIAL POR MEIO DO BOLSA FAMILIA E DA ARTICULACAO DE POLITICAS PUBLICAS"/>
    <x v="227"/>
    <n v="0"/>
    <n v="0"/>
    <n v="0"/>
  </r>
  <r>
    <x v="0"/>
    <s v="5028 - INCLUSAO SOCIAL POR MEIO DO BOLSA FAMILIA E DA ARTICULACAO DE POLITICAS PUBLICAS"/>
    <x v="228"/>
    <n v="0"/>
    <n v="0"/>
    <n v="0"/>
  </r>
  <r>
    <x v="0"/>
    <s v="5017 - ASSISTENCIA FARMACEUTICA NO SUS"/>
    <x v="229"/>
    <n v="105982935.05"/>
    <n v="17080296.34"/>
    <n v="0"/>
  </r>
  <r>
    <x v="0"/>
    <s v="2216 - POLITICA EXTERNA"/>
    <x v="230"/>
    <n v="0"/>
    <n v="0"/>
    <n v="0"/>
  </r>
  <r>
    <x v="0"/>
    <s v="2066 - REFORMA AGRARIA E GOVERNANCA FUNDIARIA"/>
    <x v="231"/>
    <n v="0"/>
    <n v="0"/>
    <n v="0"/>
  </r>
  <r>
    <x v="0"/>
    <s v="2221 - RECURSOS HIDRICOS"/>
    <x v="232"/>
    <n v="0"/>
    <n v="0"/>
    <n v="0"/>
  </r>
  <r>
    <x v="0"/>
    <s v="0903 - OPERACOES ESPECIAIS: TRANSFERENCIAS CONSTITUCIONAIS E AS DECORRENTES DE LEGISLACAO ESPECIFICA"/>
    <x v="233"/>
    <n v="0"/>
    <n v="0"/>
    <n v="0"/>
  </r>
  <r>
    <x v="0"/>
    <s v="5023 - VIGILANCIA EM SAUDE"/>
    <x v="234"/>
    <n v="1016731.2"/>
    <n v="0"/>
    <n v="0"/>
  </r>
  <r>
    <x v="0"/>
    <s v="2221 - RECURSOS HIDRICOS"/>
    <x v="235"/>
    <n v="0"/>
    <n v="0"/>
    <n v="0"/>
  </r>
  <r>
    <x v="0"/>
    <s v="1040 - GOVERNANCA FUNDIARIA"/>
    <x v="236"/>
    <n v="0"/>
    <n v="0"/>
    <n v="0"/>
  </r>
  <r>
    <x v="0"/>
    <s v="0032 - PROGRAMA DE GESTAO E MANUTENCAO DO PODER EXECUTIVO"/>
    <x v="237"/>
    <n v="5192900.66"/>
    <n v="4683606.0199999996"/>
    <n v="3949531.75"/>
  </r>
  <r>
    <x v="0"/>
    <s v="2212 - MELHORIA DO AMBIENTE DE NEGOCIOS E DA PRODUTIVIDADE"/>
    <x v="238"/>
    <n v="120329.2"/>
    <n v="0"/>
    <n v="0"/>
  </r>
  <r>
    <x v="0"/>
    <s v="2208 - TECNOLOGIAS APLICADAS, INOVACAO E DESENVOLVIMENTO SUSTENTAVEL"/>
    <x v="239"/>
    <n v="17325.259999999998"/>
    <n v="2325.2600000000002"/>
    <n v="2325.2600000000002"/>
  </r>
  <r>
    <x v="0"/>
    <s v="3001 - ENERGIA ELETRICA"/>
    <x v="240"/>
    <n v="2451573.23"/>
    <n v="1367102.83"/>
    <n v="803375.67"/>
  </r>
  <r>
    <x v="0"/>
    <s v="3006 - TRANSPORTE TERRESTRE E TRANSITO"/>
    <x v="241"/>
    <n v="11913760"/>
    <n v="0"/>
    <n v="0"/>
  </r>
  <r>
    <x v="0"/>
    <s v="3006 - TRANSPORTE TERRESTRE E TRANSITO"/>
    <x v="242"/>
    <n v="0"/>
    <n v="0"/>
    <n v="0"/>
  </r>
  <r>
    <x v="0"/>
    <s v="6012 - DEFESA NACIONAL"/>
    <x v="243"/>
    <n v="922551.63"/>
    <n v="50574.6"/>
    <n v="30661.29"/>
  </r>
  <r>
    <x v="0"/>
    <s v="0901 - OPERACOES ESPECIAIS: CUMPRIMENTO DE SENTENCAS JUDICIAIS"/>
    <x v="244"/>
    <n v="47744065.700000003"/>
    <n v="47744065.700000003"/>
    <n v="47744065.700000003"/>
  </r>
  <r>
    <x v="0"/>
    <s v="5021 - GESTAO E ORGANIZACAO DO SUS"/>
    <x v="245"/>
    <n v="0"/>
    <n v="0"/>
    <n v="0"/>
  </r>
  <r>
    <x v="0"/>
    <s v="0909 - OPERACOES ESPECIAIS: OUTROS ENCARGOS ESPECIAIS"/>
    <x v="246"/>
    <n v="0"/>
    <n v="0"/>
    <n v="0"/>
  </r>
  <r>
    <x v="0"/>
    <s v="5023 - VIGILANCIA EM SAUDE"/>
    <x v="247"/>
    <n v="35140880.350000001"/>
    <n v="0"/>
    <n v="0"/>
  </r>
  <r>
    <x v="0"/>
    <s v="5026 - ESPORTE"/>
    <x v="248"/>
    <n v="1164468.21"/>
    <n v="153533.22"/>
    <n v="153533.22"/>
  </r>
  <r>
    <x v="0"/>
    <s v="6016 - EDUCACAO ESPECIAL"/>
    <x v="249"/>
    <n v="8368197.4299999997"/>
    <n v="19429.21"/>
    <n v="9004.82"/>
  </r>
  <r>
    <x v="0"/>
    <s v="2205 - CONECTA BRASIL"/>
    <x v="250"/>
    <n v="201000"/>
    <n v="121159.67999999999"/>
    <n v="121159.67999999999"/>
  </r>
  <r>
    <x v="0"/>
    <s v="5031 - PROTECAO SOCIAL NO AMBITO DO SISTEMA UNICO DE ASSISTENCIA SOCIAL (SUAS)"/>
    <x v="251"/>
    <n v="5598221.3099999996"/>
    <n v="6387.15"/>
    <n v="4994.24"/>
  </r>
  <r>
    <x v="0"/>
    <s v="0032 - PROGRAMA DE GESTAO E MANUTENCAO DO PODER EXECUTIVO"/>
    <x v="252"/>
    <n v="0"/>
    <n v="0"/>
    <n v="0"/>
  </r>
  <r>
    <x v="0"/>
    <s v="0903 - OPERACOES ESPECIAIS: TRANSFERENCIAS CONSTITUCIONAIS E AS DECORRENTES DE LEGISLACAO ESPECIFICA"/>
    <x v="253"/>
    <n v="802703769.20000005"/>
    <n v="265124115.75999999"/>
    <n v="265124115.75999999"/>
  </r>
  <r>
    <x v="0"/>
    <s v="6012 - DEFESA NACIONAL"/>
    <x v="254"/>
    <n v="0"/>
    <n v="0"/>
    <n v="0"/>
  </r>
  <r>
    <x v="0"/>
    <s v="0151 - PROTECAO DE TERRAS INDIGENAS, GESTAO TERRITORIAL E ETNODESENVOLVIMENTO"/>
    <x v="255"/>
    <n v="0"/>
    <n v="0"/>
    <n v="0"/>
  </r>
  <r>
    <x v="0"/>
    <s v="2206 - POLITICA NUCLEAR"/>
    <x v="256"/>
    <n v="0"/>
    <n v="0"/>
    <n v="0"/>
  </r>
  <r>
    <x v="0"/>
    <s v="6012 - DEFESA NACIONAL"/>
    <x v="257"/>
    <n v="0"/>
    <n v="0"/>
    <n v="0"/>
  </r>
  <r>
    <x v="0"/>
    <s v="2080 - EDUCACAO DE QUALIDADE PARA TODOS"/>
    <x v="258"/>
    <n v="0"/>
    <n v="0"/>
    <n v="0"/>
  </r>
  <r>
    <x v="0"/>
    <s v="1031 - AGROPECUARIA SUSTENTAVEL"/>
    <x v="259"/>
    <n v="575524266.12"/>
    <n v="34646.120000000003"/>
    <n v="34646.120000000003"/>
  </r>
  <r>
    <x v="0"/>
    <s v="2208 - TECNOLOGIAS APLICADAS, INOVACAO E DESENVOLVIMENTO SUSTENTAVEL"/>
    <x v="260"/>
    <n v="70144925.109999999"/>
    <n v="64808976.119999997"/>
    <n v="29204826.789999999"/>
  </r>
  <r>
    <x v="0"/>
    <s v="5019 - ATENCAO PRIMARIA A SAUDE"/>
    <x v="261"/>
    <n v="1287640395.9300001"/>
    <n v="1268796928.3"/>
    <n v="1268777678.3"/>
  </r>
  <r>
    <x v="0"/>
    <s v="2084 - RECURSOS HIDRICOS"/>
    <x v="262"/>
    <n v="0"/>
    <n v="0"/>
    <n v="0"/>
  </r>
  <r>
    <x v="0"/>
    <s v="3006 - TRANSPORTE TERRESTRE E TRANSITO"/>
    <x v="263"/>
    <n v="0"/>
    <n v="0"/>
    <n v="0"/>
  </r>
  <r>
    <x v="0"/>
    <s v="2215 - POLITICA ECONOMICA E EQUILIBRIO FISCAL"/>
    <x v="264"/>
    <n v="9667058"/>
    <n v="0"/>
    <n v="0"/>
  </r>
  <r>
    <x v="0"/>
    <s v="5029 - PRODUCAO DE DADOS E CONHECIMENTO PARA O APRIMORAMENTO DE POLITICAS PUBLICAS"/>
    <x v="265"/>
    <n v="0"/>
    <n v="0"/>
    <n v="0"/>
  </r>
  <r>
    <x v="0"/>
    <s v="2222 - SANEAMENTO BASICO"/>
    <x v="266"/>
    <n v="0"/>
    <n v="0"/>
    <n v="0"/>
  </r>
  <r>
    <x v="0"/>
    <s v="2068 - SANEAMENTO BASICO"/>
    <x v="267"/>
    <n v="0"/>
    <n v="0"/>
    <n v="0"/>
  </r>
  <r>
    <x v="0"/>
    <s v="5020 - DESENVOLVIMENTO CIENTIFICO, TECNOLOGICO E PRODUTIVO EM SAUDE"/>
    <x v="268"/>
    <n v="0"/>
    <n v="0"/>
    <n v="0"/>
  </r>
  <r>
    <x v="0"/>
    <s v="2223 - A HORA DO TURISMO"/>
    <x v="269"/>
    <n v="0"/>
    <n v="0"/>
    <n v="0"/>
  </r>
  <r>
    <x v="0"/>
    <s v="2042 - PESQUISA E INOVACOES PARA A AGROPECUARIA"/>
    <x v="270"/>
    <n v="0"/>
    <n v="0"/>
    <n v="0"/>
  </r>
  <r>
    <x v="0"/>
    <s v="2027 - CULTURA: DIMENSAO ESSENCIAL DO DESENVOLVIMENTO"/>
    <x v="271"/>
    <n v="0"/>
    <n v="0"/>
    <n v="0"/>
  </r>
  <r>
    <x v="0"/>
    <s v="2222 - SANEAMENTO BASICO"/>
    <x v="272"/>
    <n v="0"/>
    <n v="0"/>
    <n v="0"/>
  </r>
  <r>
    <x v="0"/>
    <s v="6012 - DEFESA NACIONAL"/>
    <x v="273"/>
    <n v="9292656.0099999998"/>
    <n v="5156.5200000000004"/>
    <n v="0"/>
  </r>
  <r>
    <x v="0"/>
    <s v="5025 - CULTURA"/>
    <x v="271"/>
    <n v="0"/>
    <n v="0"/>
    <n v="0"/>
  </r>
  <r>
    <x v="0"/>
    <s v="3006 - TRANSPORTE TERRESTRE E TRANSITO"/>
    <x v="274"/>
    <n v="0"/>
    <n v="0"/>
    <n v="0"/>
  </r>
  <r>
    <x v="0"/>
    <s v="2223 - A HORA DO TURISMO"/>
    <x v="275"/>
    <n v="0"/>
    <n v="0"/>
    <n v="0"/>
  </r>
  <r>
    <x v="0"/>
    <s v="6012 - DEFESA NACIONAL"/>
    <x v="276"/>
    <n v="23800"/>
    <n v="0"/>
    <n v="0"/>
  </r>
  <r>
    <x v="0"/>
    <s v="3006 - TRANSPORTE TERRESTRE E TRANSITO"/>
    <x v="277"/>
    <n v="0"/>
    <n v="0"/>
    <n v="0"/>
  </r>
  <r>
    <x v="0"/>
    <s v="6012 - DEFESA NACIONAL"/>
    <x v="278"/>
    <n v="458744.34"/>
    <n v="10762.04"/>
    <n v="10762.04"/>
  </r>
  <r>
    <x v="0"/>
    <s v="2015 - FORTALECIMENTO DO SISTEMA UNICO DE SAUDE (SUS)"/>
    <x v="234"/>
    <n v="0"/>
    <n v="0"/>
    <n v="0"/>
  </r>
  <r>
    <x v="0"/>
    <s v="2084 - RECURSOS HIDRICOS"/>
    <x v="194"/>
    <n v="0"/>
    <n v="0"/>
    <n v="0"/>
  </r>
  <r>
    <x v="0"/>
    <s v="6012 - DEFESA NACIONAL"/>
    <x v="279"/>
    <n v="0"/>
    <n v="0"/>
    <n v="0"/>
  </r>
  <r>
    <x v="0"/>
    <s v="2221 - RECURSOS HIDRICOS"/>
    <x v="280"/>
    <n v="0"/>
    <n v="0"/>
    <n v="0"/>
  </r>
  <r>
    <x v="0"/>
    <s v="1040 - GOVERNANCA FUNDIARIA"/>
    <x v="281"/>
    <n v="0"/>
    <n v="0"/>
    <n v="0"/>
  </r>
  <r>
    <x v="0"/>
    <s v="2217 - DESENVOLVIMENTO REGIONAL, TERRITORIAL E URBANO"/>
    <x v="282"/>
    <n v="0"/>
    <n v="0"/>
    <n v="0"/>
  </r>
  <r>
    <x v="0"/>
    <s v="5018 - ATENCAO ESPECIALIZADA A SAUDE"/>
    <x v="283"/>
    <n v="2180000"/>
    <n v="1090000"/>
    <n v="1090000"/>
  </r>
  <r>
    <x v="0"/>
    <s v="2015 - FORTALECIMENTO DO SISTEMA UNICO DE SAUDE (SUS)"/>
    <x v="284"/>
    <n v="0"/>
    <n v="0"/>
    <n v="0"/>
  </r>
  <r>
    <x v="0"/>
    <s v="2208 - TECNOLOGIAS APLICADAS, INOVACAO E DESENVOLVIMENTO SUSTENTAVEL"/>
    <x v="285"/>
    <n v="10463872.949999999"/>
    <n v="5458046.6500000004"/>
    <n v="5458046.6500000004"/>
  </r>
  <r>
    <x v="0"/>
    <s v="5019 - ATENCAO PRIMARIA A SAUDE"/>
    <x v="286"/>
    <n v="0"/>
    <n v="0"/>
    <n v="0"/>
  </r>
  <r>
    <x v="0"/>
    <s v="2217 - DESENVOLVIMENTO REGIONAL, TERRITORIAL E URBANO"/>
    <x v="287"/>
    <n v="0"/>
    <n v="0"/>
    <n v="0"/>
  </r>
  <r>
    <x v="0"/>
    <s v="0909 - OPERACOES ESPECIAIS: OUTROS ENCARGOS ESPECIAIS"/>
    <x v="288"/>
    <n v="6166667"/>
    <n v="5815250"/>
    <n v="0"/>
  </r>
  <r>
    <x v="0"/>
    <s v="2216 - POLITICA EXTERNA"/>
    <x v="289"/>
    <n v="1478668.37"/>
    <n v="16634.91"/>
    <n v="7765.08"/>
  </r>
  <r>
    <x v="0"/>
    <s v="0902 - OPERACOES ESPECIAIS: FINANCIAMENTOS COM RETORNO"/>
    <x v="290"/>
    <n v="4413485665"/>
    <n v="401853191.01999998"/>
    <n v="401853191.01999998"/>
  </r>
  <r>
    <x v="0"/>
    <s v="2029 - DESENVOLVIMENTO REGIONAL E TERRITORIAL"/>
    <x v="196"/>
    <n v="0"/>
    <n v="0"/>
    <n v="0"/>
  </r>
  <r>
    <x v="0"/>
    <s v="1031 - AGROPECUARIA SUSTENTAVEL"/>
    <x v="291"/>
    <n v="0"/>
    <n v="0"/>
    <n v="0"/>
  </r>
  <r>
    <x v="0"/>
    <s v="5018 - ATENCAO ESPECIALIZADA A SAUDE"/>
    <x v="292"/>
    <n v="1616176.75"/>
    <n v="542560.32999999996"/>
    <n v="15380.52"/>
  </r>
  <r>
    <x v="0"/>
    <s v="1041 - CONSERVACAO E USO SUSTENTAVEL DA BIODIVERSIDADE E DOS RECURSOS NATURAIS"/>
    <x v="293"/>
    <n v="147222"/>
    <n v="0"/>
    <n v="0"/>
  </r>
  <r>
    <x v="0"/>
    <s v="1031 - AGROPECUARIA SUSTENTAVEL"/>
    <x v="294"/>
    <n v="0"/>
    <n v="0"/>
    <n v="0"/>
  </r>
  <r>
    <x v="0"/>
    <s v="0032 - PROGRAMA DE GESTAO E MANUTENCAO DO PODER EXECUTIVO"/>
    <x v="295"/>
    <n v="57230.73"/>
    <n v="0"/>
    <n v="0"/>
  </r>
  <r>
    <x v="0"/>
    <s v="2217 - DESENVOLVIMENTO REGIONAL, TERRITORIAL E URBANO"/>
    <x v="296"/>
    <n v="0"/>
    <n v="0"/>
    <n v="0"/>
  </r>
  <r>
    <x v="0"/>
    <s v="0033 - PROGRAMA DE GESTAO E MANUTENCAO DO PODER JUDICIARIO"/>
    <x v="297"/>
    <n v="0"/>
    <n v="0"/>
    <n v="0"/>
  </r>
  <r>
    <x v="0"/>
    <s v="0903 - OPERACOES ESPECIAIS: TRANSFERENCIAS CONSTITUCIONAIS E AS DECORRENTES DE LEGISLACAO ESPECIFICA"/>
    <x v="298"/>
    <n v="2410958176"/>
    <n v="13041940.029999999"/>
    <n v="13041940.029999999"/>
  </r>
  <r>
    <x v="0"/>
    <s v="5035 - PROMOCAO DE CIDADANIA POR MEIO DO AUXILIO BRASIL E DA ARTICULACAO DE POLITICAS PUBLICAS"/>
    <x v="299"/>
    <n v="0"/>
    <n v="0"/>
    <n v="0"/>
  </r>
  <r>
    <x v="0"/>
    <s v="5026 - ESPORTE"/>
    <x v="300"/>
    <n v="0"/>
    <n v="0"/>
    <n v="0"/>
  </r>
  <r>
    <x v="0"/>
    <s v="6012 - DEFESA NACIONAL"/>
    <x v="301"/>
    <n v="0"/>
    <n v="0"/>
    <n v="0"/>
  </r>
  <r>
    <x v="0"/>
    <s v="5031 - PROTECAO SOCIAL NO AMBITO DO SISTEMA UNICO DE ASSISTENCIA SOCIAL (SUAS)"/>
    <x v="302"/>
    <n v="0"/>
    <n v="0"/>
    <n v="0"/>
  </r>
  <r>
    <x v="0"/>
    <s v="5025 - CULTURA"/>
    <x v="303"/>
    <n v="0"/>
    <n v="0"/>
    <n v="0"/>
  </r>
  <r>
    <x v="0"/>
    <s v="3001 - ENERGIA ELETRICA"/>
    <x v="304"/>
    <n v="6264705.7699999996"/>
    <n v="0"/>
    <n v="0"/>
  </r>
  <r>
    <x v="0"/>
    <s v="5034 - PROTECAO A VIDA, FORTALECIMENTO DA FAMILIA, PROMOCAO E DEFESA DOS DIREITOS HUMANOS PARA TODOS"/>
    <x v="305"/>
    <n v="12000000"/>
    <n v="0"/>
    <n v="0"/>
  </r>
  <r>
    <x v="0"/>
    <s v="0909 - OPERACOES ESPECIAIS: OUTROS ENCARGOS ESPECIAIS"/>
    <x v="306"/>
    <n v="2764637786"/>
    <n v="0"/>
    <n v="0"/>
  </r>
  <r>
    <x v="0"/>
    <s v="5031 - PROTECAO SOCIAL NO AMBITO DO SISTEMA UNICO DE ASSISTENCIA SOCIAL (SUAS)"/>
    <x v="307"/>
    <n v="0"/>
    <n v="0"/>
    <n v="0"/>
  </r>
  <r>
    <x v="0"/>
    <s v="2081 - JUSTICA, CIDADANIA E SEGURANCA PUBLICA"/>
    <x v="308"/>
    <n v="0"/>
    <n v="0"/>
    <n v="0"/>
  </r>
  <r>
    <x v="0"/>
    <s v="3006 - TRANSPORTE TERRESTRE E TRANSITO"/>
    <x v="309"/>
    <n v="0"/>
    <n v="0"/>
    <n v="0"/>
  </r>
  <r>
    <x v="0"/>
    <s v="2220 - MORADIA DIGNA"/>
    <x v="36"/>
    <n v="0"/>
    <n v="0"/>
    <n v="0"/>
  </r>
  <r>
    <x v="0"/>
    <s v="3006 - TRANSPORTE TERRESTRE E TRANSITO"/>
    <x v="310"/>
    <n v="0"/>
    <n v="0"/>
    <n v="0"/>
  </r>
  <r>
    <x v="0"/>
    <s v="5027 - INCLUSAO PRODUTIVA DE PESSOAS EM SITUACAO DE VULNERABILIDADE SOCIAL"/>
    <x v="311"/>
    <n v="0"/>
    <n v="0"/>
    <n v="0"/>
  </r>
  <r>
    <x v="0"/>
    <s v="5021 - GESTAO E ORGANIZACAO DO SUS"/>
    <x v="312"/>
    <n v="1200213.8999999999"/>
    <n v="257339.02"/>
    <n v="157478.37"/>
  </r>
  <r>
    <x v="0"/>
    <s v="6012 - DEFESA NACIONAL"/>
    <x v="313"/>
    <n v="0"/>
    <n v="0"/>
    <n v="0"/>
  </r>
  <r>
    <x v="0"/>
    <s v="2213 - MODERNIZACAO TRABALHISTA E TRABALHO DIGNO"/>
    <x v="314"/>
    <n v="0"/>
    <n v="0"/>
    <n v="0"/>
  </r>
  <r>
    <x v="0"/>
    <s v="2213 - MODERNIZACAO TRABALHISTA E TRABALHO DIGNO"/>
    <x v="315"/>
    <n v="171990.51"/>
    <n v="0"/>
    <n v="0"/>
  </r>
  <r>
    <x v="0"/>
    <s v="2015 - FORTALECIMENTO DO SISTEMA UNICO DE SAUDE (SUS)"/>
    <x v="316"/>
    <n v="0"/>
    <n v="0"/>
    <n v="0"/>
  </r>
  <r>
    <x v="0"/>
    <s v="5015 - JUSTICA"/>
    <x v="317"/>
    <n v="256989.82"/>
    <n v="14001.48"/>
    <n v="14001.48"/>
  </r>
  <r>
    <x v="0"/>
    <s v="5018 - ATENCAO ESPECIALIZADA A SAUDE"/>
    <x v="318"/>
    <n v="0"/>
    <n v="0"/>
    <n v="0"/>
  </r>
  <r>
    <x v="0"/>
    <s v="2049 - MORADIA DIGNA"/>
    <x v="319"/>
    <n v="0"/>
    <n v="0"/>
    <n v="0"/>
  </r>
  <r>
    <x v="0"/>
    <s v="5029 - PRODUCAO DE DADOS E CONHECIMENTO PARA O APRIMORAMENTO DE POLITICAS PUBLICAS"/>
    <x v="320"/>
    <n v="0"/>
    <n v="0"/>
    <n v="0"/>
  </r>
  <r>
    <x v="0"/>
    <s v="6012 - DEFESA NACIONAL"/>
    <x v="321"/>
    <n v="0"/>
    <n v="0"/>
    <n v="0"/>
  </r>
  <r>
    <x v="0"/>
    <s v="2217 - DESENVOLVIMENTO REGIONAL, TERRITORIAL E URBANO"/>
    <x v="322"/>
    <n v="0"/>
    <n v="0"/>
    <n v="0"/>
  </r>
  <r>
    <x v="0"/>
    <s v="6012 - DEFESA NACIONAL"/>
    <x v="38"/>
    <n v="0"/>
    <n v="0"/>
    <n v="0"/>
  </r>
  <r>
    <x v="0"/>
    <s v="1031 - AGROPECUARIA SUSTENTAVEL"/>
    <x v="323"/>
    <n v="5730861757"/>
    <n v="1618.4"/>
    <n v="1618.4"/>
  </r>
  <r>
    <x v="0"/>
    <s v="5023 - VIGILANCIA EM SAUDE"/>
    <x v="324"/>
    <n v="443528.24"/>
    <n v="34758.239999999998"/>
    <n v="19679.77"/>
  </r>
  <r>
    <x v="0"/>
    <s v="5033 - SEGURANCA ALIMENTAR E NUTRICIONAL"/>
    <x v="325"/>
    <n v="0"/>
    <n v="0"/>
    <n v="0"/>
  </r>
  <r>
    <x v="0"/>
    <s v="5021 - GESTAO E ORGANIZACAO DO SUS"/>
    <x v="326"/>
    <n v="0"/>
    <n v="0"/>
    <n v="0"/>
  </r>
  <r>
    <x v="0"/>
    <s v="2221 - RECURSOS HIDRICOS"/>
    <x v="327"/>
    <n v="0"/>
    <n v="0"/>
    <n v="0"/>
  </r>
  <r>
    <x v="0"/>
    <s v="0907 - OPERACOES ESPECIAIS: REFINANCIAMENTO DA DIVIDA INTERNA"/>
    <x v="328"/>
    <n v="561094325085.04004"/>
    <n v="420308958123.21002"/>
    <n v="420308958123.21002"/>
  </r>
  <r>
    <x v="0"/>
    <s v="2212 - MELHORIA DO AMBIENTE DE NEGOCIOS E DA PRODUTIVIDADE"/>
    <x v="329"/>
    <n v="0"/>
    <n v="0"/>
    <n v="0"/>
  </r>
  <r>
    <x v="0"/>
    <s v="5018 - ATENCAO ESPECIALIZADA A SAUDE"/>
    <x v="330"/>
    <n v="13805857.48"/>
    <n v="78179.350000000006"/>
    <n v="41001.410000000003"/>
  </r>
  <r>
    <x v="0"/>
    <s v="2222 - SANEAMENTO BASICO"/>
    <x v="331"/>
    <n v="0"/>
    <n v="0"/>
    <n v="0"/>
  </r>
  <r>
    <x v="0"/>
    <s v="3006 - TRANSPORTE TERRESTRE E TRANSITO"/>
    <x v="332"/>
    <n v="2000000"/>
    <n v="0"/>
    <n v="0"/>
  </r>
  <r>
    <x v="0"/>
    <s v="2208 - TECNOLOGIAS APLICADAS, INOVACAO E DESENVOLVIMENTO SUSTENTAVEL"/>
    <x v="333"/>
    <n v="189060.67"/>
    <n v="189060.67"/>
    <n v="189060.67"/>
  </r>
  <r>
    <x v="0"/>
    <s v="3006 - TRANSPORTE TERRESTRE E TRANSITO"/>
    <x v="334"/>
    <n v="0"/>
    <n v="0"/>
    <n v="0"/>
  </r>
  <r>
    <x v="0"/>
    <s v="0033 - PROGRAMA DE GESTAO E MANUTENCAO DO PODER JUDICIARIO"/>
    <x v="335"/>
    <n v="0"/>
    <n v="0"/>
    <n v="0"/>
  </r>
  <r>
    <x v="0"/>
    <s v="0032 - PROGRAMA DE GESTAO E MANUTENCAO DO PODER EXECUTIVO"/>
    <x v="336"/>
    <n v="0"/>
    <n v="0"/>
    <n v="0"/>
  </r>
  <r>
    <x v="0"/>
    <s v="6012 - DEFESA NACIONAL"/>
    <x v="337"/>
    <n v="0"/>
    <n v="0"/>
    <n v="0"/>
  </r>
  <r>
    <x v="0"/>
    <s v="5034 - PROTECAO A VIDA, FORTALECIMENTO DA FAMILIA, PROMOCAO E DEFESA DOS DIREITOS HUMANOS PARA TODOS"/>
    <x v="338"/>
    <n v="0"/>
    <n v="0"/>
    <n v="0"/>
  </r>
  <r>
    <x v="0"/>
    <s v="2221 - RECURSOS HIDRICOS"/>
    <x v="339"/>
    <n v="0"/>
    <n v="0"/>
    <n v="0"/>
  </r>
  <r>
    <x v="0"/>
    <s v="6012 - DEFESA NACIONAL"/>
    <x v="340"/>
    <n v="0"/>
    <n v="0"/>
    <n v="0"/>
  </r>
  <r>
    <x v="0"/>
    <s v="0032 - PROGRAMA DE GESTAO E MANUTENCAO DO PODER EXECUTIVO"/>
    <x v="341"/>
    <n v="131371.39000000001"/>
    <n v="0"/>
    <n v="0"/>
  </r>
  <r>
    <x v="0"/>
    <s v="2040 - GESTAO DE RISCOS E DE DESASTRES"/>
    <x v="342"/>
    <n v="0"/>
    <n v="0"/>
    <n v="0"/>
  </r>
  <r>
    <x v="0"/>
    <s v="0122 - SERVICOS URBANOS DE AGUA E ESGOTO"/>
    <x v="343"/>
    <n v="0"/>
    <n v="0"/>
    <n v="0"/>
  </r>
  <r>
    <x v="0"/>
    <s v="2068 - SANEAMENTO BASICO"/>
    <x v="343"/>
    <n v="0"/>
    <n v="0"/>
    <n v="0"/>
  </r>
  <r>
    <x v="0"/>
    <s v="0910 - OPERACOES ESPECIAIS: GESTAO DA PARTICIPACAO EM ORGANISMOS E ENTIDADES NACIONAIS E INTERNACIONAIS"/>
    <x v="344"/>
    <n v="0"/>
    <n v="0"/>
    <n v="0"/>
  </r>
  <r>
    <x v="0"/>
    <s v="2214 - NOVA PREVIDENCIA"/>
    <x v="345"/>
    <n v="95291609.959999993"/>
    <n v="53107352.840000004"/>
    <n v="16188132.98"/>
  </r>
  <r>
    <x v="0"/>
    <s v="0909 - OPERACOES ESPECIAIS: OUTROS ENCARGOS ESPECIAIS"/>
    <x v="346"/>
    <n v="0"/>
    <n v="0"/>
    <n v="0"/>
  </r>
  <r>
    <x v="0"/>
    <s v="0905 - OPERACOES ESPECIAIS: SERVICO DA DIVIDA INTERNA (JUROS EAMORTIZACOES)"/>
    <x v="347"/>
    <n v="53422000"/>
    <n v="4144076.19"/>
    <n v="4144076.19"/>
  </r>
  <r>
    <x v="0"/>
    <s v="0032 - PROGRAMA DE GESTAO E MANUTENCAO DO PODER EXECUTIVO"/>
    <x v="348"/>
    <n v="0"/>
    <n v="0"/>
    <n v="0"/>
  </r>
  <r>
    <x v="0"/>
    <s v="0032 - PROGRAMA DE GESTAO E MANUTENCAO DO PODER EXECUTIVO"/>
    <x v="349"/>
    <n v="380771.84000000003"/>
    <n v="70031.94"/>
    <n v="48004.77"/>
  </r>
  <r>
    <x v="0"/>
    <s v="3006 - TRANSPORTE TERRESTRE E TRANSITO"/>
    <x v="350"/>
    <n v="0"/>
    <n v="0"/>
    <n v="0"/>
  </r>
  <r>
    <x v="0"/>
    <s v="2213 - MODERNIZACAO TRABALHISTA E TRABALHO DIGNO"/>
    <x v="351"/>
    <n v="0"/>
    <n v="0"/>
    <n v="0"/>
  </r>
  <r>
    <x v="0"/>
    <s v="2211 - INSERCAO ECONOMICA INTERNACIONAL"/>
    <x v="352"/>
    <n v="0"/>
    <n v="0"/>
    <n v="0"/>
  </r>
  <r>
    <x v="0"/>
    <s v="2213 - MODERNIZACAO TRABALHISTA E TRABALHO DIGNO"/>
    <x v="353"/>
    <n v="28214474.100000001"/>
    <n v="0"/>
    <n v="0"/>
  </r>
  <r>
    <x v="0"/>
    <s v="0032 - PROGRAMA DE GESTAO E MANUTENCAO DO PODER EXECUTIVO"/>
    <x v="354"/>
    <n v="0"/>
    <n v="0"/>
    <n v="0"/>
  </r>
  <r>
    <x v="0"/>
    <s v="3006 - TRANSPORTE TERRESTRE E TRANSITO"/>
    <x v="355"/>
    <n v="0"/>
    <n v="0"/>
    <n v="0"/>
  </r>
  <r>
    <x v="0"/>
    <s v="0032 - PROGRAMA DE GESTAO E MANUTENCAO DO PODER EXECUTIVO"/>
    <x v="356"/>
    <n v="3936613.14"/>
    <n v="3078975.29"/>
    <n v="341259.1"/>
  </r>
  <r>
    <x v="0"/>
    <s v="2021 - CIENCIA, TECNOLOGIA E INOVACAO"/>
    <x v="183"/>
    <n v="0"/>
    <n v="0"/>
    <n v="0"/>
  </r>
  <r>
    <x v="0"/>
    <s v="0032 - PROGRAMA DE GESTAO E MANUTENCAO DO PODER EXECUTIVO"/>
    <x v="357"/>
    <n v="23497778439.330002"/>
    <n v="2341819487"/>
    <n v="368819087.13999999"/>
  </r>
  <r>
    <x v="0"/>
    <s v="4003 - GARANTIA DA ESTABILIDADE MONETARIA E FINANCEIRA"/>
    <x v="358"/>
    <n v="90000"/>
    <n v="9004.75"/>
    <n v="9004.75"/>
  </r>
  <r>
    <x v="0"/>
    <s v="3006 - TRANSPORTE TERRESTRE E TRANSITO"/>
    <x v="359"/>
    <n v="0"/>
    <n v="0"/>
    <n v="0"/>
  </r>
  <r>
    <x v="0"/>
    <s v="3006 - TRANSPORTE TERRESTRE E TRANSITO"/>
    <x v="360"/>
    <n v="0"/>
    <n v="0"/>
    <n v="0"/>
  </r>
  <r>
    <x v="0"/>
    <s v="2222 - SANEAMENTO BASICO"/>
    <x v="361"/>
    <n v="0"/>
    <n v="0"/>
    <n v="0"/>
  </r>
  <r>
    <x v="0"/>
    <s v="2216 - POLITICA EXTERNA"/>
    <x v="362"/>
    <n v="127482.5"/>
    <n v="127482.5"/>
    <n v="127482.5"/>
  </r>
  <r>
    <x v="0"/>
    <s v="0032 - PROGRAMA DE GESTAO E MANUTENCAO DO PODER EXECUTIVO"/>
    <x v="363"/>
    <n v="450000"/>
    <n v="402918"/>
    <n v="0"/>
  </r>
  <r>
    <x v="0"/>
    <s v="2215 - POLITICA ECONOMICA E EQUILIBRIO FISCAL"/>
    <x v="364"/>
    <n v="0"/>
    <n v="0"/>
    <n v="0"/>
  </r>
  <r>
    <x v="0"/>
    <s v="2080 - EDUCACAO DE QUALIDADE PARA TODOS"/>
    <x v="365"/>
    <n v="0"/>
    <n v="0"/>
    <n v="0"/>
  </r>
  <r>
    <x v="0"/>
    <s v="5018 - ATENCAO ESPECIALIZADA A SAUDE"/>
    <x v="366"/>
    <n v="78061222.799999997"/>
    <n v="18618851.68"/>
    <n v="5062465.07"/>
  </r>
  <r>
    <x v="0"/>
    <s v="3006 - TRANSPORTE TERRESTRE E TRANSITO"/>
    <x v="367"/>
    <n v="109391393.95999999"/>
    <n v="0"/>
    <n v="0"/>
  </r>
  <r>
    <x v="0"/>
    <s v="0903 - OPERACOES ESPECIAIS: TRANSFERENCIAS CONSTITUCIONAIS E AS DECORRENTES DE LEGISLACAO ESPECIFICA"/>
    <x v="368"/>
    <n v="261184474.37"/>
    <n v="6537319.0099999998"/>
    <n v="1185035.6599999999"/>
  </r>
  <r>
    <x v="0"/>
    <s v="0910 - OPERACOES ESPECIAIS: GESTAO DA PARTICIPACAO EM ORGANISMOS E ENTIDADES NACIONAIS E INTERNACIONAIS"/>
    <x v="369"/>
    <n v="940939.58"/>
    <n v="921447.73"/>
    <n v="849335.93"/>
  </r>
  <r>
    <x v="0"/>
    <s v="5033 - SEGURANCA ALIMENTAR E NUTRICIONAL"/>
    <x v="370"/>
    <n v="0"/>
    <n v="0"/>
    <n v="0"/>
  </r>
  <r>
    <x v="0"/>
    <s v="2214 - NOVA PREVIDENCIA"/>
    <x v="371"/>
    <n v="0"/>
    <n v="0"/>
    <n v="0"/>
  </r>
  <r>
    <x v="0"/>
    <s v="2214 - NOVA PREVIDENCIA"/>
    <x v="372"/>
    <n v="1552935.24"/>
    <n v="144940.85"/>
    <n v="135671.85999999999"/>
  </r>
  <r>
    <x v="0"/>
    <s v="0617 - PROTECAO E PROMOCAO DOS DIREITOS DOS POVOS INDIGENAS"/>
    <x v="373"/>
    <n v="0"/>
    <n v="0"/>
    <n v="0"/>
  </r>
  <r>
    <x v="0"/>
    <s v="5017 - ASSISTENCIA FARMACEUTICA NO SUS"/>
    <x v="374"/>
    <n v="2965491231.7199998"/>
    <n v="103281914.38"/>
    <n v="52789955.43"/>
  </r>
  <r>
    <x v="0"/>
    <s v="0903 - OPERACOES ESPECIAIS: TRANSFERENCIAS CONSTITUCIONAIS E AS DECORRENTES DE LEGISLACAO ESPECIFICA"/>
    <x v="375"/>
    <n v="8244019280"/>
    <n v="146600154.93000001"/>
    <n v="146600154.93000001"/>
  </r>
  <r>
    <x v="0"/>
    <s v="0033 - PROGRAMA DE GESTAO E MANUTENCAO DO PODER JUDICIARIO"/>
    <x v="376"/>
    <n v="78330.22"/>
    <n v="0"/>
    <n v="0"/>
  </r>
  <r>
    <x v="0"/>
    <s v="5031 - PROTECAO SOCIAL NO AMBITO DO SISTEMA UNICO DE ASSISTENCIA SOCIAL (SUAS)"/>
    <x v="377"/>
    <n v="0"/>
    <n v="0"/>
    <n v="0"/>
  </r>
  <r>
    <x v="0"/>
    <s v="2058 - DEFESA NACIONAL"/>
    <x v="378"/>
    <n v="0"/>
    <n v="0"/>
    <n v="0"/>
  </r>
  <r>
    <x v="0"/>
    <s v="3004 - AVIACAO CIVIL"/>
    <x v="379"/>
    <n v="0"/>
    <n v="0"/>
    <n v="0"/>
  </r>
  <r>
    <x v="0"/>
    <s v="0903 - OPERACOES ESPECIAIS: TRANSFERENCIAS CONSTITUCIONAIS E AS DECORRENTES DE LEGISLACAO ESPECIFICA"/>
    <x v="380"/>
    <n v="60622099"/>
    <n v="3808230.33"/>
    <n v="3808230.33"/>
  </r>
  <r>
    <x v="0"/>
    <s v="2207 - PROGRAMA ESPACIAL BRASILEIRO"/>
    <x v="381"/>
    <n v="15000"/>
    <n v="0"/>
    <n v="0"/>
  </r>
  <r>
    <x v="0"/>
    <s v="2217 - DESENVOLVIMENTO REGIONAL, TERRITORIAL E URBANO"/>
    <x v="382"/>
    <n v="0"/>
    <n v="0"/>
    <n v="0"/>
  </r>
  <r>
    <x v="0"/>
    <s v="0032 - PROGRAMA DE GESTAO E MANUTENCAO DO PODER EXECUTIVO"/>
    <x v="383"/>
    <n v="26094873996.169998"/>
    <n v="2576337867.6300001"/>
    <n v="994728760.87"/>
  </r>
  <r>
    <x v="0"/>
    <s v="2216 - POLITICA EXTERNA"/>
    <x v="384"/>
    <n v="77000"/>
    <n v="0"/>
    <n v="0"/>
  </r>
  <r>
    <x v="0"/>
    <s v="2209 - BRASIL, NOSSO PROPOSITO"/>
    <x v="385"/>
    <n v="0"/>
    <n v="0"/>
    <n v="0"/>
  </r>
  <r>
    <x v="0"/>
    <s v="5011 - EDUCACAO BASICA DE QUALIDADE"/>
    <x v="386"/>
    <n v="0"/>
    <n v="0"/>
    <n v="0"/>
  </r>
  <r>
    <x v="0"/>
    <s v="1031 - AGROPECUARIA SUSTENTAVEL"/>
    <x v="387"/>
    <n v="0"/>
    <n v="0"/>
    <n v="0"/>
  </r>
  <r>
    <x v="0"/>
    <s v="5017 - ASSISTENCIA FARMACEUTICA NO SUS"/>
    <x v="388"/>
    <n v="298845798.56999999"/>
    <n v="132675880.41"/>
    <n v="106649229.77"/>
  </r>
  <r>
    <x v="0"/>
    <s v="2081 - JUSTICA, CIDADANIA E SEGURANCA PUBLICA"/>
    <x v="389"/>
    <n v="0"/>
    <n v="0"/>
    <n v="0"/>
  </r>
  <r>
    <x v="0"/>
    <s v="0902 - OPERACOES ESPECIAIS: FINANCIAMENTOS COM RETORNO"/>
    <x v="390"/>
    <n v="0"/>
    <n v="0"/>
    <n v="0"/>
  </r>
  <r>
    <x v="0"/>
    <s v="6012 - DEFESA NACIONAL"/>
    <x v="391"/>
    <n v="58416.15"/>
    <n v="3731.9"/>
    <n v="3731.9"/>
  </r>
  <r>
    <x v="0"/>
    <s v="3006 - TRANSPORTE TERRESTRE E TRANSITO"/>
    <x v="392"/>
    <n v="0"/>
    <n v="0"/>
    <n v="0"/>
  </r>
  <r>
    <x v="0"/>
    <s v="5034 - PROTECAO A VIDA, FORTALECIMENTO DA FAMILIA, PROMOCAO E DEFESA DOS DIREITOS HUMANOS PARA TODOS"/>
    <x v="393"/>
    <n v="129000"/>
    <n v="0"/>
    <n v="0"/>
  </r>
  <r>
    <x v="0"/>
    <s v="5013 - EDUCACAO SUPERIOR - GRADUACAO, POS-GRADUACAO, ENSINO, PESQUISA E EXTENSAO"/>
    <x v="394"/>
    <n v="0"/>
    <n v="0"/>
    <n v="0"/>
  </r>
  <r>
    <x v="0"/>
    <s v="0122 - SERVICOS URBANOS DE AGUA E ESGOTO"/>
    <x v="395"/>
    <n v="0"/>
    <n v="0"/>
    <n v="0"/>
  </r>
  <r>
    <x v="0"/>
    <s v="2080 - EDUCACAO DE QUALIDADE PARA TODOS"/>
    <x v="396"/>
    <n v="0"/>
    <n v="0"/>
    <n v="0"/>
  </r>
  <r>
    <x v="0"/>
    <s v="3003 - PETROLEO, GAS, DERIVADOS E BIOCOMBUSTIVEIS"/>
    <x v="397"/>
    <n v="0"/>
    <n v="0"/>
    <n v="0"/>
  </r>
  <r>
    <x v="0"/>
    <s v="2205 - CONECTA BRASIL"/>
    <x v="398"/>
    <n v="0"/>
    <n v="0"/>
    <n v="0"/>
  </r>
  <r>
    <x v="0"/>
    <s v="1031 - AGROPECUARIA SUSTENTAVEL"/>
    <x v="399"/>
    <n v="7328181"/>
    <n v="0"/>
    <n v="0"/>
  </r>
  <r>
    <x v="0"/>
    <s v="6012 - DEFESA NACIONAL"/>
    <x v="378"/>
    <n v="20000"/>
    <n v="20000"/>
    <n v="20000"/>
  </r>
  <r>
    <x v="0"/>
    <s v="5013 - EDUCACAO SUPERIOR - GRADUACAO, POS-GRADUACAO, ENSINO, PESQUISA E EXTENSAO"/>
    <x v="400"/>
    <n v="2602013.73"/>
    <n v="0"/>
    <n v="0"/>
  </r>
  <r>
    <x v="0"/>
    <s v="2080 - EDUCACAO DE QUALIDADE PARA TODOS"/>
    <x v="401"/>
    <n v="0"/>
    <n v="0"/>
    <n v="0"/>
  </r>
  <r>
    <x v="0"/>
    <s v="5019 - ATENCAO PRIMARIA A SAUDE"/>
    <x v="402"/>
    <n v="628149900"/>
    <n v="628149900"/>
    <n v="628149900"/>
  </r>
  <r>
    <x v="0"/>
    <s v="2217 - DESENVOLVIMENTO REGIONAL, TERRITORIAL E URBANO"/>
    <x v="403"/>
    <n v="0"/>
    <n v="0"/>
    <n v="0"/>
  </r>
  <r>
    <x v="0"/>
    <s v="5013 - EDUCACAO SUPERIOR - GRADUACAO, POS-GRADUACAO, ENSINO, PESQUISA E EXTENSAO"/>
    <x v="404"/>
    <n v="0"/>
    <n v="0"/>
    <n v="0"/>
  </r>
  <r>
    <x v="0"/>
    <s v="3006 - TRANSPORTE TERRESTRE E TRANSITO"/>
    <x v="405"/>
    <n v="0"/>
    <n v="0"/>
    <n v="0"/>
  </r>
  <r>
    <x v="0"/>
    <s v="2217 - DESENVOLVIMENTO REGIONAL, TERRITORIAL E URBANO"/>
    <x v="406"/>
    <n v="64993.93"/>
    <n v="14993.93"/>
    <n v="0"/>
  </r>
  <r>
    <x v="0"/>
    <s v="5011 - EDUCACAO BASICA DE QUALIDADE"/>
    <x v="407"/>
    <n v="0"/>
    <n v="0"/>
    <n v="0"/>
  </r>
  <r>
    <x v="0"/>
    <s v="5013 - EDUCACAO SUPERIOR - GRADUACAO, POS-GRADUACAO, ENSINO, PESQUISA E EXTENSAO"/>
    <x v="408"/>
    <n v="9000"/>
    <n v="0"/>
    <n v="0"/>
  </r>
  <r>
    <x v="0"/>
    <s v="5013 - EDUCACAO SUPERIOR - GRADUACAO, POS-GRADUACAO, ENSINO, PESQUISA E EXTENSAO"/>
    <x v="409"/>
    <n v="330000"/>
    <n v="330000"/>
    <n v="0"/>
  </r>
  <r>
    <x v="0"/>
    <s v="0032 - PROGRAMA DE GESTAO E MANUTENCAO DO PODER EXECUTIVO"/>
    <x v="410"/>
    <n v="0"/>
    <n v="0"/>
    <n v="0"/>
  </r>
  <r>
    <x v="0"/>
    <s v="3006 - TRANSPORTE TERRESTRE E TRANSITO"/>
    <x v="411"/>
    <n v="0"/>
    <n v="0"/>
    <n v="0"/>
  </r>
  <r>
    <x v="0"/>
    <s v="5019 - ATENCAO PRIMARIA A SAUDE"/>
    <x v="412"/>
    <n v="0"/>
    <n v="0"/>
    <n v="0"/>
  </r>
  <r>
    <x v="0"/>
    <s v="5020 - DESENVOLVIMENTO CIENTIFICO, TECNOLOGICO E PRODUTIVO EM SAUDE"/>
    <x v="136"/>
    <n v="2057128.51"/>
    <n v="659965.68000000005"/>
    <n v="109322.62"/>
  </r>
  <r>
    <x v="0"/>
    <s v="6013 - OCEANOS, ZONA COSTEIRA E ANTARTICA"/>
    <x v="413"/>
    <n v="0"/>
    <n v="0"/>
    <n v="0"/>
  </r>
  <r>
    <x v="0"/>
    <s v="2221 - RECURSOS HIDRICOS"/>
    <x v="414"/>
    <n v="0"/>
    <n v="0"/>
    <n v="0"/>
  </r>
  <r>
    <x v="0"/>
    <s v="0033 - PROGRAMA DE GESTAO E MANUTENCAO DO PODER JUDICIARIO"/>
    <x v="415"/>
    <n v="0"/>
    <n v="0"/>
    <n v="0"/>
  </r>
  <r>
    <x v="0"/>
    <s v="3006 - TRANSPORTE TERRESTRE E TRANSITO"/>
    <x v="416"/>
    <n v="0"/>
    <n v="0"/>
    <n v="0"/>
  </r>
  <r>
    <x v="0"/>
    <s v="3006 - TRANSPORTE TERRESTRE E TRANSITO"/>
    <x v="417"/>
    <n v="0"/>
    <n v="0"/>
    <n v="0"/>
  </r>
  <r>
    <x v="0"/>
    <s v="3006 - TRANSPORTE TERRESTRE E TRANSITO"/>
    <x v="418"/>
    <n v="0"/>
    <n v="0"/>
    <n v="0"/>
  </r>
  <r>
    <x v="0"/>
    <s v="2223 - A HORA DO TURISMO"/>
    <x v="419"/>
    <n v="0"/>
    <n v="0"/>
    <n v="0"/>
  </r>
  <r>
    <x v="0"/>
    <s v="3006 - TRANSPORTE TERRESTRE E TRANSITO"/>
    <x v="420"/>
    <n v="5000000"/>
    <n v="0"/>
    <n v="0"/>
  </r>
  <r>
    <x v="0"/>
    <s v="5013 - EDUCACAO SUPERIOR - GRADUACAO, POS-GRADUACAO, ENSINO, PESQUISA E EXTENSAO"/>
    <x v="401"/>
    <n v="0"/>
    <n v="0"/>
    <n v="0"/>
  </r>
  <r>
    <x v="0"/>
    <s v="3006 - TRANSPORTE TERRESTRE E TRANSITO"/>
    <x v="421"/>
    <n v="2070350"/>
    <n v="0"/>
    <n v="0"/>
  </r>
  <r>
    <x v="0"/>
    <s v="0032 - PROGRAMA DE GESTAO E MANUTENCAO DO PODER EXECUTIVO"/>
    <x v="422"/>
    <n v="10900"/>
    <n v="0"/>
    <n v="0"/>
  </r>
  <r>
    <x v="0"/>
    <s v="5019 - ATENCAO PRIMARIA A SAUDE"/>
    <x v="423"/>
    <n v="0"/>
    <n v="0"/>
    <n v="0"/>
  </r>
  <r>
    <x v="0"/>
    <s v="2221 - RECURSOS HIDRICOS"/>
    <x v="424"/>
    <n v="141591.18"/>
    <n v="81727.490000000005"/>
    <n v="57479.08"/>
  </r>
  <r>
    <x v="0"/>
    <s v="0032 - PROGRAMA DE GESTAO E MANUTENCAO DO PODER EXECUTIVO"/>
    <x v="425"/>
    <n v="0"/>
    <n v="0"/>
    <n v="0"/>
  </r>
  <r>
    <x v="0"/>
    <s v="2220 - MORADIA DIGNA"/>
    <x v="426"/>
    <n v="0"/>
    <n v="0"/>
    <n v="0"/>
  </r>
  <r>
    <x v="0"/>
    <s v="2219 - MOBILIDADE URBANA"/>
    <x v="427"/>
    <n v="0"/>
    <n v="0"/>
    <n v="0"/>
  </r>
  <r>
    <x v="0"/>
    <s v="2209 - BRASIL, NOSSO PROPOSITO"/>
    <x v="428"/>
    <n v="33600"/>
    <n v="8173.68"/>
    <n v="8173.68"/>
  </r>
  <r>
    <x v="0"/>
    <s v="2206 - POLITICA NUCLEAR"/>
    <x v="429"/>
    <n v="44925.95"/>
    <n v="11323.92"/>
    <n v="7292.26"/>
  </r>
  <r>
    <x v="0"/>
    <s v="6011 - COOPERACAO COM O DESENVOLVIMENTO NACIONAL"/>
    <x v="430"/>
    <n v="2579800"/>
    <n v="20785.04"/>
    <n v="20785.04"/>
  </r>
  <r>
    <x v="0"/>
    <s v="4002 - SEGURANCA INSTITUCIONAL"/>
    <x v="431"/>
    <n v="6000"/>
    <n v="0"/>
    <n v="0"/>
  </r>
  <r>
    <x v="0"/>
    <s v="5011 - EDUCACAO BASICA DE QUALIDADE"/>
    <x v="432"/>
    <n v="22164000"/>
    <n v="763500"/>
    <n v="129750"/>
  </r>
  <r>
    <x v="0"/>
    <s v="0032 - PROGRAMA DE GESTAO E MANUTENCAO DO PODER EXECUTIVO"/>
    <x v="433"/>
    <n v="0"/>
    <n v="0"/>
    <n v="0"/>
  </r>
  <r>
    <x v="0"/>
    <s v="1031 - AGROPECUARIA SUSTENTAVEL"/>
    <x v="434"/>
    <n v="370000000"/>
    <n v="16632068.92"/>
    <n v="16632068.92"/>
  </r>
  <r>
    <x v="0"/>
    <s v="3005 - TRANSPORTE AQUAVIARIO"/>
    <x v="367"/>
    <n v="400000"/>
    <n v="0"/>
    <n v="0"/>
  </r>
  <r>
    <x v="0"/>
    <s v="0032 - PROGRAMA DE GESTAO E MANUTENCAO DO PODER EXECUTIVO"/>
    <x v="435"/>
    <n v="676669.43999999994"/>
    <n v="0"/>
    <n v="0"/>
  </r>
  <r>
    <x v="0"/>
    <s v="2027 - CULTURA: DIMENSAO ESSENCIAL DO DESENVOLVIMENTO"/>
    <x v="74"/>
    <n v="0"/>
    <n v="0"/>
    <n v="0"/>
  </r>
  <r>
    <x v="0"/>
    <s v="5011 - EDUCACAO BASICA DE QUALIDADE"/>
    <x v="436"/>
    <n v="0"/>
    <n v="0"/>
    <n v="0"/>
  </r>
  <r>
    <x v="0"/>
    <s v="2015 - FORTALECIMENTO DO SISTEMA UNICO DE SAUDE (SUS)"/>
    <x v="437"/>
    <n v="0"/>
    <n v="0"/>
    <n v="0"/>
  </r>
  <r>
    <x v="0"/>
    <s v="4002 - SEGURANCA INSTITUCIONAL"/>
    <x v="438"/>
    <n v="4334884.3"/>
    <n v="1495047.75"/>
    <n v="1229369.81"/>
  </r>
  <r>
    <x v="0"/>
    <s v="2203 - PESQUISA E INOVACAO AGROPECUARIA"/>
    <x v="37"/>
    <n v="0"/>
    <n v="0"/>
    <n v="0"/>
  </r>
  <r>
    <x v="0"/>
    <s v="2113 - PROGRAMA DE GESTAO E MANUTENCAO DO MINISTERIO DA PESCA E AQUICULTURA"/>
    <x v="52"/>
    <n v="0"/>
    <n v="0"/>
    <n v="0"/>
  </r>
  <r>
    <x v="0"/>
    <s v="5016 - SEGURANCA PUBLICA, COMBATE A CORRUPCAO, AO CRIME ORGANIZADO E AO CRIME VIOLENTO"/>
    <x v="439"/>
    <n v="2316.84"/>
    <n v="0"/>
    <n v="0"/>
  </r>
  <r>
    <x v="0"/>
    <s v="0909 - OPERACOES ESPECIAIS: OUTROS ENCARGOS ESPECIAIS"/>
    <x v="440"/>
    <n v="326544719.16000003"/>
    <n v="92261049.879999995"/>
    <n v="11997939.310000001"/>
  </r>
  <r>
    <x v="0"/>
    <s v="2115 - PROGRAMA DE GESTAO E MANUTENCAO DO MINISTERIO DA SAUDE"/>
    <x v="49"/>
    <n v="0"/>
    <n v="0"/>
    <n v="0"/>
  </r>
  <r>
    <x v="0"/>
    <s v="5020 - DESENVOLVIMENTO CIENTIFICO, TECNOLOGICO E PRODUTIVO EM SAUDE"/>
    <x v="441"/>
    <n v="0"/>
    <n v="0"/>
    <n v="0"/>
  </r>
  <r>
    <x v="0"/>
    <s v="6012 - DEFESA NACIONAL"/>
    <x v="442"/>
    <n v="198735.4"/>
    <n v="19932.990000000002"/>
    <n v="19932.990000000002"/>
  </r>
  <r>
    <x v="0"/>
    <s v="3005 - TRANSPORTE AQUAVIARIO"/>
    <x v="443"/>
    <n v="1291248.77"/>
    <n v="0"/>
    <n v="0"/>
  </r>
  <r>
    <x v="0"/>
    <s v="2222 - SANEAMENTO BASICO"/>
    <x v="444"/>
    <n v="0"/>
    <n v="0"/>
    <n v="0"/>
  </r>
  <r>
    <x v="0"/>
    <s v="6012 - DEFESA NACIONAL"/>
    <x v="445"/>
    <n v="0"/>
    <n v="0"/>
    <n v="0"/>
  </r>
  <r>
    <x v="0"/>
    <s v="0032 - PROGRAMA DE GESTAO E MANUTENCAO DO PODER EXECUTIVO"/>
    <x v="446"/>
    <n v="30000"/>
    <n v="0"/>
    <n v="0"/>
  </r>
  <r>
    <x v="0"/>
    <s v="5016 - SEGURANCA PUBLICA, COMBATE A CORRUPCAO, AO CRIME ORGANIZADO E AO CRIME VIOLENTO"/>
    <x v="447"/>
    <n v="0"/>
    <n v="0"/>
    <n v="0"/>
  </r>
  <r>
    <x v="0"/>
    <s v="0903 - OPERACOES ESPECIAIS: TRANSFERENCIAS CONSTITUCIONAIS E AS DECORRENTES DE LEGISLACAO ESPECIFICA"/>
    <x v="448"/>
    <n v="650634967.97000003"/>
    <n v="204875883.41"/>
    <n v="204875883.41"/>
  </r>
  <r>
    <x v="0"/>
    <s v="2222 - SANEAMENTO BASICO"/>
    <x v="449"/>
    <n v="0"/>
    <n v="0"/>
    <n v="0"/>
  </r>
  <r>
    <x v="0"/>
    <s v="3006 - TRANSPORTE TERRESTRE E TRANSITO"/>
    <x v="450"/>
    <n v="17108386"/>
    <n v="0"/>
    <n v="0"/>
  </r>
  <r>
    <x v="0"/>
    <s v="2201 - BRASIL MODERNIZA"/>
    <x v="451"/>
    <n v="15009508.9"/>
    <n v="25367.59"/>
    <n v="9819.31"/>
  </r>
  <r>
    <x v="0"/>
    <s v="1031 - AGROPECUARIA SUSTENTAVEL"/>
    <x v="452"/>
    <n v="0"/>
    <n v="0"/>
    <n v="0"/>
  </r>
  <r>
    <x v="0"/>
    <s v="3006 - TRANSPORTE TERRESTRE E TRANSITO"/>
    <x v="453"/>
    <n v="17850000"/>
    <n v="0"/>
    <n v="0"/>
  </r>
  <r>
    <x v="0"/>
    <s v="2080 - EDUCACAO DE QUALIDADE PARA TODOS"/>
    <x v="454"/>
    <n v="0"/>
    <n v="0"/>
    <n v="0"/>
  </r>
  <r>
    <x v="0"/>
    <s v="5034 - PROTECAO A VIDA, FORTALECIMENTO DA FAMILIA, PROMOCAO E DEFESA DOS DIREITOS HUMANOS PARA TODOS"/>
    <x v="455"/>
    <n v="0"/>
    <n v="0"/>
    <n v="0"/>
  </r>
  <r>
    <x v="0"/>
    <s v="2217 - DESENVOLVIMENTO REGIONAL, TERRITORIAL E URBANO"/>
    <x v="116"/>
    <n v="0"/>
    <n v="0"/>
    <n v="0"/>
  </r>
  <r>
    <x v="0"/>
    <s v="2219 - MOBILIDADE URBANA"/>
    <x v="456"/>
    <n v="0"/>
    <n v="0"/>
    <n v="0"/>
  </r>
  <r>
    <x v="0"/>
    <s v="2068 - SANEAMENTO BASICO"/>
    <x v="272"/>
    <n v="0"/>
    <n v="0"/>
    <n v="0"/>
  </r>
  <r>
    <x v="0"/>
    <s v="0903 - OPERACOES ESPECIAIS: TRANSFERENCIAS CONSTITUCIONAIS E AS DECORRENTES DE LEGISLACAO ESPECIFICA"/>
    <x v="457"/>
    <n v="377524529.58999997"/>
    <n v="226315605.66999999"/>
    <n v="484855.37"/>
  </r>
  <r>
    <x v="0"/>
    <s v="0909 - OPERACOES ESPECIAIS: OUTROS ENCARGOS ESPECIAIS"/>
    <x v="458"/>
    <n v="0"/>
    <n v="0"/>
    <n v="0"/>
  </r>
  <r>
    <x v="0"/>
    <s v="0151 - PROTECAO DE TERRAS INDIGENAS, GESTAO TERRITORIAL E ETNODESENVOLVIMENTO"/>
    <x v="459"/>
    <n v="0"/>
    <n v="0"/>
    <n v="0"/>
  </r>
  <r>
    <x v="0"/>
    <s v="2217 - DESENVOLVIMENTO REGIONAL, TERRITORIAL E URBANO"/>
    <x v="460"/>
    <n v="0"/>
    <n v="0"/>
    <n v="0"/>
  </r>
  <r>
    <x v="0"/>
    <s v="1031 - AGROPECUARIA SUSTENTAVEL"/>
    <x v="461"/>
    <n v="7712.05"/>
    <n v="0"/>
    <n v="0"/>
  </r>
  <r>
    <x v="0"/>
    <s v="5028 - INCLUSAO SOCIAL POR MEIO DO BOLSA FAMILIA E DA ARTICULACAO DE POLITICAS PUBLICAS"/>
    <x v="462"/>
    <n v="0"/>
    <n v="0"/>
    <n v="0"/>
  </r>
  <r>
    <x v="0"/>
    <s v="5031 - PROTECAO SOCIAL NO AMBITO DO SISTEMA UNICO DE ASSISTENCIA SOCIAL (SUAS)"/>
    <x v="463"/>
    <n v="0"/>
    <n v="0"/>
    <n v="0"/>
  </r>
  <r>
    <x v="0"/>
    <s v="5011 - EDUCACAO BASICA DE QUALIDADE"/>
    <x v="464"/>
    <n v="0"/>
    <n v="0"/>
    <n v="0"/>
  </r>
  <r>
    <x v="0"/>
    <s v="2221 - RECURSOS HIDRICOS"/>
    <x v="465"/>
    <n v="8734082.1899999995"/>
    <n v="44067.65"/>
    <n v="44067.65"/>
  </r>
  <r>
    <x v="0"/>
    <s v="6012 - DEFESA NACIONAL"/>
    <x v="466"/>
    <n v="0"/>
    <n v="0"/>
    <n v="0"/>
  </r>
  <r>
    <x v="0"/>
    <s v="2040 - GESTAO DE RISCOS E DE DESASTRES"/>
    <x v="467"/>
    <n v="0"/>
    <n v="0"/>
    <n v="0"/>
  </r>
  <r>
    <x v="0"/>
    <s v="1031 - AGROPECUARIA SUSTENTAVEL"/>
    <x v="468"/>
    <n v="22493.23"/>
    <n v="18413.23"/>
    <n v="18413.23"/>
  </r>
  <r>
    <x v="0"/>
    <s v="5016 - SEGURANCA PUBLICA, COMBATE A CORRUPCAO, AO CRIME ORGANIZADO E AO CRIME VIOLENTO"/>
    <x v="469"/>
    <n v="130375895.5"/>
    <n v="12871520.369999999"/>
    <n v="12852570.9"/>
  </r>
  <r>
    <x v="0"/>
    <s v="1041 - CONSERVACAO E USO SUSTENTAVEL DA BIODIVERSIDADE E DOS RECURSOS NATURAIS"/>
    <x v="470"/>
    <n v="153341.51"/>
    <n v="0"/>
    <n v="0"/>
  </r>
  <r>
    <x v="0"/>
    <s v="6012 - DEFESA NACIONAL"/>
    <x v="471"/>
    <n v="65290"/>
    <n v="0"/>
    <n v="0"/>
  </r>
  <r>
    <x v="0"/>
    <s v="0032 - PROGRAMA DE GESTAO E MANUTENCAO DO PODER EXECUTIVO"/>
    <x v="472"/>
    <n v="412000000"/>
    <n v="38833502.729999997"/>
    <n v="0"/>
  </r>
  <r>
    <x v="0"/>
    <s v="3005 - TRANSPORTE AQUAVIARIO"/>
    <x v="473"/>
    <n v="0"/>
    <n v="0"/>
    <n v="0"/>
  </r>
  <r>
    <x v="0"/>
    <s v="1031 - AGROPECUARIA SUSTENTAVEL"/>
    <x v="474"/>
    <n v="6009"/>
    <n v="5437.44"/>
    <n v="3000"/>
  </r>
  <r>
    <x v="0"/>
    <s v="5026 - ESPORTE"/>
    <x v="223"/>
    <n v="0"/>
    <n v="0"/>
    <n v="0"/>
  </r>
  <r>
    <x v="0"/>
    <s v="5021 - GESTAO E ORGANIZACAO DO SUS"/>
    <x v="475"/>
    <n v="300299.68"/>
    <n v="30911.21"/>
    <n v="19250"/>
  </r>
  <r>
    <x v="0"/>
    <s v="2048 - MOBILIDADE URBANA E TRANSITO"/>
    <x v="476"/>
    <n v="0"/>
    <n v="0"/>
    <n v="0"/>
  </r>
  <r>
    <x v="0"/>
    <s v="5021 - GESTAO E ORGANIZACAO DO SUS"/>
    <x v="477"/>
    <n v="100000"/>
    <n v="20516.38"/>
    <n v="20516.38"/>
  </r>
  <r>
    <x v="0"/>
    <s v="5034 - PROTECAO A VIDA, FORTALECIMENTO DA FAMILIA, PROMOCAO E DEFESA DOS DIREITOS HUMANOS PARA TODOS"/>
    <x v="478"/>
    <n v="0"/>
    <n v="0"/>
    <n v="0"/>
  </r>
  <r>
    <x v="0"/>
    <s v="2108 - PROGRAMA DE GESTAO E MANUTENCAO DO MINISTERIO DA DEFESA"/>
    <x v="52"/>
    <n v="0"/>
    <n v="0"/>
    <n v="0"/>
  </r>
  <r>
    <x v="0"/>
    <s v="2015 - FORTALECIMENTO DO SISTEMA UNICO DE SAUDE (SUS)"/>
    <x v="479"/>
    <n v="0"/>
    <n v="0"/>
    <n v="0"/>
  </r>
  <r>
    <x v="0"/>
    <s v="5021 - GESTAO E ORGANIZACAO DO SUS"/>
    <x v="480"/>
    <n v="400000"/>
    <n v="1205.29"/>
    <n v="1205.29"/>
  </r>
  <r>
    <x v="0"/>
    <s v="0032 - PROGRAMA DE GESTAO E MANUTENCAO DO PODER EXECUTIVO"/>
    <x v="481"/>
    <n v="5739473.5999999996"/>
    <n v="71059.3"/>
    <n v="31157.1"/>
  </r>
  <r>
    <x v="0"/>
    <s v="5021 - GESTAO E ORGANIZACAO DO SUS"/>
    <x v="482"/>
    <n v="2050000"/>
    <n v="2037644.42"/>
    <n v="1771161.98"/>
  </r>
  <r>
    <x v="0"/>
    <s v="4002 - SEGURANCA INSTITUCIONAL"/>
    <x v="483"/>
    <n v="4313518.24"/>
    <n v="585228.48"/>
    <n v="557479.18000000005"/>
  </r>
  <r>
    <x v="0"/>
    <s v="2221 - RECURSOS HIDRICOS"/>
    <x v="484"/>
    <n v="25000"/>
    <n v="0"/>
    <n v="0"/>
  </r>
  <r>
    <x v="0"/>
    <s v="3006 - TRANSPORTE TERRESTRE E TRANSITO"/>
    <x v="485"/>
    <n v="0"/>
    <n v="0"/>
    <n v="0"/>
  </r>
  <r>
    <x v="0"/>
    <s v="3006 - TRANSPORTE TERRESTRE E TRANSITO"/>
    <x v="481"/>
    <n v="0"/>
    <n v="0"/>
    <n v="0"/>
  </r>
  <r>
    <x v="0"/>
    <s v="2221 - RECURSOS HIDRICOS"/>
    <x v="486"/>
    <n v="473301.66"/>
    <n v="3685.51"/>
    <n v="3685.51"/>
  </r>
  <r>
    <x v="0"/>
    <s v="5016 - SEGURANCA PUBLICA, COMBATE A CORRUPCAO, AO CRIME ORGANIZADO E AO CRIME VIOLENTO"/>
    <x v="487"/>
    <n v="26646546.5"/>
    <n v="1656042.54"/>
    <n v="1182626.01"/>
  </r>
  <r>
    <x v="0"/>
    <s v="2027 - CULTURA: DIMENSAO ESSENCIAL DO DESENVOLVIMENTO"/>
    <x v="488"/>
    <n v="0"/>
    <n v="0"/>
    <n v="0"/>
  </r>
  <r>
    <x v="0"/>
    <s v="0032 - PROGRAMA DE GESTAO E MANUTENCAO DO PODER EXECUTIVO"/>
    <x v="489"/>
    <n v="105063950.05"/>
    <n v="55386506.25"/>
    <n v="23595416.050000001"/>
  </r>
  <r>
    <x v="0"/>
    <s v="0909 - OPERACOES ESPECIAIS: OUTROS ENCARGOS ESPECIAIS"/>
    <x v="490"/>
    <n v="26484811"/>
    <n v="0"/>
    <n v="0"/>
  </r>
  <r>
    <x v="0"/>
    <s v="0908 - OPERACOES ESPECIAIS: REFINANCIAMENTO DA DIVIDA EXTERNA"/>
    <x v="491"/>
    <n v="11615590000"/>
    <n v="11615590000"/>
    <n v="11615590000"/>
  </r>
  <r>
    <x v="0"/>
    <s v="6012 - DEFESA NACIONAL"/>
    <x v="492"/>
    <n v="0"/>
    <n v="0"/>
    <n v="0"/>
  </r>
  <r>
    <x v="0"/>
    <s v="0032 - PROGRAMA DE GESTAO E MANUTENCAO DO PODER EXECUTIVO"/>
    <x v="493"/>
    <n v="79164035.519999996"/>
    <n v="74906324.640000001"/>
    <n v="9400348.6199999992"/>
  </r>
  <r>
    <x v="0"/>
    <s v="5023 - VIGILANCIA EM SAUDE"/>
    <x v="494"/>
    <n v="78794.05"/>
    <n v="0"/>
    <n v="0"/>
  </r>
  <r>
    <x v="0"/>
    <s v="0032 - PROGRAMA DE GESTAO E MANUTENCAO DO PODER EXECUTIVO"/>
    <x v="495"/>
    <n v="1221901.29"/>
    <n v="821025.03"/>
    <n v="10541.74"/>
  </r>
  <r>
    <x v="0"/>
    <s v="2206 - POLITICA NUCLEAR"/>
    <x v="496"/>
    <n v="0"/>
    <n v="0"/>
    <n v="0"/>
  </r>
  <r>
    <x v="0"/>
    <s v="3006 - TRANSPORTE TERRESTRE E TRANSITO"/>
    <x v="497"/>
    <n v="0"/>
    <n v="0"/>
    <n v="0"/>
  </r>
  <r>
    <x v="0"/>
    <s v="1040 - GOVERNANCA FUNDIARIA"/>
    <x v="498"/>
    <n v="0"/>
    <n v="0"/>
    <n v="0"/>
  </r>
  <r>
    <x v="0"/>
    <s v="6012 - DEFESA NACIONAL"/>
    <x v="499"/>
    <n v="41918977.789999999"/>
    <n v="0"/>
    <n v="0"/>
  </r>
  <r>
    <x v="0"/>
    <s v="6012 - DEFESA NACIONAL"/>
    <x v="500"/>
    <n v="90071129"/>
    <n v="51794059.210000001"/>
    <n v="277776.43"/>
  </r>
  <r>
    <x v="0"/>
    <s v="2080 - EDUCACAO DE QUALIDADE PARA TODOS"/>
    <x v="501"/>
    <n v="0"/>
    <n v="0"/>
    <n v="0"/>
  </r>
  <r>
    <x v="0"/>
    <s v="5018 - ATENCAO ESPECIALIZADA A SAUDE"/>
    <x v="502"/>
    <n v="359238.58"/>
    <n v="513.17999999999995"/>
    <n v="513.17999999999995"/>
  </r>
  <r>
    <x v="0"/>
    <s v="5020 - DESENVOLVIMENTO CIENTIFICO, TECNOLOGICO E PRODUTIVO EM SAUDE"/>
    <x v="503"/>
    <n v="34940.199999999997"/>
    <n v="0"/>
    <n v="0"/>
  </r>
  <r>
    <x v="0"/>
    <s v="2080 - EDUCACAO DE QUALIDADE PARA TODOS"/>
    <x v="504"/>
    <n v="0"/>
    <n v="0"/>
    <n v="0"/>
  </r>
  <r>
    <x v="0"/>
    <s v="0032 - PROGRAMA DE GESTAO E MANUTENCAO DO PODER EXECUTIVO"/>
    <x v="505"/>
    <n v="73174334.400000006"/>
    <n v="69214469.5"/>
    <n v="9570108.7799999993"/>
  </r>
  <r>
    <x v="0"/>
    <s v="2214 - NOVA PREVIDENCIA"/>
    <x v="506"/>
    <n v="50000"/>
    <n v="1604.86"/>
    <n v="1604.86"/>
  </r>
  <r>
    <x v="0"/>
    <s v="5021 - GESTAO E ORGANIZACAO DO SUS"/>
    <x v="507"/>
    <n v="128296774.09"/>
    <n v="16516775.27"/>
    <n v="4456025.6500000004"/>
  </r>
  <r>
    <x v="0"/>
    <s v="2202 - DEFESA AGROPECUARIA"/>
    <x v="103"/>
    <n v="11008.24"/>
    <n v="0"/>
    <n v="0"/>
  </r>
  <r>
    <x v="0"/>
    <s v="6012 - DEFESA NACIONAL"/>
    <x v="508"/>
    <n v="0"/>
    <n v="0"/>
    <n v="0"/>
  </r>
  <r>
    <x v="0"/>
    <s v="5023 - VIGILANCIA EM SAUDE"/>
    <x v="509"/>
    <n v="21052829.989999998"/>
    <n v="885833.45"/>
    <n v="880057.01"/>
  </r>
  <r>
    <x v="0"/>
    <s v="3006 - TRANSPORTE TERRESTRE E TRANSITO"/>
    <x v="510"/>
    <n v="0"/>
    <n v="0"/>
    <n v="0"/>
  </r>
  <r>
    <x v="0"/>
    <s v="2080 - EDUCACAO DE QUALIDADE PARA TODOS"/>
    <x v="436"/>
    <n v="0"/>
    <n v="0"/>
    <n v="0"/>
  </r>
  <r>
    <x v="0"/>
    <s v="5014 - ESTATISTICAS E AVALIACOES EDUCACIONAIS"/>
    <x v="511"/>
    <n v="54992.959999999999"/>
    <n v="0"/>
    <n v="0"/>
  </r>
  <r>
    <x v="0"/>
    <s v="5023 - VIGILANCIA EM SAUDE"/>
    <x v="207"/>
    <n v="51811434.770000003"/>
    <n v="4747227.17"/>
    <n v="4323258.62"/>
  </r>
  <r>
    <x v="0"/>
    <s v="1031 - AGROPECUARIA SUSTENTAVEL"/>
    <x v="512"/>
    <n v="0"/>
    <n v="0"/>
    <n v="0"/>
  </r>
  <r>
    <x v="0"/>
    <s v="2084 - RECURSOS HIDRICOS"/>
    <x v="513"/>
    <n v="0"/>
    <n v="0"/>
    <n v="0"/>
  </r>
  <r>
    <x v="0"/>
    <s v="5031 - PROTECAO SOCIAL NO AMBITO DO SISTEMA UNICO DE ASSISTENCIA SOCIAL (SUAS)"/>
    <x v="514"/>
    <n v="46300804590"/>
    <n v="3838061187.1199999"/>
    <n v="1889709341.8"/>
  </r>
  <r>
    <x v="0"/>
    <s v="5020 - DESENVOLVIMENTO CIENTIFICO, TECNOLOGICO E PRODUTIVO EM SAUDE"/>
    <x v="515"/>
    <n v="0"/>
    <n v="0"/>
    <n v="0"/>
  </r>
  <r>
    <x v="0"/>
    <s v="5016 - SEGURANCA PUBLICA, COMBATE A CORRUPCAO, AO CRIME ORGANIZADO E AO CRIME VIOLENTO"/>
    <x v="516"/>
    <n v="12176.8"/>
    <n v="12176.8"/>
    <n v="12176.8"/>
  </r>
  <r>
    <x v="0"/>
    <s v="0032 - PROGRAMA DE GESTAO E MANUTENCAO DO PODER EXECUTIVO"/>
    <x v="517"/>
    <n v="301451.84000000003"/>
    <n v="70560.009999999995"/>
    <n v="69404.149999999994"/>
  </r>
  <r>
    <x v="0"/>
    <s v="6012 - DEFESA NACIONAL"/>
    <x v="518"/>
    <n v="0"/>
    <n v="0"/>
    <n v="0"/>
  </r>
  <r>
    <x v="0"/>
    <s v="2204 - BRASIL NA FRONTEIRA DO CONHECIMENTO"/>
    <x v="519"/>
    <n v="0"/>
    <n v="0"/>
    <n v="0"/>
  </r>
  <r>
    <x v="0"/>
    <s v="2201 - BRASIL MODERNIZA"/>
    <x v="520"/>
    <n v="306743.82"/>
    <n v="16547.52"/>
    <n v="16547.52"/>
  </r>
  <r>
    <x v="0"/>
    <s v="6012 - DEFESA NACIONAL"/>
    <x v="521"/>
    <n v="0"/>
    <n v="0"/>
    <n v="0"/>
  </r>
  <r>
    <x v="0"/>
    <s v="3006 - TRANSPORTE TERRESTRE E TRANSITO"/>
    <x v="522"/>
    <n v="0"/>
    <n v="0"/>
    <n v="0"/>
  </r>
  <r>
    <x v="0"/>
    <s v="2214 - NOVA PREVIDENCIA"/>
    <x v="523"/>
    <n v="79140"/>
    <n v="7949.62"/>
    <n v="7949.62"/>
  </r>
  <r>
    <x v="0"/>
    <s v="5025 - CULTURA"/>
    <x v="524"/>
    <n v="0"/>
    <n v="0"/>
    <n v="0"/>
  </r>
  <r>
    <x v="0"/>
    <s v="6012 - DEFESA NACIONAL"/>
    <x v="525"/>
    <n v="19912"/>
    <n v="0"/>
    <n v="0"/>
  </r>
  <r>
    <x v="0"/>
    <s v="2080 - EDUCACAO DE QUALIDADE PARA TODOS"/>
    <x v="526"/>
    <n v="0"/>
    <n v="0"/>
    <n v="0"/>
  </r>
  <r>
    <x v="0"/>
    <s v="1031 - AGROPECUARIA SUSTENTAVEL"/>
    <x v="231"/>
    <n v="0"/>
    <n v="0"/>
    <n v="0"/>
  </r>
  <r>
    <x v="0"/>
    <s v="2217 - DESENVOLVIMENTO REGIONAL, TERRITORIAL E URBANO"/>
    <x v="527"/>
    <n v="20760818.57"/>
    <n v="19247435.879999999"/>
    <n v="1278867.69"/>
  </r>
  <r>
    <x v="0"/>
    <s v="2223 - A HORA DO TURISMO"/>
    <x v="528"/>
    <n v="0"/>
    <n v="0"/>
    <n v="0"/>
  </r>
  <r>
    <x v="0"/>
    <s v="2221 - RECURSOS HIDRICOS"/>
    <x v="513"/>
    <n v="0"/>
    <n v="0"/>
    <n v="0"/>
  </r>
  <r>
    <x v="0"/>
    <s v="2223 - A HORA DO TURISMO"/>
    <x v="529"/>
    <n v="0"/>
    <n v="0"/>
    <n v="0"/>
  </r>
  <r>
    <x v="0"/>
    <s v="3006 - TRANSPORTE TERRESTRE E TRANSITO"/>
    <x v="530"/>
    <n v="0"/>
    <n v="0"/>
    <n v="0"/>
  </r>
  <r>
    <x v="0"/>
    <s v="3006 - TRANSPORTE TERRESTRE E TRANSITO"/>
    <x v="531"/>
    <n v="0"/>
    <n v="0"/>
    <n v="0"/>
  </r>
  <r>
    <x v="0"/>
    <s v="0032 - PROGRAMA DE GESTAO E MANUTENCAO DO PODER EXECUTIVO"/>
    <x v="532"/>
    <n v="242.98"/>
    <n v="242.96"/>
    <n v="242.96"/>
  </r>
  <r>
    <x v="0"/>
    <s v="5026 - ESPORTE"/>
    <x v="533"/>
    <n v="0"/>
    <n v="0"/>
    <n v="0"/>
  </r>
  <r>
    <x v="0"/>
    <s v="2213 - MODERNIZACAO TRABALHISTA E TRABALHO DIGNO"/>
    <x v="534"/>
    <n v="3319382.51"/>
    <n v="723389.61"/>
    <n v="693925.63"/>
  </r>
  <r>
    <x v="0"/>
    <s v="1031 - AGROPECUARIA SUSTENTAVEL"/>
    <x v="535"/>
    <n v="0"/>
    <n v="0"/>
    <n v="0"/>
  </r>
  <r>
    <x v="0"/>
    <s v="2218 - GESTAO DE RISCOS E DE DESASTRES"/>
    <x v="536"/>
    <n v="0"/>
    <n v="0"/>
    <n v="0"/>
  </r>
  <r>
    <x v="0"/>
    <s v="3006 - TRANSPORTE TERRESTRE E TRANSITO"/>
    <x v="537"/>
    <n v="0"/>
    <n v="0"/>
    <n v="0"/>
  </r>
  <r>
    <x v="0"/>
    <s v="0032 - PROGRAMA DE GESTAO E MANUTENCAO DO PODER EXECUTIVO"/>
    <x v="538"/>
    <n v="53517.7"/>
    <n v="2517.6999999999998"/>
    <n v="2517.6999999999998"/>
  </r>
  <r>
    <x v="0"/>
    <s v="3006 - TRANSPORTE TERRESTRE E TRANSITO"/>
    <x v="539"/>
    <n v="0"/>
    <n v="0"/>
    <n v="0"/>
  </r>
  <r>
    <x v="0"/>
    <s v="2204 - BRASIL NA FRONTEIRA DO CONHECIMENTO"/>
    <x v="540"/>
    <n v="0"/>
    <n v="0"/>
    <n v="0"/>
  </r>
  <r>
    <x v="0"/>
    <s v="0032 - PROGRAMA DE GESTAO E MANUTENCAO DO PODER EXECUTIVO"/>
    <x v="541"/>
    <n v="0"/>
    <n v="0"/>
    <n v="0"/>
  </r>
  <r>
    <x v="0"/>
    <s v="6012 - DEFESA NACIONAL"/>
    <x v="542"/>
    <n v="0"/>
    <n v="0"/>
    <n v="0"/>
  </r>
  <r>
    <x v="0"/>
    <s v="2068 - SANEAMENTO BASICO"/>
    <x v="543"/>
    <n v="0"/>
    <n v="0"/>
    <n v="0"/>
  </r>
  <r>
    <x v="0"/>
    <s v="6012 - DEFESA NACIONAL"/>
    <x v="544"/>
    <n v="0"/>
    <n v="0"/>
    <n v="0"/>
  </r>
  <r>
    <x v="0"/>
    <s v="2217 - DESENVOLVIMENTO REGIONAL, TERRITORIAL E URBANO"/>
    <x v="545"/>
    <n v="0"/>
    <n v="0"/>
    <n v="0"/>
  </r>
  <r>
    <x v="0"/>
    <s v="2214 - NOVA PREVIDENCIA"/>
    <x v="546"/>
    <n v="0"/>
    <n v="0"/>
    <n v="0"/>
  </r>
  <r>
    <x v="0"/>
    <s v="0033 - PROGRAMA DE GESTAO E MANUTENCAO DO PODER JUDICIARIO"/>
    <x v="547"/>
    <n v="0"/>
    <n v="0"/>
    <n v="0"/>
  </r>
  <r>
    <x v="0"/>
    <s v="2111 - PROGRAMA DE GESTAO E MANUTENCAO DO MINISTERIO DO DESENVOLVIMENTO REGIONAL"/>
    <x v="52"/>
    <n v="0"/>
    <n v="0"/>
    <n v="0"/>
  </r>
  <r>
    <x v="0"/>
    <s v="0910 - OPERACOES ESPECIAIS: GESTAO DA PARTICIPACAO EM ORGANISMOS E ENTIDADES NACIONAIS E INTERNACIONAIS"/>
    <x v="548"/>
    <n v="0"/>
    <n v="0"/>
    <n v="0"/>
  </r>
  <r>
    <x v="0"/>
    <s v="2027 - CULTURA: DIMENSAO ESSENCIAL DO DESENVOLVIMENTO"/>
    <x v="549"/>
    <n v="0"/>
    <n v="0"/>
    <n v="0"/>
  </r>
  <r>
    <x v="0"/>
    <s v="5035 - PROMOCAO DE CIDADANIA POR MEIO DO AUXILIO BRASIL E DA ARTICULACAO DE POLITICAS PUBLICAS"/>
    <x v="550"/>
    <n v="13323911633"/>
    <n v="13252580000"/>
    <n v="13252580000"/>
  </r>
  <r>
    <x v="0"/>
    <s v="6012 - DEFESA NACIONAL"/>
    <x v="551"/>
    <n v="591194.54"/>
    <n v="29520.01"/>
    <n v="29520.01"/>
  </r>
  <r>
    <x v="0"/>
    <s v="0032 - PROGRAMA DE GESTAO E MANUTENCAO DO PODER EXECUTIVO"/>
    <x v="552"/>
    <n v="0"/>
    <n v="0"/>
    <n v="0"/>
  </r>
  <r>
    <x v="0"/>
    <s v="5025 - CULTURA"/>
    <x v="553"/>
    <n v="207896.39"/>
    <n v="368.39"/>
    <n v="368.39"/>
  </r>
  <r>
    <x v="0"/>
    <s v="2222 - SANEAMENTO BASICO"/>
    <x v="554"/>
    <n v="0"/>
    <n v="0"/>
    <n v="0"/>
  </r>
  <r>
    <x v="0"/>
    <s v="0902 - OPERACOES ESPECIAIS: FINANCIAMENTOS COM RETORNO"/>
    <x v="555"/>
    <n v="4711334604"/>
    <n v="339256747.37"/>
    <n v="339212777.63999999"/>
  </r>
  <r>
    <x v="0"/>
    <s v="0909 - OPERACOES ESPECIAIS: OUTROS ENCARGOS ESPECIAIS"/>
    <x v="556"/>
    <n v="9188035.9199999999"/>
    <n v="6397230.29"/>
    <n v="5250155.57"/>
  </r>
  <r>
    <x v="0"/>
    <s v="5033 - SEGURANCA ALIMENTAR E NUTRICIONAL"/>
    <x v="557"/>
    <n v="1119878.3999999999"/>
    <n v="0"/>
    <n v="0"/>
  </r>
  <r>
    <x v="0"/>
    <s v="0151 - PROTECAO DE TERRAS INDIGENAS, GESTAO TERRITORIAL E ETNODESENVOLVIMENTO"/>
    <x v="558"/>
    <n v="0"/>
    <n v="0"/>
    <n v="0"/>
  </r>
  <r>
    <x v="0"/>
    <s v="2208 - TECNOLOGIAS APLICADAS, INOVACAO E DESENVOLVIMENTO SUSTENTAVEL"/>
    <x v="559"/>
    <n v="0"/>
    <n v="0"/>
    <n v="0"/>
  </r>
  <r>
    <x v="0"/>
    <s v="5021 - GESTAO E ORGANIZACAO DO SUS"/>
    <x v="560"/>
    <n v="29134704.93"/>
    <n v="846624.11"/>
    <n v="846624.11"/>
  </r>
  <r>
    <x v="0"/>
    <s v="1040 - GOVERNANCA FUNDIARIA"/>
    <x v="231"/>
    <n v="0"/>
    <n v="0"/>
    <n v="0"/>
  </r>
  <r>
    <x v="0"/>
    <s v="6012 - DEFESA NACIONAL"/>
    <x v="561"/>
    <n v="1457486.35"/>
    <n v="0"/>
    <n v="0"/>
  </r>
  <r>
    <x v="0"/>
    <s v="1031 - AGROPECUARIA SUSTENTAVEL"/>
    <x v="562"/>
    <n v="55852.55"/>
    <n v="28349.62"/>
    <n v="11142.84"/>
  </r>
  <r>
    <x v="0"/>
    <s v="6012 - DEFESA NACIONAL"/>
    <x v="563"/>
    <n v="94799"/>
    <n v="2101.6"/>
    <n v="2101.6"/>
  </r>
  <r>
    <x v="0"/>
    <s v="5033 - SEGURANCA ALIMENTAR E NUTRICIONAL"/>
    <x v="564"/>
    <n v="0"/>
    <n v="0"/>
    <n v="0"/>
  </r>
  <r>
    <x v="0"/>
    <s v="2126 - PROGRAMA DE GESTAO E MANUTENCAO DO MINISTERIO DA INFRAESTRUTURA"/>
    <x v="565"/>
    <n v="0"/>
    <n v="0"/>
    <n v="0"/>
  </r>
  <r>
    <x v="0"/>
    <s v="6012 - DEFESA NACIONAL"/>
    <x v="566"/>
    <n v="122291816.8"/>
    <n v="0"/>
    <n v="0"/>
  </r>
  <r>
    <x v="0"/>
    <s v="1058 - MUDANCA DO CLIMA"/>
    <x v="567"/>
    <n v="86057.03"/>
    <n v="0"/>
    <n v="0"/>
  </r>
  <r>
    <x v="0"/>
    <s v="1041 - CONSERVACAO E USO SUSTENTAVEL DA BIODIVERSIDADE E DOS RECURSOS NATURAIS"/>
    <x v="568"/>
    <n v="489367.2"/>
    <n v="26183.17"/>
    <n v="26183.17"/>
  </r>
  <r>
    <x v="0"/>
    <s v="1031 - AGROPECUARIA SUSTENTAVEL"/>
    <x v="569"/>
    <n v="0"/>
    <n v="0"/>
    <n v="0"/>
  </r>
  <r>
    <x v="0"/>
    <s v="0032 - PROGRAMA DE GESTAO E MANUTENCAO DO PODER EXECUTIVO"/>
    <x v="570"/>
    <n v="282813.03999999998"/>
    <n v="83505.899999999994"/>
    <n v="83265.38"/>
  </r>
  <r>
    <x v="0"/>
    <s v="5013 - EDUCACAO SUPERIOR - GRADUACAO, POS-GRADUACAO, ENSINO, PESQUISA E EXTENSAO"/>
    <x v="571"/>
    <n v="10337.26"/>
    <n v="761.12"/>
    <n v="761.12"/>
  </r>
  <r>
    <x v="0"/>
    <s v="5031 - PROTECAO SOCIAL NO AMBITO DO SISTEMA UNICO DE ASSISTENCIA SOCIAL (SUAS)"/>
    <x v="572"/>
    <n v="37854720073"/>
    <n v="3124118406"/>
    <n v="1533112211.8499999"/>
  </r>
  <r>
    <x v="0"/>
    <s v="2221 - RECURSOS HIDRICOS"/>
    <x v="573"/>
    <n v="0"/>
    <n v="0"/>
    <n v="0"/>
  </r>
  <r>
    <x v="0"/>
    <s v="5016 - SEGURANCA PUBLICA, COMBATE A CORRUPCAO, AO CRIME ORGANIZADO E AO CRIME VIOLENTO"/>
    <x v="574"/>
    <n v="16927048.809999999"/>
    <n v="8375391.2800000003"/>
    <n v="8223007.0199999996"/>
  </r>
  <r>
    <x v="0"/>
    <s v="2110 - PROGRAMA DE GESTAO E MANUTENCAO DO MINISTERIO DA ECONOMIA"/>
    <x v="575"/>
    <n v="0"/>
    <n v="0"/>
    <n v="0"/>
  </r>
  <r>
    <x v="0"/>
    <s v="5020 - DESENVOLVIMENTO CIENTIFICO, TECNOLOGICO E PRODUTIVO EM SAUDE"/>
    <x v="576"/>
    <n v="2581172.4900000002"/>
    <n v="10118.719999999999"/>
    <n v="10118.719999999999"/>
  </r>
  <r>
    <x v="0"/>
    <s v="2054 - PLANEJAMENTO URBANO"/>
    <x v="545"/>
    <n v="0"/>
    <n v="0"/>
    <n v="0"/>
  </r>
  <r>
    <x v="0"/>
    <s v="0032 - PROGRAMA DE GESTAO E MANUTENCAO DO PODER EXECUTIVO"/>
    <x v="577"/>
    <n v="0"/>
    <n v="0"/>
    <n v="0"/>
  </r>
  <r>
    <x v="0"/>
    <s v="0903 - OPERACOES ESPECIAIS: TRANSFERENCIAS CONSTITUCIONAIS E AS DECORRENTES DE LEGISLACAO ESPECIFICA"/>
    <x v="578"/>
    <n v="19949444.600000001"/>
    <n v="18342882.280000001"/>
    <n v="42521.42"/>
  </r>
  <r>
    <x v="0"/>
    <s v="5020 - DESENVOLVIMENTO CIENTIFICO, TECNOLOGICO E PRODUTIVO EM SAUDE"/>
    <x v="579"/>
    <n v="8663382.8300000001"/>
    <n v="1063988.3999999999"/>
    <n v="433219.47"/>
  </r>
  <r>
    <x v="0"/>
    <s v="5025 - CULTURA"/>
    <x v="549"/>
    <n v="4384198.38"/>
    <n v="342201.09"/>
    <n v="4479"/>
  </r>
  <r>
    <x v="0"/>
    <s v="6012 - DEFESA NACIONAL"/>
    <x v="580"/>
    <n v="0"/>
    <n v="0"/>
    <n v="0"/>
  </r>
  <r>
    <x v="0"/>
    <s v="3001 - ENERGIA ELETRICA"/>
    <x v="581"/>
    <n v="1058586.99"/>
    <n v="1270.3"/>
    <n v="1270.3"/>
  </r>
  <r>
    <x v="0"/>
    <s v="6012 - DEFESA NACIONAL"/>
    <x v="134"/>
    <n v="0"/>
    <n v="0"/>
    <n v="0"/>
  </r>
  <r>
    <x v="0"/>
    <s v="5019 - ATENCAO PRIMARIA A SAUDE"/>
    <x v="316"/>
    <n v="0"/>
    <n v="0"/>
    <n v="0"/>
  </r>
  <r>
    <x v="0"/>
    <s v="3006 - TRANSPORTE TERRESTRE E TRANSITO"/>
    <x v="582"/>
    <n v="0"/>
    <n v="0"/>
    <n v="0"/>
  </r>
  <r>
    <x v="0"/>
    <s v="2216 - POLITICA EXTERNA"/>
    <x v="583"/>
    <n v="5592324.4299999997"/>
    <n v="3384288.15"/>
    <n v="3159118.89"/>
  </r>
  <r>
    <x v="0"/>
    <s v="5015 - JUSTICA"/>
    <x v="584"/>
    <n v="92.26"/>
    <n v="0"/>
    <n v="0"/>
  </r>
  <r>
    <x v="0"/>
    <s v="1040 - GOVERNANCA FUNDIARIA"/>
    <x v="585"/>
    <n v="36126"/>
    <n v="36126"/>
    <n v="0"/>
  </r>
  <r>
    <x v="0"/>
    <s v="2215 - POLITICA ECONOMICA E EQUILIBRIO FISCAL"/>
    <x v="586"/>
    <n v="1000000"/>
    <n v="0"/>
    <n v="0"/>
  </r>
  <r>
    <x v="0"/>
    <s v="0903 - OPERACOES ESPECIAIS: TRANSFERENCIAS CONSTITUCIONAIS E AS DECORRENTES DE LEGISLACAO ESPECIFICA"/>
    <x v="587"/>
    <n v="1606306599"/>
    <n v="0"/>
    <n v="0"/>
  </r>
  <r>
    <x v="0"/>
    <s v="0032 - PROGRAMA DE GESTAO E MANUTENCAO DO PODER EXECUTIVO"/>
    <x v="588"/>
    <n v="110846.09"/>
    <n v="0"/>
    <n v="0"/>
  </r>
  <r>
    <x v="0"/>
    <s v="2017 - AVIACAO CIVIL"/>
    <x v="379"/>
    <n v="0"/>
    <n v="0"/>
    <n v="0"/>
  </r>
  <r>
    <x v="0"/>
    <s v="6012 - DEFESA NACIONAL"/>
    <x v="589"/>
    <n v="2373019.25"/>
    <n v="41815.81"/>
    <n v="41815.81"/>
  </r>
  <r>
    <x v="0"/>
    <s v="2076 - DESENVOLVIMENTO E PROMOCAO DO TURISMO"/>
    <x v="590"/>
    <n v="0"/>
    <n v="0"/>
    <n v="0"/>
  </r>
  <r>
    <x v="0"/>
    <s v="6012 - DEFESA NACIONAL"/>
    <x v="591"/>
    <n v="0"/>
    <n v="0"/>
    <n v="0"/>
  </r>
  <r>
    <x v="0"/>
    <s v="2214 - NOVA PREVIDENCIA"/>
    <x v="592"/>
    <n v="6363545"/>
    <n v="467132.47"/>
    <n v="442341.12"/>
  </r>
  <r>
    <x v="0"/>
    <s v="5021 - GESTAO E ORGANIZACAO DO SUS"/>
    <x v="593"/>
    <n v="1756000"/>
    <n v="99926.63"/>
    <n v="73513.850000000006"/>
  </r>
  <r>
    <x v="0"/>
    <s v="2206 - POLITICA NUCLEAR"/>
    <x v="594"/>
    <n v="0"/>
    <n v="0"/>
    <n v="0"/>
  </r>
  <r>
    <x v="0"/>
    <s v="5023 - VIGILANCIA EM SAUDE"/>
    <x v="284"/>
    <n v="0"/>
    <n v="0"/>
    <n v="0"/>
  </r>
  <r>
    <x v="0"/>
    <s v="3004 - AVIACAO CIVIL"/>
    <x v="595"/>
    <n v="31678380.219999999"/>
    <n v="836169.93"/>
    <n v="346402.13"/>
  </r>
  <r>
    <x v="0"/>
    <s v="6012 - DEFESA NACIONAL"/>
    <x v="596"/>
    <n v="708160"/>
    <n v="0"/>
    <n v="0"/>
  </r>
  <r>
    <x v="0"/>
    <s v="2215 - POLITICA ECONOMICA E EQUILIBRIO FISCAL"/>
    <x v="597"/>
    <n v="1444619"/>
    <n v="7445.26"/>
    <n v="6229.17"/>
  </r>
  <r>
    <x v="0"/>
    <s v="2204 - BRASIL NA FRONTEIRA DO CONHECIMENTO"/>
    <x v="598"/>
    <n v="10640207.59"/>
    <n v="10640207.59"/>
    <n v="10586486.27"/>
  </r>
  <r>
    <x v="0"/>
    <s v="0032 - PROGRAMA DE GESTAO E MANUTENCAO DO PODER EXECUTIVO"/>
    <x v="599"/>
    <n v="38312330.07"/>
    <n v="0"/>
    <n v="0"/>
  </r>
  <r>
    <x v="0"/>
    <s v="0909 - OPERACOES ESPECIAIS: OUTROS ENCARGOS ESPECIAIS"/>
    <x v="600"/>
    <n v="111907048"/>
    <n v="8978983.6899999995"/>
    <n v="0"/>
  </r>
  <r>
    <x v="0"/>
    <s v="2015 - FORTALECIMENTO DO SISTEMA UNICO DE SAUDE (SUS)"/>
    <x v="366"/>
    <n v="0"/>
    <n v="0"/>
    <n v="0"/>
  </r>
  <r>
    <x v="0"/>
    <s v="3006 - TRANSPORTE TERRESTRE E TRANSITO"/>
    <x v="601"/>
    <n v="0"/>
    <n v="0"/>
    <n v="0"/>
  </r>
  <r>
    <x v="0"/>
    <s v="1031 - AGROPECUARIA SUSTENTAVEL"/>
    <x v="602"/>
    <n v="17779.080000000002"/>
    <n v="0"/>
    <n v="0"/>
  </r>
  <r>
    <x v="0"/>
    <s v="5031 - PROTECAO SOCIAL NO AMBITO DO SISTEMA UNICO DE ASSISTENCIA SOCIAL (SUAS)"/>
    <x v="603"/>
    <n v="0"/>
    <n v="0"/>
    <n v="0"/>
  </r>
  <r>
    <x v="0"/>
    <s v="1041 - CONSERVACAO E USO SUSTENTAVEL DA BIODIVERSIDADE E DOS RECURSOS NATURAIS"/>
    <x v="604"/>
    <n v="299000"/>
    <n v="1366.53"/>
    <n v="1366.53"/>
  </r>
  <r>
    <x v="0"/>
    <s v="1040 - GOVERNANCA FUNDIARIA"/>
    <x v="605"/>
    <n v="6297.5"/>
    <n v="2297.0300000000002"/>
    <n v="1804.48"/>
  </r>
  <r>
    <x v="0"/>
    <s v="0901 - OPERACOES ESPECIAIS: CUMPRIMENTO DE SENTENCAS JUDICIAIS"/>
    <x v="606"/>
    <n v="150871443.30000001"/>
    <n v="38239955.43"/>
    <n v="38239955.43"/>
  </r>
  <r>
    <x v="0"/>
    <s v="3002 - GEOLOGIA, MINERACAO E TRANSFORMACAO MINERAL"/>
    <x v="607"/>
    <n v="10655.18"/>
    <n v="4427.59"/>
    <n v="800"/>
  </r>
  <r>
    <x v="0"/>
    <s v="1031 - AGROPECUARIA SUSTENTAVEL"/>
    <x v="608"/>
    <n v="0"/>
    <n v="0"/>
    <n v="0"/>
  </r>
  <r>
    <x v="0"/>
    <s v="0032 - PROGRAMA DE GESTAO E MANUTENCAO DO PODER EXECUTIVO"/>
    <x v="609"/>
    <n v="43540321.799999997"/>
    <n v="32451851.48"/>
    <n v="4767971.88"/>
  </r>
  <r>
    <x v="0"/>
    <s v="2217 - DESENVOLVIMENTO REGIONAL, TERRITORIAL E URBANO"/>
    <x v="610"/>
    <n v="0"/>
    <n v="0"/>
    <n v="0"/>
  </r>
  <r>
    <x v="0"/>
    <s v="2222 - SANEAMENTO BASICO"/>
    <x v="611"/>
    <n v="0"/>
    <n v="0"/>
    <n v="0"/>
  </r>
  <r>
    <x v="0"/>
    <s v="5020 - DESENVOLVIMENTO CIENTIFICO, TECNOLOGICO E PRODUTIVO EM SAUDE"/>
    <x v="612"/>
    <n v="0"/>
    <n v="0"/>
    <n v="0"/>
  </r>
  <r>
    <x v="0"/>
    <s v="3001 - ENERGIA ELETRICA"/>
    <x v="613"/>
    <n v="208919.58"/>
    <n v="1195.58"/>
    <n v="1035.4100000000001"/>
  </r>
  <r>
    <x v="0"/>
    <s v="1031 - AGROPECUARIA SUSTENTAVEL"/>
    <x v="614"/>
    <n v="0"/>
    <n v="0"/>
    <n v="0"/>
  </r>
  <r>
    <x v="0"/>
    <s v="2221 - RECURSOS HIDRICOS"/>
    <x v="615"/>
    <n v="249806"/>
    <n v="0"/>
    <n v="0"/>
  </r>
  <r>
    <x v="0"/>
    <s v="0909 - OPERACOES ESPECIAIS: OUTROS ENCARGOS ESPECIAIS"/>
    <x v="616"/>
    <n v="417398611"/>
    <n v="28458435.98"/>
    <n v="0"/>
  </r>
  <r>
    <x v="0"/>
    <s v="2214 - NOVA PREVIDENCIA"/>
    <x v="617"/>
    <n v="4178412.05"/>
    <n v="1651576"/>
    <n v="1444510.5"/>
  </r>
  <r>
    <x v="0"/>
    <s v="2203 - PESQUISA E INOVACAO AGROPECUARIA"/>
    <x v="618"/>
    <n v="0"/>
    <n v="0"/>
    <n v="0"/>
  </r>
  <r>
    <x v="0"/>
    <s v="0902 - OPERACOES ESPECIAIS: FINANCIAMENTOS COM RETORNO"/>
    <x v="619"/>
    <n v="6620228494"/>
    <n v="0"/>
    <n v="0"/>
  </r>
  <r>
    <x v="0"/>
    <s v="5017 - ASSISTENCIA FARMACEUTICA NO SUS"/>
    <x v="219"/>
    <n v="426957140.07999998"/>
    <n v="104151340.58"/>
    <n v="104151340.58"/>
  </r>
  <r>
    <x v="0"/>
    <s v="2050 - MUDANCA DO CLIMA"/>
    <x v="620"/>
    <n v="0"/>
    <n v="0"/>
    <n v="0"/>
  </r>
  <r>
    <x v="0"/>
    <s v="2217 - DESENVOLVIMENTO REGIONAL, TERRITORIAL E URBANO"/>
    <x v="621"/>
    <n v="1909903.75"/>
    <n v="0"/>
    <n v="0"/>
  </r>
  <r>
    <x v="0"/>
    <s v="1031 - AGROPECUARIA SUSTENTAVEL"/>
    <x v="622"/>
    <n v="16732.650000000001"/>
    <n v="262.86"/>
    <n v="0"/>
  </r>
  <r>
    <x v="0"/>
    <s v="0903 - OPERACOES ESPECIAIS: TRANSFERENCIAS CONSTITUCIONAIS E AS DECORRENTES DE LEGISLACAO ESPECIFICA"/>
    <x v="623"/>
    <n v="54345535.049999997"/>
    <n v="54300290.619999997"/>
    <n v="0"/>
  </r>
  <r>
    <x v="0"/>
    <s v="6014 - PREVENCAO E CONTROLE DO DESMATAMENTO E DOS INCENDIOS NOS BIOMAS"/>
    <x v="624"/>
    <n v="2183039.23"/>
    <n v="1439378.63"/>
    <n v="365460.04"/>
  </r>
  <r>
    <x v="0"/>
    <s v="4003 - GARANTIA DA ESTABILIDADE MONETARIA E FINANCEIRA"/>
    <x v="625"/>
    <n v="133197.91"/>
    <n v="32780.089999999997"/>
    <n v="16694.400000000001"/>
  </r>
  <r>
    <x v="0"/>
    <s v="0032 - PROGRAMA DE GESTAO E MANUTENCAO DO PODER EXECUTIVO"/>
    <x v="626"/>
    <n v="0"/>
    <n v="0"/>
    <n v="0"/>
  </r>
  <r>
    <x v="0"/>
    <s v="2206 - POLITICA NUCLEAR"/>
    <x v="627"/>
    <n v="0"/>
    <n v="0"/>
    <n v="0"/>
  </r>
  <r>
    <x v="0"/>
    <s v="0903 - OPERACOES ESPECIAIS: TRANSFERENCIAS CONSTITUCIONAIS E AS DECORRENTES DE LEGISLACAO ESPECIFICA"/>
    <x v="628"/>
    <n v="15339654"/>
    <n v="15312990.66"/>
    <n v="144138.56"/>
  </r>
  <r>
    <x v="0"/>
    <s v="0901 - OPERACOES ESPECIAIS: CUMPRIMENTO DE SENTENCAS JUDICIAIS"/>
    <x v="629"/>
    <n v="31255772.739999998"/>
    <n v="6488832.9000000004"/>
    <n v="5544953.6200000001"/>
  </r>
  <r>
    <x v="0"/>
    <s v="2217 - DESENVOLVIMENTO REGIONAL, TERRITORIAL E URBANO"/>
    <x v="630"/>
    <n v="0"/>
    <n v="0"/>
    <n v="0"/>
  </r>
  <r>
    <x v="0"/>
    <s v="5032 - REDE DE SUPORTE SOCIAL AO DEPENDENTE QUIMICO: CUIDADOS,PREVENCAO E REINSERCAO SOCIAL"/>
    <x v="631"/>
    <n v="0"/>
    <n v="0"/>
    <n v="0"/>
  </r>
  <r>
    <x v="0"/>
    <s v="2029 - DESENVOLVIMENTO REGIONAL E TERRITORIAL"/>
    <x v="632"/>
    <n v="0"/>
    <n v="0"/>
    <n v="0"/>
  </r>
  <r>
    <x v="0"/>
    <s v="5026 - ESPORTE"/>
    <x v="633"/>
    <n v="0"/>
    <n v="0"/>
    <n v="0"/>
  </r>
  <r>
    <x v="0"/>
    <s v="5012 - EDUCACAO PROFISSIONAL E TECNOLOGICA"/>
    <x v="634"/>
    <n v="0"/>
    <n v="0"/>
    <n v="0"/>
  </r>
  <r>
    <x v="0"/>
    <s v="3006 - TRANSPORTE TERRESTRE E TRANSITO"/>
    <x v="635"/>
    <n v="0"/>
    <n v="0"/>
    <n v="0"/>
  </r>
  <r>
    <x v="0"/>
    <s v="5016 - SEGURANCA PUBLICA, COMBATE A CORRUPCAO, AO CRIME ORGANIZADO E AO CRIME VIOLENTO"/>
    <x v="636"/>
    <n v="0"/>
    <n v="0"/>
    <n v="0"/>
  </r>
  <r>
    <x v="0"/>
    <s v="6012 - DEFESA NACIONAL"/>
    <x v="637"/>
    <n v="225368.59"/>
    <n v="0"/>
    <n v="0"/>
  </r>
  <r>
    <x v="0"/>
    <s v="6012 - DEFESA NACIONAL"/>
    <x v="638"/>
    <n v="19688000"/>
    <n v="0"/>
    <n v="0"/>
  </r>
  <r>
    <x v="0"/>
    <s v="6012 - DEFESA NACIONAL"/>
    <x v="639"/>
    <n v="7067941.4900000002"/>
    <n v="358169.4"/>
    <n v="322400"/>
  </r>
  <r>
    <x v="0"/>
    <s v="0032 - PROGRAMA DE GESTAO E MANUTENCAO DO PODER EXECUTIVO"/>
    <x v="640"/>
    <n v="0"/>
    <n v="0"/>
    <n v="0"/>
  </r>
  <r>
    <x v="0"/>
    <s v="3002 - GEOLOGIA, MINERACAO E TRANSFORMACAO MINERAL"/>
    <x v="641"/>
    <n v="77897.710000000006"/>
    <n v="27798.880000000001"/>
    <n v="26944.68"/>
  </r>
  <r>
    <x v="0"/>
    <s v="5016 - SEGURANCA PUBLICA, COMBATE A CORRUPCAO, AO CRIME ORGANIZADO E AO CRIME VIOLENTO"/>
    <x v="642"/>
    <n v="7835000.8700000001"/>
    <n v="0"/>
    <n v="0"/>
  </r>
  <r>
    <x v="0"/>
    <s v="2218 - GESTAO DE RISCOS E DE DESASTRES"/>
    <x v="643"/>
    <n v="331544.38"/>
    <n v="83577.8"/>
    <n v="47302.47"/>
  </r>
  <r>
    <x v="0"/>
    <s v="0032 - PROGRAMA DE GESTAO E MANUTENCAO DO PODER EXECUTIVO"/>
    <x v="644"/>
    <n v="1804325.92"/>
    <n v="7154.83"/>
    <n v="7154.83"/>
  </r>
  <r>
    <x v="0"/>
    <s v="2221 - RECURSOS HIDRICOS"/>
    <x v="645"/>
    <n v="25000"/>
    <n v="0"/>
    <n v="0"/>
  </r>
  <r>
    <x v="0"/>
    <s v="2222 - SANEAMENTO BASICO"/>
    <x v="646"/>
    <n v="0"/>
    <n v="0"/>
    <n v="0"/>
  </r>
  <r>
    <x v="0"/>
    <s v="2223 - A HORA DO TURISMO"/>
    <x v="13"/>
    <n v="0"/>
    <n v="0"/>
    <n v="0"/>
  </r>
  <r>
    <x v="0"/>
    <s v="4005 - PROTECAO JURIDICA DA UNIAO"/>
    <x v="647"/>
    <n v="34006516.979999997"/>
    <n v="3639605.13"/>
    <n v="1768148.81"/>
  </r>
  <r>
    <x v="0"/>
    <s v="2213 - MODERNIZACAO TRABALHISTA E TRABALHO DIGNO"/>
    <x v="648"/>
    <n v="0"/>
    <n v="0"/>
    <n v="0"/>
  </r>
  <r>
    <x v="0"/>
    <s v="0032 - PROGRAMA DE GESTAO E MANUTENCAO DO PODER EXECUTIVO"/>
    <x v="649"/>
    <n v="712931"/>
    <n v="249050.6"/>
    <n v="249050.6"/>
  </r>
  <r>
    <x v="0"/>
    <s v="0911 - OPERACOES ESPECIAIS - REMUNERACAO DE AGENTES FINANCEIROS"/>
    <x v="650"/>
    <n v="0"/>
    <n v="0"/>
    <n v="0"/>
  </r>
  <r>
    <x v="0"/>
    <s v="3006 - TRANSPORTE TERRESTRE E TRANSITO"/>
    <x v="651"/>
    <n v="0"/>
    <n v="0"/>
    <n v="0"/>
  </r>
  <r>
    <x v="0"/>
    <s v="6012 - DEFESA NACIONAL"/>
    <x v="652"/>
    <n v="20882.3"/>
    <n v="0"/>
    <n v="0"/>
  </r>
  <r>
    <x v="0"/>
    <s v="2217 - DESENVOLVIMENTO REGIONAL, TERRITORIAL E URBANO"/>
    <x v="632"/>
    <n v="0"/>
    <n v="0"/>
    <n v="0"/>
  </r>
  <r>
    <x v="0"/>
    <s v="0032 - PROGRAMA DE GESTAO E MANUTENCAO DO PODER EXECUTIVO"/>
    <x v="653"/>
    <n v="344401050"/>
    <n v="31572613.239999998"/>
    <n v="10874583.77"/>
  </r>
  <r>
    <x v="0"/>
    <s v="0903 - OPERACOES ESPECIAIS: TRANSFERENCIAS CONSTITUCIONAIS E AS DECORRENTES DE LEGISLACAO ESPECIFICA"/>
    <x v="654"/>
    <n v="85283152"/>
    <n v="84734502.510000005"/>
    <n v="0"/>
  </r>
  <r>
    <x v="0"/>
    <s v="6012 - DEFESA NACIONAL"/>
    <x v="655"/>
    <n v="0"/>
    <n v="0"/>
    <n v="0"/>
  </r>
  <r>
    <x v="0"/>
    <s v="2068 - SANEAMENTO BASICO"/>
    <x v="105"/>
    <n v="0"/>
    <n v="0"/>
    <n v="0"/>
  </r>
  <r>
    <x v="0"/>
    <s v="6011 - COOPERACAO COM O DESENVOLVIMENTO NACIONAL"/>
    <x v="656"/>
    <n v="6657284.3099999996"/>
    <n v="190266.87"/>
    <n v="117904.39"/>
  </r>
  <r>
    <x v="0"/>
    <s v="5012 - EDUCACAO PROFISSIONAL E TECNOLOGICA"/>
    <x v="657"/>
    <n v="0"/>
    <n v="0"/>
    <n v="0"/>
  </r>
  <r>
    <x v="0"/>
    <s v="2208 - TECNOLOGIAS APLICADAS, INOVACAO E DESENVOLVIMENTO SUSTENTAVEL"/>
    <x v="658"/>
    <n v="0"/>
    <n v="0"/>
    <n v="0"/>
  </r>
  <r>
    <x v="0"/>
    <s v="2206 - POLITICA NUCLEAR"/>
    <x v="659"/>
    <n v="0"/>
    <n v="0"/>
    <n v="0"/>
  </r>
  <r>
    <x v="0"/>
    <s v="2068 - SANEAMENTO BASICO"/>
    <x v="395"/>
    <n v="0"/>
    <n v="0"/>
    <n v="0"/>
  </r>
  <r>
    <x v="0"/>
    <s v="1031 - AGROPECUARIA SUSTENTAVEL"/>
    <x v="660"/>
    <n v="1185424.23"/>
    <n v="777686.57"/>
    <n v="363504.81"/>
  </r>
  <r>
    <x v="0"/>
    <s v="2203 - PESQUISA E INOVACAO AGROPECUARIA"/>
    <x v="270"/>
    <n v="2969162.91"/>
    <n v="1868488.81"/>
    <n v="573233.68000000005"/>
  </r>
  <r>
    <x v="0"/>
    <s v="2215 - POLITICA ECONOMICA E EQUILIBRIO FISCAL"/>
    <x v="661"/>
    <n v="4284067.9400000004"/>
    <n v="15895.16"/>
    <n v="15895.16"/>
  </r>
  <r>
    <x v="0"/>
    <s v="6011 - COOPERACAO COM O DESENVOLVIMENTO NACIONAL"/>
    <x v="662"/>
    <n v="0"/>
    <n v="0"/>
    <n v="0"/>
  </r>
  <r>
    <x v="0"/>
    <s v="2221 - RECURSOS HIDRICOS"/>
    <x v="663"/>
    <n v="0"/>
    <n v="0"/>
    <n v="0"/>
  </r>
  <r>
    <x v="0"/>
    <s v="2206 - POLITICA NUCLEAR"/>
    <x v="664"/>
    <n v="120000"/>
    <n v="5508.1"/>
    <n v="0"/>
  </r>
  <r>
    <x v="0"/>
    <s v="5013 - EDUCACAO SUPERIOR - GRADUACAO, POS-GRADUACAO, ENSINO, PESQUISA E EXTENSAO"/>
    <x v="504"/>
    <n v="31840901.489999998"/>
    <n v="6631170.1799999997"/>
    <n v="1997243.35"/>
  </r>
  <r>
    <x v="0"/>
    <s v="3002 - GEOLOGIA, MINERACAO E TRANSFORMACAO MINERAL"/>
    <x v="665"/>
    <n v="54791.83"/>
    <n v="14334.99"/>
    <n v="10478.209999999999"/>
  </r>
  <r>
    <x v="0"/>
    <s v="3006 - TRANSPORTE TERRESTRE E TRANSITO"/>
    <x v="666"/>
    <n v="4509937.42"/>
    <n v="230527.34"/>
    <n v="230117.09"/>
  </r>
  <r>
    <x v="0"/>
    <s v="2214 - NOVA PREVIDENCIA"/>
    <x v="667"/>
    <n v="368733411200"/>
    <n v="63530267146.470001"/>
    <n v="13721138850.35"/>
  </r>
  <r>
    <x v="0"/>
    <s v="5019 - ATENCAO PRIMARIA A SAUDE"/>
    <x v="668"/>
    <n v="278678863"/>
    <n v="88000000"/>
    <n v="88000000"/>
  </r>
  <r>
    <x v="0"/>
    <s v="2221 - RECURSOS HIDRICOS"/>
    <x v="669"/>
    <n v="2508337.65"/>
    <n v="1246566.1499999999"/>
    <n v="1215620.1299999999"/>
  </r>
  <r>
    <x v="0"/>
    <s v="6012 - DEFESA NACIONAL"/>
    <x v="130"/>
    <n v="67581.75"/>
    <n v="0"/>
    <n v="0"/>
  </r>
  <r>
    <x v="0"/>
    <s v="0903 - OPERACOES ESPECIAIS: TRANSFERENCIAS CONSTITUCIONAIS E AS DECORRENTES DE LEGISLACAO ESPECIFICA"/>
    <x v="670"/>
    <n v="41798051.450000003"/>
    <n v="41759283.979999997"/>
    <n v="-19551.07"/>
  </r>
  <r>
    <x v="0"/>
    <s v="3006 - TRANSPORTE TERRESTRE E TRANSITO"/>
    <x v="671"/>
    <n v="0"/>
    <n v="0"/>
    <n v="0"/>
  </r>
  <r>
    <x v="0"/>
    <s v="5020 - DESENVOLVIMENTO CIENTIFICO, TECNOLOGICO E PRODUTIVO EM SAUDE"/>
    <x v="672"/>
    <n v="42615.12"/>
    <n v="42615.12"/>
    <n v="42615.12"/>
  </r>
  <r>
    <x v="0"/>
    <s v="3006 - TRANSPORTE TERRESTRE E TRANSITO"/>
    <x v="673"/>
    <n v="0"/>
    <n v="0"/>
    <n v="0"/>
  </r>
  <r>
    <x v="0"/>
    <s v="2204 - BRASIL NA FRONTEIRA DO CONHECIMENTO"/>
    <x v="674"/>
    <n v="0"/>
    <n v="0"/>
    <n v="0"/>
  </r>
  <r>
    <x v="0"/>
    <s v="2208 - TECNOLOGIAS APLICADAS, INOVACAO E DESENVOLVIMENTO SUSTENTAVEL"/>
    <x v="675"/>
    <n v="72760.039999999994"/>
    <n v="8808.0400000000009"/>
    <n v="3118"/>
  </r>
  <r>
    <x v="0"/>
    <s v="6012 - DEFESA NACIONAL"/>
    <x v="676"/>
    <n v="68000"/>
    <n v="35649.67"/>
    <n v="35649.67"/>
  </r>
  <r>
    <x v="0"/>
    <s v="0032 - PROGRAMA DE GESTAO E MANUTENCAO DO PODER EXECUTIVO"/>
    <x v="677"/>
    <n v="2390529.41"/>
    <n v="818519.27"/>
    <n v="776446.45"/>
  </r>
  <r>
    <x v="0"/>
    <s v="0032 - PROGRAMA DE GESTAO E MANUTENCAO DO PODER EXECUTIVO"/>
    <x v="678"/>
    <n v="109094948.09"/>
    <n v="108403201.45"/>
    <n v="28848014.27"/>
  </r>
  <r>
    <x v="0"/>
    <s v="0032 - PROGRAMA DE GESTAO E MANUTENCAO DO PODER EXECUTIVO"/>
    <x v="679"/>
    <n v="445776.34"/>
    <n v="63.84"/>
    <n v="0"/>
  </r>
  <r>
    <x v="0"/>
    <s v="2204 - BRASIL NA FRONTEIRA DO CONHECIMENTO"/>
    <x v="680"/>
    <n v="548314.91"/>
    <n v="22324.76"/>
    <n v="9028.1"/>
  </r>
  <r>
    <x v="0"/>
    <s v="0032 - PROGRAMA DE GESTAO E MANUTENCAO DO PODER EXECUTIVO"/>
    <x v="681"/>
    <n v="98775"/>
    <n v="0"/>
    <n v="0"/>
  </r>
  <r>
    <x v="0"/>
    <s v="2080 - EDUCACAO DE QUALIDADE PARA TODOS"/>
    <x v="682"/>
    <n v="0"/>
    <n v="0"/>
    <n v="0"/>
  </r>
  <r>
    <x v="0"/>
    <s v="6012 - DEFESA NACIONAL"/>
    <x v="683"/>
    <n v="401716.47"/>
    <n v="0"/>
    <n v="0"/>
  </r>
  <r>
    <x v="0"/>
    <s v="0901 - OPERACOES ESPECIAIS: CUMPRIMENTO DE SENTENCAS JUDICIAIS"/>
    <x v="684"/>
    <n v="856386987.76999998"/>
    <n v="37432644.75"/>
    <n v="34150715.159999996"/>
  </r>
  <r>
    <x v="0"/>
    <s v="1031 - AGROPECUARIA SUSTENTAVEL"/>
    <x v="685"/>
    <n v="81101.149999999994"/>
    <n v="9000"/>
    <n v="0"/>
  </r>
  <r>
    <x v="0"/>
    <s v="2205 - CONECTA BRASIL"/>
    <x v="686"/>
    <n v="1024676.41"/>
    <n v="51564.78"/>
    <n v="47009.3"/>
  </r>
  <r>
    <x v="0"/>
    <s v="2206 - POLITICA NUCLEAR"/>
    <x v="687"/>
    <n v="0"/>
    <n v="0"/>
    <n v="0"/>
  </r>
  <r>
    <x v="0"/>
    <s v="3003 - PETROLEO, GAS, DERIVADOS E BIOCOMBUSTIVEIS"/>
    <x v="688"/>
    <n v="856877.42"/>
    <n v="232894.79"/>
    <n v="227351.21"/>
  </r>
  <r>
    <x v="0"/>
    <s v="0032 - PROGRAMA DE GESTAO E MANUTENCAO DO PODER EXECUTIVO"/>
    <x v="689"/>
    <n v="0"/>
    <n v="0"/>
    <n v="0"/>
  </r>
  <r>
    <x v="0"/>
    <s v="5015 - JUSTICA"/>
    <x v="690"/>
    <n v="1607809.9"/>
    <n v="290835"/>
    <n v="0"/>
  </r>
  <r>
    <x v="0"/>
    <s v="0032 - PROGRAMA DE GESTAO E MANUTENCAO DO PODER EXECUTIVO"/>
    <x v="691"/>
    <n v="89131.89"/>
    <n v="11484.64"/>
    <n v="11484.64"/>
  </r>
  <r>
    <x v="0"/>
    <s v="5022 - PROTECAO, PROMOCAO E RECUPERACAO DA SAUDE INDIGENA"/>
    <x v="692"/>
    <n v="230222433.74000001"/>
    <n v="161354132.36000001"/>
    <n v="124308861.88"/>
  </r>
  <r>
    <x v="0"/>
    <s v="0910 - OPERACOES ESPECIAIS: GESTAO DA PARTICIPACAO EM ORGANISMOS E ENTIDADES NACIONAIS E INTERNACIONAIS"/>
    <x v="693"/>
    <n v="101701.64"/>
    <n v="51708.97"/>
    <n v="28158.71"/>
  </r>
  <r>
    <x v="0"/>
    <s v="2216 - POLITICA EXTERNA"/>
    <x v="694"/>
    <n v="52683.81"/>
    <n v="52683.81"/>
    <n v="52683.81"/>
  </r>
  <r>
    <x v="0"/>
    <s v="5021 - GESTAO E ORGANIZACAO DO SUS"/>
    <x v="695"/>
    <n v="250000"/>
    <n v="0"/>
    <n v="0"/>
  </r>
  <r>
    <x v="0"/>
    <s v="0034 - PROGRAMA DE GESTAO E MANUTENCAO DO PODER LEGISLATIVO"/>
    <x v="696"/>
    <n v="0"/>
    <n v="0"/>
    <n v="0"/>
  </r>
  <r>
    <x v="0"/>
    <s v="2202 - DEFESA AGROPECUARIA"/>
    <x v="697"/>
    <n v="635690.54"/>
    <n v="38614.6"/>
    <n v="38614.6"/>
  </r>
  <r>
    <x v="0"/>
    <s v="6014 - PREVENCAO E CONTROLE DO DESMATAMENTO E DOS INCENDIOS NOS BIOMAS"/>
    <x v="698"/>
    <n v="13824424.26"/>
    <n v="837976.3"/>
    <n v="762296.96"/>
  </r>
  <r>
    <x v="0"/>
    <s v="3005 - TRANSPORTE AQUAVIARIO"/>
    <x v="155"/>
    <n v="0"/>
    <n v="0"/>
    <n v="0"/>
  </r>
  <r>
    <x v="0"/>
    <s v="0032 - PROGRAMA DE GESTAO E MANUTENCAO DO PODER EXECUTIVO"/>
    <x v="699"/>
    <n v="21902591.18"/>
    <n v="1744.76"/>
    <n v="1744.76"/>
  </r>
  <r>
    <x v="0"/>
    <s v="5034 - PROTECAO A VIDA, FORTALECIMENTO DA FAMILIA, PROMOCAO E DEFESA DOS DIREITOS HUMANOS PARA TODOS"/>
    <x v="700"/>
    <n v="140000"/>
    <n v="0"/>
    <n v="0"/>
  </r>
  <r>
    <x v="0"/>
    <s v="5018 - ATENCAO ESPECIALIZADA A SAUDE"/>
    <x v="437"/>
    <n v="7738750800.6499996"/>
    <n v="3713220052.4200001"/>
    <n v="3689892452.5"/>
  </r>
  <r>
    <x v="0"/>
    <s v="6011 - COOPERACAO COM O DESENVOLVIMENTO NACIONAL"/>
    <x v="701"/>
    <n v="0"/>
    <n v="0"/>
    <n v="0"/>
  </r>
  <r>
    <x v="0"/>
    <s v="1041 - CONSERVACAO E USO SUSTENTAVEL DA BIODIVERSIDADE E DOS RECURSOS NATURAIS"/>
    <x v="702"/>
    <n v="2596389.65"/>
    <n v="42271.27"/>
    <n v="26108.35"/>
  </r>
  <r>
    <x v="0"/>
    <s v="5016 - SEGURANCA PUBLICA, COMBATE A CORRUPCAO, AO CRIME ORGANIZADO E AO CRIME VIOLENTO"/>
    <x v="703"/>
    <n v="9008799.6999999993"/>
    <n v="795456.71"/>
    <n v="717793.87"/>
  </r>
  <r>
    <x v="0"/>
    <s v="3003 - PETROLEO, GAS, DERIVADOS E BIOCOMBUSTIVEIS"/>
    <x v="704"/>
    <n v="576397.06999999995"/>
    <n v="52559.28"/>
    <n v="49323.59"/>
  </r>
  <r>
    <x v="0"/>
    <s v="2106 - PROGRAMA DE GESTAO E MANUTENCAO DO MINISTERIO DA CIENCIA, TECNOLOGIA, INOVACOES E COMUNICACOES"/>
    <x v="52"/>
    <n v="0"/>
    <n v="0"/>
    <n v="0"/>
  </r>
  <r>
    <x v="0"/>
    <s v="2209 - BRASIL, NOSSO PROPOSITO"/>
    <x v="705"/>
    <n v="364752248"/>
    <n v="3910955.21"/>
    <n v="3910955.21"/>
  </r>
  <r>
    <x v="0"/>
    <s v="2222 - SANEAMENTO BASICO"/>
    <x v="706"/>
    <n v="4636.2"/>
    <n v="4636.2"/>
    <n v="0"/>
  </r>
  <r>
    <x v="0"/>
    <s v="5014 - ESTATISTICAS E AVALIACOES EDUCACIONAIS"/>
    <x v="707"/>
    <n v="2089919.04"/>
    <n v="14123.4"/>
    <n v="14123.4"/>
  </r>
  <r>
    <x v="0"/>
    <s v="2206 - POLITICA NUCLEAR"/>
    <x v="708"/>
    <n v="315400"/>
    <n v="306700"/>
    <n v="306700"/>
  </r>
  <r>
    <x v="0"/>
    <s v="0032 - PROGRAMA DE GESTAO E MANUTENCAO DO PODER EXECUTIVO"/>
    <x v="709"/>
    <n v="30660181.640000001"/>
    <n v="33809.599999999999"/>
    <n v="30503"/>
  </r>
  <r>
    <x v="0"/>
    <s v="3002 - GEOLOGIA, MINERACAO E TRANSFORMACAO MINERAL"/>
    <x v="710"/>
    <n v="5005486.41"/>
    <n v="71322.44"/>
    <n v="70352.570000000007"/>
  </r>
  <r>
    <x v="0"/>
    <s v="5011 - EDUCACAO BASICA DE QUALIDADE"/>
    <x v="188"/>
    <n v="0"/>
    <n v="0"/>
    <n v="0"/>
  </r>
  <r>
    <x v="0"/>
    <s v="1041 - CONSERVACAO E USO SUSTENTAVEL DA BIODIVERSIDADE E DOS RECURSOS NATURAIS"/>
    <x v="711"/>
    <n v="6525373.0300000003"/>
    <n v="37946.32"/>
    <n v="29415.37"/>
  </r>
  <r>
    <x v="0"/>
    <s v="2220 - MORADIA DIGNA"/>
    <x v="712"/>
    <n v="0"/>
    <n v="0"/>
    <n v="0"/>
  </r>
  <r>
    <x v="0"/>
    <s v="1031 - AGROPECUARIA SUSTENTAVEL"/>
    <x v="713"/>
    <n v="2306.3000000000002"/>
    <n v="0"/>
    <n v="0"/>
  </r>
  <r>
    <x v="0"/>
    <s v="5015 - JUSTICA"/>
    <x v="714"/>
    <n v="3172261.47"/>
    <n v="9013.4"/>
    <n v="6422.02"/>
  </r>
  <r>
    <x v="0"/>
    <s v="4004 - TRANSPARENCIA, INTEGRIDADE E COMBATE A CORRUPCAO"/>
    <x v="715"/>
    <n v="6193701.9000000004"/>
    <n v="335326.84999999998"/>
    <n v="189129.51"/>
  </r>
  <r>
    <x v="0"/>
    <s v="2218 - GESTAO DE RISCOS E DE DESASTRES"/>
    <x v="716"/>
    <n v="8411.8700000000008"/>
    <n v="6582.68"/>
    <n v="6343.46"/>
  </r>
  <r>
    <x v="0"/>
    <s v="6012 - DEFESA NACIONAL"/>
    <x v="717"/>
    <n v="986440.16"/>
    <n v="42227.65"/>
    <n v="6267.4"/>
  </r>
  <r>
    <x v="0"/>
    <s v="1041 - CONSERVACAO E USO SUSTENTAVEL DA BIODIVERSIDADE E DOS RECURSOS NATURAIS"/>
    <x v="718"/>
    <n v="24656"/>
    <n v="7061.01"/>
    <n v="0"/>
  </r>
  <r>
    <x v="0"/>
    <s v="2207 - PROGRAMA ESPACIAL BRASILEIRO"/>
    <x v="719"/>
    <n v="0"/>
    <n v="0"/>
    <n v="0"/>
  </r>
  <r>
    <x v="0"/>
    <s v="2202 - DEFESA AGROPECUARIA"/>
    <x v="720"/>
    <n v="115549.75999999999"/>
    <n v="54090.13"/>
    <n v="40743.11"/>
  </r>
  <r>
    <x v="0"/>
    <s v="6011 - COOPERACAO COM O DESENVOLVIMENTO NACIONAL"/>
    <x v="721"/>
    <n v="80500"/>
    <n v="26761.13"/>
    <n v="26761.13"/>
  </r>
  <r>
    <x v="0"/>
    <s v="5035 - PROMOCAO DE CIDADANIA POR MEIO DO AUXILIO BRASIL E DA ARTICULACAO DE POLITICAS PUBLICAS"/>
    <x v="462"/>
    <n v="799925.54"/>
    <n v="0"/>
    <n v="0"/>
  </r>
  <r>
    <x v="0"/>
    <s v="0032 - PROGRAMA DE GESTAO E MANUTENCAO DO PODER EXECUTIVO"/>
    <x v="722"/>
    <n v="71726.53"/>
    <n v="0"/>
    <n v="0"/>
  </r>
  <r>
    <x v="0"/>
    <s v="1031 - AGROPECUARIA SUSTENTAVEL"/>
    <x v="723"/>
    <n v="7661478.2000000002"/>
    <n v="7331961.8600000003"/>
    <n v="1258588.8"/>
  </r>
  <r>
    <x v="0"/>
    <s v="5021 - GESTAO E ORGANIZACAO DO SUS"/>
    <x v="724"/>
    <n v="160800"/>
    <n v="9538.4699999999993"/>
    <n v="8719.0499999999993"/>
  </r>
  <r>
    <x v="0"/>
    <s v="0617 - PROTECAO E PROMOCAO DOS DIREITOS DOS POVOS INDIGENAS"/>
    <x v="725"/>
    <n v="3002044.08"/>
    <n v="285052.28000000003"/>
    <n v="236558.91"/>
  </r>
  <r>
    <x v="0"/>
    <s v="6012 - DEFESA NACIONAL"/>
    <x v="726"/>
    <n v="2697485.75"/>
    <n v="50518.13"/>
    <n v="2353.35"/>
  </r>
  <r>
    <x v="0"/>
    <s v="2222 - SANEAMENTO BASICO"/>
    <x v="727"/>
    <n v="123000"/>
    <n v="1249.95"/>
    <n v="0"/>
  </r>
  <r>
    <x v="0"/>
    <s v="4003 - GARANTIA DA ESTABILIDADE MONETARIA E FINANCEIRA"/>
    <x v="728"/>
    <n v="3635350.58"/>
    <n v="872618.99"/>
    <n v="503018.13"/>
  </r>
  <r>
    <x v="0"/>
    <s v="0032 - PROGRAMA DE GESTAO E MANUTENCAO DO PODER EXECUTIVO"/>
    <x v="729"/>
    <n v="20614225533.990002"/>
    <n v="1935991513.5699999"/>
    <n v="1020559.36"/>
  </r>
  <r>
    <x v="0"/>
    <s v="5019 - ATENCAO PRIMARIA A SAUDE"/>
    <x v="730"/>
    <n v="266982150.38999999"/>
    <n v="126142970.34999999"/>
    <n v="28139987.73"/>
  </r>
  <r>
    <x v="0"/>
    <s v="0032 - PROGRAMA DE GESTAO E MANUTENCAO DO PODER EXECUTIVO"/>
    <x v="731"/>
    <n v="0"/>
    <n v="0"/>
    <n v="0"/>
  </r>
  <r>
    <x v="0"/>
    <s v="2216 - POLITICA EXTERNA"/>
    <x v="732"/>
    <n v="3023552"/>
    <n v="2638131.9700000002"/>
    <n v="2546112.29"/>
  </r>
  <r>
    <x v="0"/>
    <s v="6011 - COOPERACAO COM O DESENVOLVIMENTO NACIONAL"/>
    <x v="733"/>
    <n v="0"/>
    <n v="0"/>
    <n v="0"/>
  </r>
  <r>
    <x v="0"/>
    <s v="2216 - POLITICA EXTERNA"/>
    <x v="734"/>
    <n v="565615.26"/>
    <n v="203587.74"/>
    <n v="203587.74"/>
  </r>
  <r>
    <x v="0"/>
    <s v="5017 - ASSISTENCIA FARMACEUTICA NO SUS"/>
    <x v="735"/>
    <n v="712109600.02999997"/>
    <n v="0"/>
    <n v="0"/>
  </r>
  <r>
    <x v="0"/>
    <s v="6012 - DEFESA NACIONAL"/>
    <x v="736"/>
    <n v="297024.45"/>
    <n v="73506.460000000006"/>
    <n v="55108.45"/>
  </r>
  <r>
    <x v="0"/>
    <s v="1040 - GOVERNANCA FUNDIARIA"/>
    <x v="737"/>
    <n v="278989"/>
    <n v="17428.54"/>
    <n v="13116.99"/>
  </r>
  <r>
    <x v="0"/>
    <s v="1058 - MUDANCA DO CLIMA"/>
    <x v="738"/>
    <n v="0"/>
    <n v="0"/>
    <n v="0"/>
  </r>
  <r>
    <x v="0"/>
    <s v="6012 - DEFESA NACIONAL"/>
    <x v="739"/>
    <n v="254186.45"/>
    <n v="35579.769999999997"/>
    <n v="35579.769999999997"/>
  </r>
  <r>
    <x v="0"/>
    <s v="2214 - NOVA PREVIDENCIA"/>
    <x v="740"/>
    <n v="1152347.8600000001"/>
    <n v="8986"/>
    <n v="8986"/>
  </r>
  <r>
    <x v="0"/>
    <s v="6012 - DEFESA NACIONAL"/>
    <x v="741"/>
    <n v="733996.3"/>
    <n v="133185.54999999999"/>
    <n v="130584.45"/>
  </r>
  <r>
    <x v="0"/>
    <s v="5022 - PROTECAO, PROMOCAO E RECUPERACAO DA SAUDE INDIGENA"/>
    <x v="742"/>
    <n v="5394577.6799999997"/>
    <n v="651871.49"/>
    <n v="161990.24"/>
  </r>
  <r>
    <x v="0"/>
    <s v="3002 - GEOLOGIA, MINERACAO E TRANSFORMACAO MINERAL"/>
    <x v="743"/>
    <n v="133693.25"/>
    <n v="80116.710000000006"/>
    <n v="71100.87"/>
  </r>
  <r>
    <x v="0"/>
    <s v="1041 - CONSERVACAO E USO SUSTENTAVEL DA BIODIVERSIDADE E DOS RECURSOS NATURAIS"/>
    <x v="744"/>
    <n v="7000"/>
    <n v="253"/>
    <n v="253"/>
  </r>
  <r>
    <x v="0"/>
    <s v="0032 - PROGRAMA DE GESTAO E MANUTENCAO DO PODER EXECUTIVO"/>
    <x v="745"/>
    <n v="38241574565.099998"/>
    <n v="1912078728.25"/>
    <n v="1912078728.25"/>
  </r>
  <r>
    <x v="0"/>
    <s v="6012 - DEFESA NACIONAL"/>
    <x v="746"/>
    <n v="283558.55"/>
    <n v="17116.490000000002"/>
    <n v="2960.07"/>
  </r>
  <r>
    <x v="0"/>
    <s v="2217 - DESENVOLVIMENTO REGIONAL, TERRITORIAL E URBANO"/>
    <x v="30"/>
    <n v="464693.58"/>
    <n v="0"/>
    <n v="0"/>
  </r>
  <r>
    <x v="0"/>
    <s v="5013 - EDUCACAO SUPERIOR - GRADUACAO, POS-GRADUACAO, ENSINO, PESQUISA E EXTENSAO"/>
    <x v="184"/>
    <n v="27575.08"/>
    <n v="0"/>
    <n v="0"/>
  </r>
  <r>
    <x v="0"/>
    <s v="5011 - EDUCACAO BASICA DE QUALIDADE"/>
    <x v="747"/>
    <n v="7508405.1500000004"/>
    <n v="143482.34"/>
    <n v="86969.14"/>
  </r>
  <r>
    <x v="0"/>
    <s v="3002 - GEOLOGIA, MINERACAO E TRANSFORMACAO MINERAL"/>
    <x v="748"/>
    <n v="20209.09"/>
    <n v="5818.08"/>
    <n v="5392.46"/>
  </r>
  <r>
    <x v="0"/>
    <s v="2208 - TECNOLOGIAS APLICADAS, INOVACAO E DESENVOLVIMENTO SUSTENTAVEL"/>
    <x v="749"/>
    <n v="1654804.17"/>
    <n v="1654804.17"/>
    <n v="1654804.17"/>
  </r>
  <r>
    <x v="0"/>
    <s v="2209 - BRASIL, NOSSO PROPOSITO"/>
    <x v="750"/>
    <n v="1648150.39"/>
    <n v="546640.41"/>
    <n v="462513.54"/>
  </r>
  <r>
    <x v="0"/>
    <s v="6012 - DEFESA NACIONAL"/>
    <x v="751"/>
    <n v="2889"/>
    <n v="0"/>
    <n v="0"/>
  </r>
  <r>
    <x v="0"/>
    <s v="5011 - EDUCACAO BASICA DE QUALIDADE"/>
    <x v="752"/>
    <n v="0"/>
    <n v="0"/>
    <n v="0"/>
  </r>
  <r>
    <x v="0"/>
    <s v="6011 - COOPERACAO COM O DESENVOLVIMENTO NACIONAL"/>
    <x v="134"/>
    <n v="0"/>
    <n v="0"/>
    <n v="0"/>
  </r>
  <r>
    <x v="0"/>
    <s v="5015 - JUSTICA"/>
    <x v="308"/>
    <n v="0"/>
    <n v="0"/>
    <n v="0"/>
  </r>
  <r>
    <x v="0"/>
    <s v="5025 - CULTURA"/>
    <x v="753"/>
    <n v="0"/>
    <n v="0"/>
    <n v="0"/>
  </r>
  <r>
    <x v="0"/>
    <s v="5016 - SEGURANCA PUBLICA, COMBATE A CORRUPCAO, AO CRIME ORGANIZADO E AO CRIME VIOLENTO"/>
    <x v="754"/>
    <n v="0"/>
    <n v="0"/>
    <n v="0"/>
  </r>
  <r>
    <x v="0"/>
    <s v="5014 - ESTATISTICAS E AVALIACOES EDUCACIONAIS"/>
    <x v="755"/>
    <n v="8444474.6799999997"/>
    <n v="34237.08"/>
    <n v="34237.08"/>
  </r>
  <r>
    <x v="0"/>
    <s v="1031 - AGROPECUARIA SUSTENTAVEL"/>
    <x v="756"/>
    <n v="332116.13"/>
    <n v="149636.79"/>
    <n v="130166.79"/>
  </r>
  <r>
    <x v="0"/>
    <s v="2217 - DESENVOLVIMENTO REGIONAL, TERRITORIAL E URBANO"/>
    <x v="757"/>
    <n v="0"/>
    <n v="0"/>
    <n v="0"/>
  </r>
  <r>
    <x v="0"/>
    <s v="5025 - CULTURA"/>
    <x v="488"/>
    <n v="56776.34"/>
    <n v="8146.64"/>
    <n v="885.09"/>
  </r>
  <r>
    <x v="0"/>
    <s v="6012 - DEFESA NACIONAL"/>
    <x v="758"/>
    <n v="6157555.4199999999"/>
    <n v="407009.39"/>
    <n v="393305.34"/>
  </r>
  <r>
    <x v="0"/>
    <s v="5012 - EDUCACAO PROFISSIONAL E TECNOLOGICA"/>
    <x v="759"/>
    <n v="539928.97"/>
    <n v="83066.899999999994"/>
    <n v="10900"/>
  </r>
  <r>
    <x v="0"/>
    <s v="0032 - PROGRAMA DE GESTAO E MANUTENCAO DO PODER EXECUTIVO"/>
    <x v="760"/>
    <n v="6068458.8899999997"/>
    <n v="1486046.01"/>
    <n v="1440437.51"/>
  </r>
  <r>
    <x v="0"/>
    <s v="6012 - DEFESA NACIONAL"/>
    <x v="761"/>
    <n v="3513347.73"/>
    <n v="69564.990000000005"/>
    <n v="600"/>
  </r>
  <r>
    <x v="0"/>
    <s v="2068 - SANEAMENTO BASICO"/>
    <x v="611"/>
    <n v="0"/>
    <n v="0"/>
    <n v="0"/>
  </r>
  <r>
    <x v="0"/>
    <s v="5013 - EDUCACAO SUPERIOR - GRADUACAO, POS-GRADUACAO, ENSINO, PESQUISA E EXTENSAO"/>
    <x v="129"/>
    <n v="14626384.08"/>
    <n v="797905.04"/>
    <n v="18922"/>
  </r>
  <r>
    <x v="0"/>
    <s v="5013 - EDUCACAO SUPERIOR - GRADUACAO, POS-GRADUACAO, ENSINO, PESQUISA E EXTENSAO"/>
    <x v="762"/>
    <n v="6596028.29"/>
    <n v="174219.83"/>
    <n v="12500.94"/>
  </r>
  <r>
    <x v="0"/>
    <s v="6012 - DEFESA NACIONAL"/>
    <x v="763"/>
    <n v="1833839"/>
    <n v="0"/>
    <n v="0"/>
  </r>
  <r>
    <x v="0"/>
    <s v="6013 - OCEANOS, ZONA COSTEIRA E ANTARTICA"/>
    <x v="764"/>
    <n v="16312.69"/>
    <n v="16312.69"/>
    <n v="15136.39"/>
  </r>
  <r>
    <x v="0"/>
    <s v="0909 - OPERACOES ESPECIAIS: OUTROS ENCARGOS ESPECIAIS"/>
    <x v="765"/>
    <n v="74500000"/>
    <n v="0"/>
    <n v="0"/>
  </r>
  <r>
    <x v="0"/>
    <s v="5013 - EDUCACAO SUPERIOR - GRADUACAO, POS-GRADUACAO, ENSINO, PESQUISA E EXTENSAO"/>
    <x v="396"/>
    <n v="98572495.909999996"/>
    <n v="16370544.58"/>
    <n v="11409214.58"/>
  </r>
  <r>
    <x v="0"/>
    <s v="0909 - OPERACOES ESPECIAIS: OUTROS ENCARGOS ESPECIAIS"/>
    <x v="766"/>
    <n v="1051394485.86"/>
    <n v="75248564.260000005"/>
    <n v="1239483.75"/>
  </r>
  <r>
    <x v="0"/>
    <s v="2212 - MELHORIA DO AMBIENTE DE NEGOCIOS E DA PRODUTIVIDADE"/>
    <x v="767"/>
    <n v="34371.97"/>
    <n v="0"/>
    <n v="0"/>
  </r>
  <r>
    <x v="0"/>
    <s v="5012 - EDUCACAO PROFISSIONAL E TECNOLOGICA"/>
    <x v="454"/>
    <n v="13929597.67"/>
    <n v="1975091.96"/>
    <n v="381681.32"/>
  </r>
  <r>
    <x v="0"/>
    <s v="6012 - DEFESA NACIONAL"/>
    <x v="768"/>
    <n v="1144735.69"/>
    <n v="0"/>
    <n v="0"/>
  </r>
  <r>
    <x v="0"/>
    <s v="2080 - EDUCACAO DE QUALIDADE PARA TODOS"/>
    <x v="769"/>
    <n v="0"/>
    <n v="0"/>
    <n v="0"/>
  </r>
  <r>
    <x v="0"/>
    <s v="5012 - EDUCACAO PROFISSIONAL E TECNOLOGICA"/>
    <x v="526"/>
    <n v="0"/>
    <n v="0"/>
    <n v="0"/>
  </r>
  <r>
    <x v="0"/>
    <s v="0032 - PROGRAMA DE GESTAO E MANUTENCAO DO PODER EXECUTIVO"/>
    <x v="770"/>
    <n v="55487251.579999998"/>
    <n v="37509147.939999998"/>
    <n v="32162435.18"/>
  </r>
  <r>
    <x v="0"/>
    <s v="5012 - EDUCACAO PROFISSIONAL E TECNOLOGICA"/>
    <x v="682"/>
    <n v="706740.1"/>
    <n v="135170.57999999999"/>
    <n v="12344.7"/>
  </r>
  <r>
    <x v="0"/>
    <s v="2015 - FORTALECIMENTO DO SISTEMA UNICO DE SAUDE (SUS)"/>
    <x v="771"/>
    <n v="0"/>
    <n v="0"/>
    <n v="0"/>
  </r>
  <r>
    <x v="0"/>
    <s v="5031 - PROTECAO SOCIAL NO AMBITO DO SISTEMA UNICO DE ASSISTENCIA SOCIAL (SUAS)"/>
    <x v="772"/>
    <n v="153920870"/>
    <n v="100097.24"/>
    <n v="51571.03"/>
  </r>
  <r>
    <x v="0"/>
    <s v="6012 - DEFESA NACIONAL"/>
    <x v="773"/>
    <n v="2684660.23"/>
    <n v="52021.919999999998"/>
    <n v="17563.72"/>
  </r>
  <r>
    <x v="0"/>
    <s v="2206 - POLITICA NUCLEAR"/>
    <x v="774"/>
    <n v="146867.76999999999"/>
    <n v="32440.12"/>
    <n v="29639.62"/>
  </r>
  <r>
    <x v="0"/>
    <s v="5013 - EDUCACAO SUPERIOR - GRADUACAO, POS-GRADUACAO, ENSINO, PESQUISA E EXTENSAO"/>
    <x v="769"/>
    <n v="282985312.18000001"/>
    <n v="114063742.01000001"/>
    <n v="46735976.210000001"/>
  </r>
  <r>
    <x v="0"/>
    <s v="2216 - POLITICA EXTERNA"/>
    <x v="775"/>
    <n v="301261.03000000003"/>
    <n v="250207.02"/>
    <n v="249824.82"/>
  </r>
  <r>
    <x v="0"/>
    <s v="0617 - PROTECAO E PROMOCAO DOS DIREITOS DOS POVOS INDIGENAS"/>
    <x v="776"/>
    <n v="1264279.8600000001"/>
    <n v="44076.49"/>
    <n v="37442.07"/>
  </r>
  <r>
    <x v="0"/>
    <s v="6012 - DEFESA NACIONAL"/>
    <x v="777"/>
    <n v="730073.21"/>
    <n v="178104.36"/>
    <n v="178104.36"/>
  </r>
  <r>
    <x v="0"/>
    <s v="6013 - OCEANOS, ZONA COSTEIRA E ANTARTICA"/>
    <x v="778"/>
    <n v="0"/>
    <n v="0"/>
    <n v="0"/>
  </r>
  <r>
    <x v="0"/>
    <s v="0032 - PROGRAMA DE GESTAO E MANUTENCAO DO PODER EXECUTIVO"/>
    <x v="779"/>
    <n v="15243.2"/>
    <n v="0"/>
    <n v="0"/>
  </r>
  <r>
    <x v="0"/>
    <s v="2203 - PESQUISA E INOVACAO AGROPECUARIA"/>
    <x v="780"/>
    <n v="0"/>
    <n v="0"/>
    <n v="0"/>
  </r>
  <r>
    <x v="0"/>
    <s v="2216 - POLITICA EXTERNA"/>
    <x v="781"/>
    <n v="48540646.030000001"/>
    <n v="39679498.979999997"/>
    <n v="37829568.399999999"/>
  </r>
  <r>
    <x v="0"/>
    <s v="0032 - PROGRAMA DE GESTAO E MANUTENCAO DO PODER EXECUTIVO"/>
    <x v="782"/>
    <n v="66972179959.949997"/>
    <n v="7416412292.5100002"/>
    <n v="1929654223.0599999"/>
  </r>
  <r>
    <x v="0"/>
    <s v="2217 - DESENVOLVIMENTO REGIONAL, TERRITORIAL E URBANO"/>
    <x v="783"/>
    <n v="0"/>
    <n v="0"/>
    <n v="0"/>
  </r>
  <r>
    <x v="0"/>
    <s v="5013 - EDUCACAO SUPERIOR - GRADUACAO, POS-GRADUACAO, ENSINO, PESQUISA E EXTENSAO"/>
    <x v="784"/>
    <n v="77061822.969999999"/>
    <n v="24389008.73"/>
    <n v="2273978.7599999998"/>
  </r>
  <r>
    <x v="0"/>
    <s v="5016 - SEGURANCA PUBLICA, COMBATE A CORRUPCAO, AO CRIME ORGANIZADO E AO CRIME VIOLENTO"/>
    <x v="785"/>
    <n v="30467282.780000001"/>
    <n v="8821337.9700000007"/>
    <n v="6103861.3300000001"/>
  </r>
  <r>
    <x v="0"/>
    <s v="2218 - GESTAO DE RISCOS E DE DESASTRES"/>
    <x v="786"/>
    <n v="73036497.700000003"/>
    <n v="23074633.48"/>
    <n v="19522606.530000001"/>
  </r>
  <r>
    <x v="0"/>
    <s v="6012 - DEFESA NACIONAL"/>
    <x v="787"/>
    <n v="16809168.489999998"/>
    <n v="1599387.25"/>
    <n v="1350983.48"/>
  </r>
  <r>
    <x v="0"/>
    <s v="0032 - PROGRAMA DE GESTAO E MANUTENCAO DO PODER EXECUTIVO"/>
    <x v="575"/>
    <n v="0"/>
    <n v="0"/>
    <n v="0"/>
  </r>
  <r>
    <x v="0"/>
    <s v="0032 - PROGRAMA DE GESTAO E MANUTENCAO DO PODER EXECUTIVO"/>
    <x v="52"/>
    <n v="779005410.83000004"/>
    <n v="70105171.760000005"/>
    <n v="42877720.240000002"/>
  </r>
  <r>
    <x v="0"/>
    <s v="0032 - PROGRAMA DE GESTAO E MANUTENCAO DO PODER EXECUTIVO"/>
    <x v="628"/>
    <n v="12245209077.33"/>
    <n v="1147766485.3900001"/>
    <n v="1124603092.79"/>
  </r>
  <r>
    <x v="0"/>
    <s v="6012 - DEFESA NACIONAL"/>
    <x v="788"/>
    <n v="141597582.87"/>
    <n v="50795133.939999998"/>
    <n v="16577706"/>
  </r>
  <r>
    <x v="0"/>
    <s v="0032 - PROGRAMA DE GESTAO E MANUTENCAO DO PODER EXECUTIVO"/>
    <x v="114"/>
    <n v="1641380740.6700001"/>
    <n v="179408614.08000001"/>
    <n v="25833420.260000002"/>
  </r>
  <r>
    <x v="0"/>
    <s v="2202 - DEFESA AGROPECUARIA"/>
    <x v="789"/>
    <n v="2181033.91"/>
    <n v="419385.52"/>
    <n v="314399.82"/>
  </r>
  <r>
    <x v="0"/>
    <s v="3002 - GEOLOGIA, MINERACAO E TRANSFORMACAO MINERAL"/>
    <x v="790"/>
    <n v="70428.36"/>
    <n v="220"/>
    <n v="220"/>
  </r>
  <r>
    <x v="0"/>
    <s v="0032 - PROGRAMA DE GESTAO E MANUTENCAO DO PODER EXECUTIVO"/>
    <x v="791"/>
    <n v="52629761748.660004"/>
    <n v="5584809482.4499998"/>
    <n v="759903376.29999995"/>
  </r>
  <r>
    <x v="0"/>
    <s v="5033 - SEGURANCA ALIMENTAR E NUTRICIONAL"/>
    <x v="792"/>
    <n v="11964.52"/>
    <n v="11964.52"/>
    <n v="11964.52"/>
  </r>
  <r>
    <x v="0"/>
    <s v="5013 - EDUCACAO SUPERIOR - GRADUACAO, POS-GRADUACAO, ENSINO, PESQUISA E EXTENSAO"/>
    <x v="793"/>
    <n v="68466193.480000004"/>
    <n v="65420784.810000002"/>
    <n v="788257.76"/>
  </r>
  <r>
    <x v="0"/>
    <s v="5026 - ESPORTE"/>
    <x v="794"/>
    <n v="0"/>
    <n v="0"/>
    <n v="0"/>
  </r>
  <r>
    <x v="0"/>
    <s v="6012 - DEFESA NACIONAL"/>
    <x v="25"/>
    <n v="8715954.3499999996"/>
    <n v="6470.78"/>
    <n v="1343.55"/>
  </r>
  <r>
    <x v="0"/>
    <s v="0032 - PROGRAMA DE GESTAO E MANUTENCAO DO PODER EXECUTIVO"/>
    <x v="795"/>
    <n v="2526576.11"/>
    <n v="10762.77"/>
    <n v="28.13"/>
  </r>
  <r>
    <x v="0"/>
    <s v="0032 - PROGRAMA DE GESTAO E MANUTENCAO DO PODER EXECUTIVO"/>
    <x v="40"/>
    <n v="3272157.49"/>
    <n v="297646.7"/>
    <n v="81407.56"/>
  </r>
  <r>
    <x v="0"/>
    <s v="0032 - PROGRAMA DE GESTAO E MANUTENCAO DO PODER EXECUTIVO"/>
    <x v="796"/>
    <n v="4729798957.04"/>
    <n v="539529380.58000004"/>
    <n v="101372056.44"/>
  </r>
  <r>
    <x v="0"/>
    <s v="5012 - EDUCACAO PROFISSIONAL E TECNOLOGICA"/>
    <x v="365"/>
    <n v="131538899.98999999"/>
    <n v="20275109.09"/>
    <n v="7312072.2800000003"/>
  </r>
  <r>
    <x v="0"/>
    <s v="2222 - SANEAMENTO BASICO"/>
    <x v="797"/>
    <n v="802000"/>
    <n v="0"/>
    <n v="0"/>
  </r>
  <r>
    <x v="0"/>
    <s v="5013 - EDUCACAO SUPERIOR - GRADUACAO, POS-GRADUACAO, ENSINO, PESQUISA E EXTENSAO"/>
    <x v="798"/>
    <n v="12029813.82"/>
    <n v="3501087.59"/>
    <n v="404457.67"/>
  </r>
  <r>
    <x v="1"/>
    <s v="0031 - PROGRAMA DE GESTAO E MANUTENCAO DO MINISTERIO PUBLICO"/>
    <x v="799"/>
    <n v="0"/>
    <n v="0"/>
    <n v="0"/>
  </r>
  <r>
    <x v="1"/>
    <s v="2058 - DEFESA NACIONAL"/>
    <x v="589"/>
    <n v="0"/>
    <n v="0"/>
    <n v="0"/>
  </r>
  <r>
    <x v="1"/>
    <s v="2206 - POLITICA NUCLEAR"/>
    <x v="10"/>
    <n v="3301432.97"/>
    <n v="3809423.23"/>
    <n v="1818300.38"/>
  </r>
  <r>
    <x v="1"/>
    <s v="3006 - TRANSPORTE TERRESTRE E TRANSITO"/>
    <x v="242"/>
    <n v="2427924"/>
    <n v="0"/>
    <n v="0"/>
  </r>
  <r>
    <x v="1"/>
    <s v="2204 - BRASIL NA FRONTEIRA DO CONHECIMENTO"/>
    <x v="23"/>
    <n v="0"/>
    <n v="0"/>
    <n v="0"/>
  </r>
  <r>
    <x v="1"/>
    <s v="2223 - A HORA DO TURISMO"/>
    <x v="800"/>
    <n v="0"/>
    <n v="0"/>
    <n v="0"/>
  </r>
  <r>
    <x v="1"/>
    <s v="2069 - SEGURANCA ALIMENTAR E NUTRICIONAL"/>
    <x v="564"/>
    <n v="0"/>
    <n v="0"/>
    <n v="0"/>
  </r>
  <r>
    <x v="1"/>
    <s v="2068 - SANEAMENTO BASICO"/>
    <x v="267"/>
    <n v="0"/>
    <n v="0"/>
    <n v="0"/>
  </r>
  <r>
    <x v="1"/>
    <s v="5035 - PROMOCAO DE CIDADANIA POR MEIO DO AUXILIO BRASIL E DA ARTICULACAO DE POLITICAS PUBLICAS"/>
    <x v="200"/>
    <n v="0"/>
    <n v="0"/>
    <n v="0"/>
  </r>
  <r>
    <x v="1"/>
    <s v="0909 - OPERACOES ESPECIAIS: OUTROS ENCARGOS ESPECIAIS"/>
    <x v="104"/>
    <n v="0"/>
    <n v="0"/>
    <n v="0"/>
  </r>
  <r>
    <x v="1"/>
    <s v="2208 - TECNOLOGIAS APLICADAS, INOVACAO E DESENVOLVIMENTO SUSTENTAVEL"/>
    <x v="801"/>
    <n v="0"/>
    <n v="0"/>
    <n v="0"/>
  </r>
  <r>
    <x v="1"/>
    <s v="0032 - PROGRAMA DE GESTAO E MANUTENCAO DO PODER EXECUTIVO"/>
    <x v="802"/>
    <n v="2071514.69"/>
    <n v="162659.18"/>
    <n v="157867.64000000001"/>
  </r>
  <r>
    <x v="1"/>
    <s v="0032 - PROGRAMA DE GESTAO E MANUTENCAO DO PODER EXECUTIVO"/>
    <x v="90"/>
    <n v="2534000"/>
    <n v="1004071.13"/>
    <n v="968928.65"/>
  </r>
  <r>
    <x v="1"/>
    <s v="0151 - PROTECAO DE TERRAS INDIGENAS, GESTAO TERRITORIAL E ETNODESENVOLVIMENTO"/>
    <x v="459"/>
    <n v="1.01"/>
    <n v="0"/>
    <n v="0"/>
  </r>
  <r>
    <x v="1"/>
    <s v="2215 - POLITICA ECONOMICA E EQUILIBRIO FISCAL"/>
    <x v="364"/>
    <n v="0"/>
    <n v="0"/>
    <n v="0"/>
  </r>
  <r>
    <x v="1"/>
    <s v="1031 - AGROPECUARIA SUSTENTAVEL"/>
    <x v="15"/>
    <n v="0"/>
    <n v="188717122.47"/>
    <n v="188717122.47"/>
  </r>
  <r>
    <x v="1"/>
    <s v="0032 - PROGRAMA DE GESTAO E MANUTENCAO DO PODER EXECUTIVO"/>
    <x v="745"/>
    <n v="0"/>
    <n v="2103286601.0799999"/>
    <n v="2103286601.0799999"/>
  </r>
  <r>
    <x v="1"/>
    <s v="5026 - ESPORTE"/>
    <x v="223"/>
    <n v="0"/>
    <n v="0"/>
    <n v="0"/>
  </r>
  <r>
    <x v="1"/>
    <s v="2050 - MUDANCA DO CLIMA"/>
    <x v="620"/>
    <n v="0"/>
    <n v="0"/>
    <n v="0"/>
  </r>
  <r>
    <x v="1"/>
    <s v="0903 - OPERACOES ESPECIAIS: TRANSFERENCIAS CONSTITUCIONAIS E AS DECORRENTES DE LEGISLACAO ESPECIFICA"/>
    <x v="156"/>
    <n v="5304389595.1899996"/>
    <n v="5304389595.1899996"/>
    <n v="5304389595.1899996"/>
  </r>
  <r>
    <x v="1"/>
    <s v="2012 - FORTALECIMENTO E DINAMIZACAO DA AGRICULTURA FAMILIAR"/>
    <x v="569"/>
    <n v="0"/>
    <n v="0"/>
    <n v="0"/>
  </r>
  <r>
    <x v="1"/>
    <s v="2201 - BRASIL MODERNIZA"/>
    <x v="14"/>
    <n v="0"/>
    <n v="0"/>
    <n v="0"/>
  </r>
  <r>
    <x v="1"/>
    <s v="2210 - EMPREGABILIDADE"/>
    <x v="803"/>
    <n v="0"/>
    <n v="0"/>
    <n v="0"/>
  </r>
  <r>
    <x v="1"/>
    <s v="6012 - DEFESA NACIONAL"/>
    <x v="445"/>
    <n v="0"/>
    <n v="0"/>
    <n v="0"/>
  </r>
  <r>
    <x v="1"/>
    <s v="4003 - GARANTIA DA ESTABILIDADE MONETARIA E FINANCEIRA"/>
    <x v="728"/>
    <n v="6331690.0599999996"/>
    <n v="3021895.81"/>
    <n v="2633087.92"/>
  </r>
  <r>
    <x v="1"/>
    <s v="2204 - BRASIL NA FRONTEIRA DO CONHECIMENTO"/>
    <x v="11"/>
    <n v="0"/>
    <n v="0"/>
    <n v="0"/>
  </r>
  <r>
    <x v="1"/>
    <s v="2080 - EDUCACAO DE QUALIDADE PARA TODOS"/>
    <x v="752"/>
    <n v="0"/>
    <n v="0"/>
    <n v="0"/>
  </r>
  <r>
    <x v="1"/>
    <s v="0032 - PROGRAMA DE GESTAO E MANUTENCAO DO PODER EXECUTIVO"/>
    <x v="731"/>
    <n v="0"/>
    <n v="0"/>
    <n v="0"/>
  </r>
  <r>
    <x v="1"/>
    <s v="2211 - INSERCAO ECONOMICA INTERNACIONAL"/>
    <x v="352"/>
    <n v="0"/>
    <n v="0"/>
    <n v="0"/>
  </r>
  <r>
    <x v="1"/>
    <s v="5023 - VIGILANCIA EM SAUDE"/>
    <x v="102"/>
    <n v="0"/>
    <n v="0"/>
    <n v="0"/>
  </r>
  <r>
    <x v="1"/>
    <s v="2208 - TECNOLOGIAS APLICADAS, INOVACAO E DESENVOLVIMENTO SUSTENTAVEL"/>
    <x v="749"/>
    <n v="295488.71999999997"/>
    <n v="295488.71999999997"/>
    <n v="295488.71999999997"/>
  </r>
  <r>
    <x v="1"/>
    <s v="2208 - TECNOLOGIAS APLICADAS, INOVACAO E DESENVOLVIMENTO SUSTENTAVEL"/>
    <x v="804"/>
    <n v="0"/>
    <n v="0"/>
    <n v="0"/>
  </r>
  <r>
    <x v="1"/>
    <s v="1041 - CONSERVACAO E USO SUSTENTAVEL DA BIODIVERSIDADE E DOS RECURSOS NATURAIS"/>
    <x v="164"/>
    <n v="62924.480000000003"/>
    <n v="971953.79"/>
    <n v="73682.27"/>
  </r>
  <r>
    <x v="1"/>
    <s v="6013 - OCEANOS, ZONA COSTEIRA E ANTARTICA"/>
    <x v="805"/>
    <n v="0"/>
    <n v="0"/>
    <n v="0"/>
  </r>
  <r>
    <x v="1"/>
    <s v="2217 - DESENVOLVIMENTO REGIONAL, TERRITORIAL E URBANO"/>
    <x v="783"/>
    <n v="0"/>
    <n v="0"/>
    <n v="0"/>
  </r>
  <r>
    <x v="1"/>
    <s v="2213 - MODERNIZACAO TRABALHISTA E TRABALHO DIGNO"/>
    <x v="159"/>
    <n v="30893.22"/>
    <n v="11183.78"/>
    <n v="24434.880000000001"/>
  </r>
  <r>
    <x v="1"/>
    <s v="3006 - TRANSPORTE TERRESTRE E TRANSITO"/>
    <x v="806"/>
    <n v="0"/>
    <n v="0"/>
    <n v="0"/>
  </r>
  <r>
    <x v="1"/>
    <s v="2212 - MELHORIA DO AMBIENTE DE NEGOCIOS E DA PRODUTIVIDADE"/>
    <x v="168"/>
    <n v="0"/>
    <n v="0"/>
    <n v="0"/>
  </r>
  <r>
    <x v="1"/>
    <s v="3006 - TRANSPORTE TERRESTRE E TRANSITO"/>
    <x v="485"/>
    <n v="0"/>
    <n v="0"/>
    <n v="0"/>
  </r>
  <r>
    <x v="1"/>
    <s v="5017 - ASSISTENCIA FARMACEUTICA NO SUS"/>
    <x v="121"/>
    <n v="167122655.52000001"/>
    <n v="35142.800000000003"/>
    <n v="35142.800000000003"/>
  </r>
  <r>
    <x v="1"/>
    <s v="2221 - RECURSOS HIDRICOS"/>
    <x v="807"/>
    <n v="0"/>
    <n v="0"/>
    <n v="0"/>
  </r>
  <r>
    <x v="1"/>
    <s v="0902 - OPERACOES ESPECIAIS: FINANCIAMENTOS COM RETORNO"/>
    <x v="619"/>
    <n v="0"/>
    <n v="234237990.28999999"/>
    <n v="234237990.28999999"/>
  </r>
  <r>
    <x v="1"/>
    <s v="6014 - PREVENCAO E CONTROLE DO DESMATAMENTO E DOS INCENDIOS NOS BIOMAS"/>
    <x v="620"/>
    <n v="49132.98"/>
    <n v="0"/>
    <n v="0"/>
  </r>
  <r>
    <x v="1"/>
    <s v="0903 - OPERACOES ESPECIAIS: TRANSFERENCIAS CONSTITUCIONAIS E AS DECORRENTES DE LEGISLACAO ESPECIFICA"/>
    <x v="298"/>
    <n v="0"/>
    <n v="28982392.550000001"/>
    <n v="28982392.550000001"/>
  </r>
  <r>
    <x v="1"/>
    <s v="3006 - TRANSPORTE TERRESTRE E TRANSITO"/>
    <x v="808"/>
    <n v="6380356"/>
    <n v="0"/>
    <n v="0"/>
  </r>
  <r>
    <x v="1"/>
    <s v="2208 - TECNOLOGIAS APLICADAS, INOVACAO E DESENVOLVIMENTO SUSTENTAVEL"/>
    <x v="373"/>
    <n v="0"/>
    <n v="0"/>
    <n v="0"/>
  </r>
  <r>
    <x v="1"/>
    <s v="2084 - RECURSOS HIDRICOS"/>
    <x v="232"/>
    <n v="0"/>
    <n v="0"/>
    <n v="0"/>
  </r>
  <r>
    <x v="1"/>
    <s v="2217 - DESENVOLVIMENTO REGIONAL, TERRITORIAL E URBANO"/>
    <x v="809"/>
    <n v="0"/>
    <n v="0"/>
    <n v="0"/>
  </r>
  <r>
    <x v="1"/>
    <s v="0909 - OPERACOES ESPECIAIS: OUTROS ENCARGOS ESPECIAIS"/>
    <x v="765"/>
    <n v="282205000"/>
    <n v="0"/>
    <n v="0"/>
  </r>
  <r>
    <x v="1"/>
    <s v="5031 - PROTECAO SOCIAL NO AMBITO DO SISTEMA UNICO DE ASSISTENCIA SOCIAL (SUAS)"/>
    <x v="463"/>
    <n v="0"/>
    <n v="0"/>
    <n v="0"/>
  </r>
  <r>
    <x v="1"/>
    <s v="5019 - ATENCAO PRIMARIA A SAUDE"/>
    <x v="402"/>
    <n v="651007812"/>
    <n v="651007812"/>
    <n v="651007812"/>
  </r>
  <r>
    <x v="1"/>
    <s v="3006 - TRANSPORTE TERRESTRE E TRANSITO"/>
    <x v="195"/>
    <n v="3571733.2"/>
    <n v="0"/>
    <n v="0"/>
  </r>
  <r>
    <x v="1"/>
    <s v="2080 - EDUCACAO DE QUALIDADE PARA TODOS"/>
    <x v="657"/>
    <n v="0"/>
    <n v="0"/>
    <n v="0"/>
  </r>
  <r>
    <x v="1"/>
    <s v="5016 - SEGURANCA PUBLICA, COMBATE A CORRUPCAO, AO CRIME ORGANIZADO E AO CRIME VIOLENTO"/>
    <x v="636"/>
    <n v="756200"/>
    <n v="52600"/>
    <n v="52600"/>
  </r>
  <r>
    <x v="1"/>
    <s v="1041 - CONSERVACAO E USO SUSTENTAVEL DA BIODIVERSIDADE E DOS RECURSOS NATURAIS"/>
    <x v="293"/>
    <n v="-147222"/>
    <n v="0"/>
    <n v="0"/>
  </r>
  <r>
    <x v="1"/>
    <s v="2208 - TECNOLOGIAS APLICADAS, INOVACAO E DESENVOLVIMENTO SUSTENTAVEL"/>
    <x v="333"/>
    <n v="12369677"/>
    <n v="12312677"/>
    <n v="4420749.76"/>
  </r>
  <r>
    <x v="1"/>
    <s v="3006 - TRANSPORTE TERRESTRE E TRANSITO"/>
    <x v="810"/>
    <n v="4742920"/>
    <n v="0"/>
    <n v="0"/>
  </r>
  <r>
    <x v="1"/>
    <s v="1031 - AGROPECUARIA SUSTENTAVEL"/>
    <x v="259"/>
    <n v="256000"/>
    <n v="2064876.94"/>
    <n v="2064876.94"/>
  </r>
  <r>
    <x v="1"/>
    <s v="0032 - PROGRAMA DE GESTAO E MANUTENCAO DO PODER EXECUTIVO"/>
    <x v="73"/>
    <n v="0"/>
    <n v="0"/>
    <n v="0"/>
  </r>
  <r>
    <x v="1"/>
    <s v="6012 - DEFESA NACIONAL"/>
    <x v="65"/>
    <n v="219344"/>
    <n v="9435.94"/>
    <n v="2348.14"/>
  </r>
  <r>
    <x v="1"/>
    <s v="2211 - INSERCAO ECONOMICA INTERNACIONAL"/>
    <x v="56"/>
    <n v="-91385000"/>
    <n v="120000000"/>
    <n v="120000000"/>
  </r>
  <r>
    <x v="1"/>
    <s v="3006 - TRANSPORTE TERRESTRE E TRANSITO"/>
    <x v="811"/>
    <n v="545787"/>
    <n v="0"/>
    <n v="0"/>
  </r>
  <r>
    <x v="1"/>
    <s v="0031 - PROGRAMA DE GESTAO E MANUTENCAO DO MINISTERIO PUBLICO"/>
    <x v="812"/>
    <n v="0"/>
    <n v="0"/>
    <n v="0"/>
  </r>
  <r>
    <x v="1"/>
    <s v="3004 - AVIACAO CIVIL"/>
    <x v="813"/>
    <n v="0"/>
    <n v="0"/>
    <n v="0"/>
  </r>
  <r>
    <x v="1"/>
    <s v="3006 - TRANSPORTE TERRESTRE E TRANSITO"/>
    <x v="216"/>
    <n v="359261.21"/>
    <n v="359261.21"/>
    <n v="359261.21"/>
  </r>
  <r>
    <x v="1"/>
    <s v="5016 - SEGURANCA PUBLICA, COMBATE A CORRUPCAO, AO CRIME ORGANIZADO E AO CRIME VIOLENTO"/>
    <x v="814"/>
    <n v="365553.49"/>
    <n v="0"/>
    <n v="0"/>
  </r>
  <r>
    <x v="1"/>
    <s v="3006 - TRANSPORTE TERRESTRE E TRANSITO"/>
    <x v="411"/>
    <n v="0"/>
    <n v="0"/>
    <n v="0"/>
  </r>
  <r>
    <x v="1"/>
    <s v="5033 - SEGURANCA ALIMENTAR E NUTRICIONAL"/>
    <x v="325"/>
    <n v="0"/>
    <n v="0"/>
    <n v="0"/>
  </r>
  <r>
    <x v="1"/>
    <s v="0032 - PROGRAMA DE GESTAO E MANUTENCAO DO PODER EXECUTIVO"/>
    <x v="435"/>
    <n v="16986.599999999999"/>
    <n v="216305.04"/>
    <n v="216305.04"/>
  </r>
  <r>
    <x v="1"/>
    <s v="2068 - SANEAMENTO BASICO"/>
    <x v="105"/>
    <n v="0"/>
    <n v="0"/>
    <n v="0"/>
  </r>
  <r>
    <x v="1"/>
    <s v="2215 - POLITICA ECONOMICA E EQUILIBRIO FISCAL"/>
    <x v="815"/>
    <n v="0"/>
    <n v="0"/>
    <n v="0"/>
  </r>
  <r>
    <x v="1"/>
    <s v="2212 - MELHORIA DO AMBIENTE DE NEGOCIOS E DA PRODUTIVIDADE"/>
    <x v="50"/>
    <n v="0"/>
    <n v="0"/>
    <n v="0"/>
  </r>
  <r>
    <x v="1"/>
    <s v="5025 - CULTURA"/>
    <x v="816"/>
    <n v="0"/>
    <n v="0"/>
    <n v="0"/>
  </r>
  <r>
    <x v="1"/>
    <s v="5021 - GESTAO E ORGANIZACAO DO SUS"/>
    <x v="46"/>
    <n v="455225.72"/>
    <n v="943510.99"/>
    <n v="220772.47"/>
  </r>
  <r>
    <x v="1"/>
    <s v="0903 - OPERACOES ESPECIAIS: TRANSFERENCIAS CONSTITUCIONAIS E AS DECORRENTES DE LEGISLACAO ESPECIFICA"/>
    <x v="128"/>
    <n v="164204193.69999999"/>
    <n v="164242459.81999999"/>
    <n v="160773217.46000001"/>
  </r>
  <r>
    <x v="1"/>
    <s v="1031 - AGROPECUARIA SUSTENTAVEL"/>
    <x v="93"/>
    <n v="0"/>
    <n v="460103.1"/>
    <n v="460103.1"/>
  </r>
  <r>
    <x v="1"/>
    <s v="2021 - CIENCIA, TECNOLOGIA E INOVACAO"/>
    <x v="674"/>
    <n v="0"/>
    <n v="0"/>
    <n v="0"/>
  </r>
  <r>
    <x v="1"/>
    <s v="2216 - POLITICA EXTERNA"/>
    <x v="734"/>
    <n v="1274024.1000000001"/>
    <n v="359663.11"/>
    <n v="359663.11"/>
  </r>
  <r>
    <x v="1"/>
    <s v="2040 - GESTAO DE RISCOS E DE DESASTRES"/>
    <x v="536"/>
    <n v="0"/>
    <n v="0"/>
    <n v="0"/>
  </r>
  <r>
    <x v="1"/>
    <s v="5020 - DESENVOLVIMENTO CIENTIFICO, TECNOLOGICO E PRODUTIVO EM SAUDE"/>
    <x v="817"/>
    <n v="0"/>
    <n v="0"/>
    <n v="0"/>
  </r>
  <r>
    <x v="1"/>
    <s v="0151 - PROTECAO DE TERRAS INDIGENAS, GESTAO TERRITORIAL E ETNODESENVOLVIMENTO"/>
    <x v="558"/>
    <n v="0"/>
    <n v="0"/>
    <n v="0"/>
  </r>
  <r>
    <x v="1"/>
    <s v="3006 - TRANSPORTE TERRESTRE E TRANSITO"/>
    <x v="818"/>
    <n v="1000000"/>
    <n v="0"/>
    <n v="0"/>
  </r>
  <r>
    <x v="1"/>
    <s v="0617 - PROTECAO E PROMOCAO DOS DIREITOS DOS POVOS INDIGENAS"/>
    <x v="819"/>
    <n v="0"/>
    <n v="0"/>
    <n v="0"/>
  </r>
  <r>
    <x v="1"/>
    <s v="0032 - PROGRAMA DE GESTAO E MANUTENCAO DO PODER EXECUTIVO"/>
    <x v="577"/>
    <n v="842748"/>
    <n v="0"/>
    <n v="0"/>
  </r>
  <r>
    <x v="1"/>
    <s v="5020 - DESENVOLVIMENTO CIENTIFICO, TECNOLOGICO E PRODUTIVO EM SAUDE"/>
    <x v="54"/>
    <n v="0"/>
    <n v="0"/>
    <n v="0"/>
  </r>
  <r>
    <x v="1"/>
    <s v="5019 - ATENCAO PRIMARIA A SAUDE"/>
    <x v="86"/>
    <n v="2091500"/>
    <n v="2091500"/>
    <n v="2091500"/>
  </r>
  <r>
    <x v="1"/>
    <s v="0906 - OPERACOES ESPECIAIS: SERVICO DA DIVIDA EXTERNA (JUROS EAMORTIZACOES)"/>
    <x v="127"/>
    <n v="1574831486.52"/>
    <n v="1574831486.52"/>
    <n v="1574831486.52"/>
  </r>
  <r>
    <x v="1"/>
    <s v="5016 - SEGURANCA PUBLICA, COMBATE A CORRUPCAO, AO CRIME ORGANIZADO E AO CRIME VIOLENTO"/>
    <x v="469"/>
    <n v="10941028.9"/>
    <n v="21914589.899999999"/>
    <n v="21877542.25"/>
  </r>
  <r>
    <x v="1"/>
    <s v="6012 - DEFESA NACIONAL"/>
    <x v="8"/>
    <n v="0"/>
    <n v="0"/>
    <n v="0"/>
  </r>
  <r>
    <x v="1"/>
    <s v="3003 - PETROLEO, GAS, DERIVADOS E BIOCOMBUSTIVEIS"/>
    <x v="122"/>
    <n v="35584.89"/>
    <n v="562865.30000000005"/>
    <n v="72776.31"/>
  </r>
  <r>
    <x v="1"/>
    <s v="2015 - FORTALECIMENTO DO SISTEMA UNICO DE SAUDE (SUS)"/>
    <x v="817"/>
    <n v="0"/>
    <n v="0"/>
    <n v="0"/>
  </r>
  <r>
    <x v="1"/>
    <s v="1041 - CONSERVACAO E USO SUSTENTAVEL DA BIODIVERSIDADE E DOS RECURSOS NATURAIS"/>
    <x v="718"/>
    <n v="-5097.41"/>
    <n v="0"/>
    <n v="7061.01"/>
  </r>
  <r>
    <x v="1"/>
    <s v="0031 - PROGRAMA DE GESTAO E MANUTENCAO DO MINISTERIO PUBLICO"/>
    <x v="67"/>
    <n v="57398.19"/>
    <n v="0"/>
    <n v="0"/>
  </r>
  <r>
    <x v="1"/>
    <s v="2217 - DESENVOLVIMENTO REGIONAL, TERRITORIAL E URBANO"/>
    <x v="213"/>
    <n v="66119.399999999994"/>
    <n v="4147.92"/>
    <n v="0"/>
  </r>
  <r>
    <x v="1"/>
    <s v="2208 - TECNOLOGIAS APLICADAS, INOVACAO E DESENVOLVIMENTO SUSTENTAVEL"/>
    <x v="820"/>
    <n v="199525.18"/>
    <n v="199525.18"/>
    <n v="199525.18"/>
  </r>
  <r>
    <x v="1"/>
    <s v="0909 - OPERACOES ESPECIAIS: OUTROS ENCARGOS ESPECIAIS"/>
    <x v="821"/>
    <n v="6984901.4500000002"/>
    <n v="6984901.4500000002"/>
    <n v="6984901.4500000002"/>
  </r>
  <r>
    <x v="1"/>
    <s v="2215 - POLITICA ECONOMICA E EQUILIBRIO FISCAL"/>
    <x v="101"/>
    <n v="4662086.32"/>
    <n v="483297.56"/>
    <n v="97812.94"/>
  </r>
  <r>
    <x v="1"/>
    <s v="2208 - TECNOLOGIAS APLICADAS, INOVACAO E DESENVOLVIMENTO SUSTENTAVEL"/>
    <x v="33"/>
    <n v="0"/>
    <n v="0"/>
    <n v="5245129"/>
  </r>
  <r>
    <x v="1"/>
    <s v="2222 - SANEAMENTO BASICO"/>
    <x v="266"/>
    <n v="0"/>
    <n v="0"/>
    <n v="0"/>
  </r>
  <r>
    <x v="1"/>
    <s v="2220 - MORADIA DIGNA"/>
    <x v="822"/>
    <n v="0"/>
    <n v="0"/>
    <n v="0"/>
  </r>
  <r>
    <x v="1"/>
    <s v="0902 - OPERACOES ESPECIAIS: FINANCIAMENTOS COM RETORNO"/>
    <x v="161"/>
    <n v="0"/>
    <n v="5369529.6600000001"/>
    <n v="5369529.6600000001"/>
  </r>
  <r>
    <x v="1"/>
    <s v="2054 - PLANEJAMENTO URBANO"/>
    <x v="382"/>
    <n v="0"/>
    <n v="0"/>
    <n v="0"/>
  </r>
  <r>
    <x v="1"/>
    <s v="1040 - GOVERNANCA FUNDIARIA"/>
    <x v="180"/>
    <n v="0"/>
    <n v="0"/>
    <n v="0"/>
  </r>
  <r>
    <x v="1"/>
    <s v="5018 - ATENCAO ESPECIALIZADA A SAUDE"/>
    <x v="202"/>
    <n v="9849606.4499999993"/>
    <n v="4259274.66"/>
    <n v="2292173.9700000002"/>
  </r>
  <r>
    <x v="1"/>
    <s v="0903 - OPERACOES ESPECIAIS: TRANSFERENCIAS CONSTITUCIONAIS E AS DECORRENTES DE LEGISLACAO ESPECIFICA"/>
    <x v="380"/>
    <n v="0"/>
    <n v="5502874.3200000003"/>
    <n v="5502874.3200000003"/>
  </r>
  <r>
    <x v="1"/>
    <s v="3006 - TRANSPORTE TERRESTRE E TRANSITO"/>
    <x v="334"/>
    <n v="0"/>
    <n v="0"/>
    <n v="0"/>
  </r>
  <r>
    <x v="1"/>
    <s v="1058 - MUDANCA DO CLIMA"/>
    <x v="567"/>
    <n v="506057.03"/>
    <n v="84821.43"/>
    <n v="81947.289999999994"/>
  </r>
  <r>
    <x v="1"/>
    <s v="6012 - DEFESA NACIONAL"/>
    <x v="337"/>
    <n v="0"/>
    <n v="0"/>
    <n v="0"/>
  </r>
  <r>
    <x v="1"/>
    <s v="2037 - CONSOLIDACAO DO SISTEMA UNICO DE ASSISTENCIA SOCIAL (SUAS)"/>
    <x v="463"/>
    <n v="0"/>
    <n v="0"/>
    <n v="0"/>
  </r>
  <r>
    <x v="1"/>
    <s v="0032 - PROGRAMA DE GESTAO E MANUTENCAO DO PODER EXECUTIVO"/>
    <x v="472"/>
    <n v="0"/>
    <n v="38707622.729999997"/>
    <n v="38833502.729999997"/>
  </r>
  <r>
    <x v="1"/>
    <s v="0032 - PROGRAMA DE GESTAO E MANUTENCAO DO PODER EXECUTIVO"/>
    <x v="341"/>
    <n v="99705.2"/>
    <n v="136838.21"/>
    <n v="125209.86"/>
  </r>
  <r>
    <x v="1"/>
    <s v="2208 - TECNOLOGIAS APLICADAS, INOVACAO E DESENVOLVIMENTO SUSTENTAVEL"/>
    <x v="823"/>
    <n v="0"/>
    <n v="0"/>
    <n v="0"/>
  </r>
  <r>
    <x v="1"/>
    <s v="6012 - DEFESA NACIONAL"/>
    <x v="301"/>
    <n v="0"/>
    <n v="0"/>
    <n v="0"/>
  </r>
  <r>
    <x v="1"/>
    <s v="1031 - AGROPECUARIA SUSTENTAVEL"/>
    <x v="824"/>
    <n v="0"/>
    <n v="0"/>
    <n v="0"/>
  </r>
  <r>
    <x v="1"/>
    <s v="2216 - POLITICA EXTERNA"/>
    <x v="384"/>
    <n v="22263.59"/>
    <n v="93458.4"/>
    <n v="93458.4"/>
  </r>
  <r>
    <x v="1"/>
    <s v="2015 - FORTALECIMENTO DO SISTEMA UNICO DE SAUDE (SUS)"/>
    <x v="825"/>
    <n v="0"/>
    <n v="0"/>
    <n v="0"/>
  </r>
  <r>
    <x v="1"/>
    <s v="5015 - JUSTICA"/>
    <x v="317"/>
    <n v="0"/>
    <n v="46280.86"/>
    <n v="46280.86"/>
  </r>
  <r>
    <x v="1"/>
    <s v="2217 - DESENVOLVIMENTO REGIONAL, TERRITORIAL E URBANO"/>
    <x v="826"/>
    <n v="0"/>
    <n v="0"/>
    <n v="0"/>
  </r>
  <r>
    <x v="1"/>
    <s v="3006 - TRANSPORTE TERRESTRE E TRANSITO"/>
    <x v="827"/>
    <n v="0"/>
    <n v="0"/>
    <n v="0"/>
  </r>
  <r>
    <x v="1"/>
    <s v="2213 - MODERNIZACAO TRABALHISTA E TRABALHO DIGNO"/>
    <x v="828"/>
    <n v="0"/>
    <n v="0"/>
    <n v="0"/>
  </r>
  <r>
    <x v="1"/>
    <s v="5021 - GESTAO E ORGANIZACAO DO SUS"/>
    <x v="560"/>
    <n v="12760019.67"/>
    <n v="0"/>
    <n v="0"/>
  </r>
  <r>
    <x v="1"/>
    <s v="2015 - FORTALECIMENTO DO SISTEMA UNICO DE SAUDE (SUS)"/>
    <x v="829"/>
    <n v="0"/>
    <n v="0"/>
    <n v="0"/>
  </r>
  <r>
    <x v="1"/>
    <s v="0461 - PROMOCAO DA PESQUISA E DO DESENVOLVIMENTO CIENTIFICO E TECNOLOGICO"/>
    <x v="71"/>
    <n v="78624.289999999994"/>
    <n v="95097.33"/>
    <n v="95097.33"/>
  </r>
  <r>
    <x v="1"/>
    <s v="3002 - GEOLOGIA, MINERACAO E TRANSFORMACAO MINERAL"/>
    <x v="830"/>
    <n v="0"/>
    <n v="0"/>
    <n v="0"/>
  </r>
  <r>
    <x v="1"/>
    <s v="3006 - TRANSPORTE TERRESTRE E TRANSITO"/>
    <x v="360"/>
    <n v="63086.75"/>
    <n v="0"/>
    <n v="0"/>
  </r>
  <r>
    <x v="1"/>
    <s v="2213 - MODERNIZACAO TRABALHISTA E TRABALHO DIGNO"/>
    <x v="831"/>
    <n v="0"/>
    <n v="0"/>
    <n v="0"/>
  </r>
  <r>
    <x v="1"/>
    <s v="2081 - JUSTICA, CIDADANIA E SEGURANCA PUBLICA"/>
    <x v="308"/>
    <n v="0"/>
    <n v="0"/>
    <n v="0"/>
  </r>
  <r>
    <x v="1"/>
    <s v="0032 - PROGRAMA DE GESTAO E MANUTENCAO DO PODER EXECUTIVO"/>
    <x v="446"/>
    <n v="24685794.710000001"/>
    <n v="0"/>
    <n v="0"/>
  </r>
  <r>
    <x v="1"/>
    <s v="0032 - PROGRAMA DE GESTAO E MANUTENCAO DO PODER EXECUTIVO"/>
    <x v="17"/>
    <n v="5560483.7000000002"/>
    <n v="392823.99"/>
    <n v="392823.99"/>
  </r>
  <r>
    <x v="1"/>
    <s v="0909 - OPERACOES ESPECIAIS: OUTROS ENCARGOS ESPECIAIS"/>
    <x v="306"/>
    <n v="0"/>
    <n v="223705945"/>
    <n v="223705945"/>
  </r>
  <r>
    <x v="1"/>
    <s v="3006 - TRANSPORTE TERRESTRE E TRANSITO"/>
    <x v="832"/>
    <n v="0"/>
    <n v="0"/>
    <n v="0"/>
  </r>
  <r>
    <x v="1"/>
    <s v="1031 - AGROPECUARIA SUSTENTAVEL"/>
    <x v="474"/>
    <n v="0"/>
    <n v="-1.74"/>
    <n v="2435.6999999999998"/>
  </r>
  <r>
    <x v="1"/>
    <s v="0903 - OPERACOES ESPECIAIS: TRANSFERENCIAS CONSTITUCIONAIS E AS DECORRENTES DE LEGISLACAO ESPECIFICA"/>
    <x v="628"/>
    <n v="14940843.58"/>
    <n v="14840763.33"/>
    <n v="15068771.85"/>
  </r>
  <r>
    <x v="1"/>
    <s v="5021 - GESTAO E ORGANIZACAO DO SUS"/>
    <x v="94"/>
    <n v="880291.27"/>
    <n v="76241.149999999994"/>
    <n v="75986.12"/>
  </r>
  <r>
    <x v="1"/>
    <s v="2218 - GESTAO DE RISCOS E DE DESASTRES"/>
    <x v="342"/>
    <n v="0"/>
    <n v="0"/>
    <n v="0"/>
  </r>
  <r>
    <x v="1"/>
    <s v="5020 - DESENVOLVIMENTO CIENTIFICO, TECNOLOGICO E PRODUTIVO EM SAUDE"/>
    <x v="833"/>
    <n v="0"/>
    <n v="0"/>
    <n v="0"/>
  </r>
  <r>
    <x v="1"/>
    <s v="3006 - TRANSPORTE TERRESTRE E TRANSITO"/>
    <x v="453"/>
    <n v="1203800"/>
    <n v="0"/>
    <n v="0"/>
  </r>
  <r>
    <x v="1"/>
    <s v="3006 - TRANSPORTE TERRESTRE E TRANSITO"/>
    <x v="263"/>
    <n v="750000"/>
    <n v="0"/>
    <n v="0"/>
  </r>
  <r>
    <x v="1"/>
    <s v="2213 - MODERNIZACAO TRABALHISTA E TRABALHO DIGNO"/>
    <x v="214"/>
    <n v="4087135459.6399999"/>
    <n v="4087135459.6399999"/>
    <n v="4087135459.6399999"/>
  </r>
  <r>
    <x v="1"/>
    <s v="5015 - JUSTICA"/>
    <x v="221"/>
    <n v="2064384.54"/>
    <n v="1930996.2"/>
    <n v="1830582.98"/>
  </r>
  <r>
    <x v="1"/>
    <s v="2222 - SANEAMENTO BASICO"/>
    <x v="206"/>
    <n v="0"/>
    <n v="0"/>
    <n v="0"/>
  </r>
  <r>
    <x v="1"/>
    <s v="0903 - OPERACOES ESPECIAIS: TRANSFERENCIAS CONSTITUCIONAIS E AS DECORRENTES DE LEGISLACAO ESPECIFICA"/>
    <x v="233"/>
    <n v="18579589470"/>
    <n v="1418774130.6600001"/>
    <n v="1418774130.6600001"/>
  </r>
  <r>
    <x v="1"/>
    <s v="2212 - MELHORIA DO AMBIENTE DE NEGOCIOS E DA PRODUTIVIDADE"/>
    <x v="238"/>
    <n v="915423.22"/>
    <n v="15621.42"/>
    <n v="15621.42"/>
  </r>
  <r>
    <x v="1"/>
    <s v="3006 - TRANSPORTE TERRESTRE E TRANSITO"/>
    <x v="450"/>
    <n v="0"/>
    <n v="0"/>
    <n v="0"/>
  </r>
  <r>
    <x v="1"/>
    <s v="2213 - MODERNIZACAO TRABALHISTA E TRABALHO DIGNO"/>
    <x v="351"/>
    <n v="0"/>
    <n v="0"/>
    <n v="0"/>
  </r>
  <r>
    <x v="1"/>
    <s v="3006 - TRANSPORTE TERRESTRE E TRANSITO"/>
    <x v="392"/>
    <n v="3076324"/>
    <n v="446664.34"/>
    <n v="446664.34"/>
  </r>
  <r>
    <x v="1"/>
    <s v="2058 - DEFESA NACIONAL"/>
    <x v="134"/>
    <n v="0"/>
    <n v="0"/>
    <n v="0"/>
  </r>
  <r>
    <x v="1"/>
    <s v="2021 - CIENCIA, TECNOLOGIA E INOVACAO"/>
    <x v="11"/>
    <n v="0"/>
    <n v="0"/>
    <n v="0"/>
  </r>
  <r>
    <x v="1"/>
    <s v="3006 - TRANSPORTE TERRESTRE E TRANSITO"/>
    <x v="531"/>
    <n v="2200000"/>
    <n v="0"/>
    <n v="0"/>
  </r>
  <r>
    <x v="1"/>
    <s v="5017 - ASSISTENCIA FARMACEUTICA NO SUS"/>
    <x v="735"/>
    <n v="110692770.79000001"/>
    <n v="46199197.759999998"/>
    <n v="46199197.759999998"/>
  </r>
  <r>
    <x v="1"/>
    <s v="5012 - EDUCACAO PROFISSIONAL E TECNOLOGICA"/>
    <x v="144"/>
    <n v="0"/>
    <n v="0"/>
    <n v="0"/>
  </r>
  <r>
    <x v="1"/>
    <s v="0034 - PROGRAMA DE GESTAO E MANUTENCAO DO PODER LEGISLATIVO"/>
    <x v="834"/>
    <n v="0"/>
    <n v="0"/>
    <n v="0"/>
  </r>
  <r>
    <x v="1"/>
    <s v="1128 - URBANIZACAO, REGULARIZACAO FUNDIARIA E INTEGRACAO DE ASSENTAMENTOS PRECARIOS"/>
    <x v="543"/>
    <n v="0"/>
    <n v="0"/>
    <n v="0"/>
  </r>
  <r>
    <x v="1"/>
    <s v="2213 - MODERNIZACAO TRABALHISTA E TRABALHO DIGNO"/>
    <x v="201"/>
    <n v="3452891674"/>
    <n v="3452891674"/>
    <n v="3452891674"/>
  </r>
  <r>
    <x v="1"/>
    <s v="6012 - DEFESA NACIONAL"/>
    <x v="544"/>
    <n v="0"/>
    <n v="0"/>
    <n v="0"/>
  </r>
  <r>
    <x v="1"/>
    <s v="3006 - TRANSPORTE TERRESTRE E TRANSITO"/>
    <x v="835"/>
    <n v="1700000"/>
    <n v="0"/>
    <n v="0"/>
  </r>
  <r>
    <x v="1"/>
    <s v="5017 - ASSISTENCIA FARMACEUTICA NO SUS"/>
    <x v="836"/>
    <n v="25864754"/>
    <n v="14286262"/>
    <n v="14286262"/>
  </r>
  <r>
    <x v="1"/>
    <s v="5031 - PROTECAO SOCIAL NO AMBITO DO SISTEMA UNICO DE ASSISTENCIA SOCIAL (SUAS)"/>
    <x v="772"/>
    <n v="0"/>
    <n v="112017.8"/>
    <n v="100224.14"/>
  </r>
  <r>
    <x v="1"/>
    <s v="3006 - TRANSPORTE TERRESTRE E TRANSITO"/>
    <x v="530"/>
    <n v="200304"/>
    <n v="0"/>
    <n v="0"/>
  </r>
  <r>
    <x v="1"/>
    <s v="2015 - FORTALECIMENTO DO SISTEMA UNICO DE SAUDE (SUS)"/>
    <x v="316"/>
    <n v="0"/>
    <n v="0"/>
    <n v="0"/>
  </r>
  <r>
    <x v="1"/>
    <s v="1040 - GOVERNANCA FUNDIARIA"/>
    <x v="498"/>
    <n v="0"/>
    <n v="0"/>
    <n v="0"/>
  </r>
  <r>
    <x v="1"/>
    <s v="5023 - VIGILANCIA EM SAUDE"/>
    <x v="324"/>
    <n v="571653.01"/>
    <n v="102540.86"/>
    <n v="38378.47"/>
  </r>
  <r>
    <x v="1"/>
    <s v="4003 - GARANTIA DA ESTABILIDADE MONETARIA E FINANCEIRA"/>
    <x v="625"/>
    <n v="352982.68"/>
    <n v="273402.42"/>
    <n v="80452.88"/>
  </r>
  <r>
    <x v="1"/>
    <s v="3006 - TRANSPORTE TERRESTRE E TRANSITO"/>
    <x v="332"/>
    <n v="6638888"/>
    <n v="0"/>
    <n v="0"/>
  </r>
  <r>
    <x v="1"/>
    <s v="5031 - PROTECAO SOCIAL NO AMBITO DO SISTEMA UNICO DE ASSISTENCIA SOCIAL (SUAS)"/>
    <x v="377"/>
    <n v="112695985.78"/>
    <n v="112695985.78"/>
    <n v="112695985.78"/>
  </r>
  <r>
    <x v="1"/>
    <s v="2115 - PROGRAMA DE GESTAO E MANUTENCAO DO MINISTERIO DA SAUDE"/>
    <x v="699"/>
    <n v="0"/>
    <n v="0"/>
    <n v="0"/>
  </r>
  <r>
    <x v="1"/>
    <s v="0903 - OPERACOES ESPECIAIS: TRANSFERENCIAS CONSTITUCIONAIS E AS DECORRENTES DE LEGISLACAO ESPECIFICA"/>
    <x v="623"/>
    <n v="57767057.909999996"/>
    <n v="57765388.719999999"/>
    <n v="54300290.619999997"/>
  </r>
  <r>
    <x v="1"/>
    <s v="2211 - INSERCAO ECONOMICA INTERNACIONAL"/>
    <x v="182"/>
    <n v="-10568.83"/>
    <n v="-8695.67"/>
    <n v="0"/>
  </r>
  <r>
    <x v="1"/>
    <s v="0903 - OPERACOES ESPECIAIS: TRANSFERENCIAS CONSTITUCIONAIS E AS DECORRENTES DE LEGISLACAO ESPECIFICA"/>
    <x v="2"/>
    <n v="0"/>
    <n v="7899887091.5200005"/>
    <n v="7899887091.5200005"/>
  </r>
  <r>
    <x v="1"/>
    <s v="0903 - OPERACOES ESPECIAIS: TRANSFERENCIAS CONSTITUCIONAIS E AS DECORRENTES DE LEGISLACAO ESPECIFICA"/>
    <x v="64"/>
    <n v="0"/>
    <n v="15287271282.889999"/>
    <n v="15287271282.889999"/>
  </r>
  <r>
    <x v="1"/>
    <s v="5017 - ASSISTENCIA FARMACEUTICA NO SUS"/>
    <x v="229"/>
    <n v="66424286.090000004"/>
    <n v="7068004.7199999997"/>
    <n v="18639382.670000002"/>
  </r>
  <r>
    <x v="1"/>
    <s v="3001 - ENERGIA ELETRICA"/>
    <x v="613"/>
    <n v="399123.92"/>
    <n v="784.85"/>
    <n v="819.47"/>
  </r>
  <r>
    <x v="1"/>
    <s v="2221 - RECURSOS HIDRICOS"/>
    <x v="663"/>
    <n v="3000000"/>
    <n v="0"/>
    <n v="0"/>
  </r>
  <r>
    <x v="1"/>
    <s v="1031 - AGROPECUARIA SUSTENTAVEL"/>
    <x v="602"/>
    <n v="0"/>
    <n v="17569.080000000002"/>
    <n v="17569.080000000002"/>
  </r>
  <r>
    <x v="1"/>
    <s v="3006 - TRANSPORTE TERRESTRE E TRANSITO"/>
    <x v="837"/>
    <n v="0"/>
    <n v="0"/>
    <n v="0"/>
  </r>
  <r>
    <x v="1"/>
    <s v="0032 - PROGRAMA DE GESTAO E MANUTENCAO DO PODER EXECUTIVO"/>
    <x v="363"/>
    <n v="10000"/>
    <n v="9425.77"/>
    <n v="402918"/>
  </r>
  <r>
    <x v="1"/>
    <s v="3006 - TRANSPORTE TERRESTRE E TRANSITO"/>
    <x v="120"/>
    <n v="0"/>
    <n v="0"/>
    <n v="0"/>
  </r>
  <r>
    <x v="1"/>
    <s v="3006 - TRANSPORTE TERRESTRE E TRANSITO"/>
    <x v="838"/>
    <n v="11916023"/>
    <n v="0"/>
    <n v="0"/>
  </r>
  <r>
    <x v="1"/>
    <s v="5013 - EDUCACAO SUPERIOR - GRADUACAO, POS-GRADUACAO, ENSINO, PESQUISA E EXTENSAO"/>
    <x v="58"/>
    <n v="1000"/>
    <n v="3437692.1"/>
    <n v="3437692.1"/>
  </r>
  <r>
    <x v="1"/>
    <s v="2015 - FORTALECIMENTO DO SISTEMA UNICO DE SAUDE (SUS)"/>
    <x v="479"/>
    <n v="0"/>
    <n v="0"/>
    <n v="0"/>
  </r>
  <r>
    <x v="1"/>
    <s v="5018 - ATENCAO ESPECIALIZADA A SAUDE"/>
    <x v="186"/>
    <n v="108333333.33"/>
    <n v="108333333.33"/>
    <n v="108333333.33"/>
  </r>
  <r>
    <x v="1"/>
    <s v="2217 - DESENVOLVIMENTO REGIONAL, TERRITORIAL E URBANO"/>
    <x v="839"/>
    <n v="0"/>
    <n v="0"/>
    <n v="0"/>
  </r>
  <r>
    <x v="1"/>
    <s v="3004 - AVIACAO CIVIL"/>
    <x v="85"/>
    <n v="0"/>
    <n v="0"/>
    <n v="0"/>
  </r>
  <r>
    <x v="1"/>
    <s v="5033 - SEGURANCA ALIMENTAR E NUTRICIONAL"/>
    <x v="370"/>
    <n v="156138.78"/>
    <n v="156138.78"/>
    <n v="156138.78"/>
  </r>
  <r>
    <x v="1"/>
    <s v="5031 - PROTECAO SOCIAL NO AMBITO DO SISTEMA UNICO DE ASSISTENCIA SOCIAL (SUAS)"/>
    <x v="307"/>
    <n v="57436629.310000002"/>
    <n v="57316629.310000002"/>
    <n v="57316629.310000002"/>
  </r>
  <r>
    <x v="1"/>
    <s v="2222 - SANEAMENTO BASICO"/>
    <x v="840"/>
    <n v="0"/>
    <n v="0"/>
    <n v="0"/>
  </r>
  <r>
    <x v="1"/>
    <s v="2215 - POLITICA ECONOMICA E EQUILIBRIO FISCAL"/>
    <x v="661"/>
    <n v="95061691.599999994"/>
    <n v="5423419.0999999996"/>
    <n v="5419516.3799999999"/>
  </r>
  <r>
    <x v="1"/>
    <s v="5034 - PROTECAO A VIDA, FORTALECIMENTO DA FAMILIA, PROMOCAO E DEFESA DOS DIREITOS HUMANOS PARA TODOS"/>
    <x v="338"/>
    <n v="0"/>
    <n v="0"/>
    <n v="0"/>
  </r>
  <r>
    <x v="1"/>
    <s v="5018 - ATENCAO ESPECIALIZADA A SAUDE"/>
    <x v="283"/>
    <n v="1090000"/>
    <n v="1090000"/>
    <n v="1090000"/>
  </r>
  <r>
    <x v="1"/>
    <s v="3006 - TRANSPORTE TERRESTRE E TRANSITO"/>
    <x v="841"/>
    <n v="0"/>
    <n v="0"/>
    <n v="0"/>
  </r>
  <r>
    <x v="1"/>
    <s v="0903 - OPERACOES ESPECIAIS: TRANSFERENCIAS CONSTITUCIONAIS E AS DECORRENTES DE LEGISLACAO ESPECIFICA"/>
    <x v="654"/>
    <n v="85695892.310000002"/>
    <n v="85650654.5"/>
    <n v="84714065.060000002"/>
  </r>
  <r>
    <x v="1"/>
    <s v="5022 - PROTECAO, PROMOCAO E RECUPERACAO DA SAUDE INDIGENA"/>
    <x v="842"/>
    <n v="0"/>
    <n v="0"/>
    <n v="0"/>
  </r>
  <r>
    <x v="1"/>
    <s v="0032 - PROGRAMA DE GESTAO E MANUTENCAO DO PODER EXECUTIVO"/>
    <x v="357"/>
    <n v="589493939.79999995"/>
    <n v="2374153724.5599999"/>
    <n v="2424941099.5"/>
  </r>
  <r>
    <x v="1"/>
    <s v="2080 - EDUCACAO DE QUALIDADE PARA TODOS"/>
    <x v="526"/>
    <n v="0"/>
    <n v="0"/>
    <n v="0"/>
  </r>
  <r>
    <x v="1"/>
    <s v="2208 - TECNOLOGIAS APLICADAS, INOVACAO E DESENVOLVIMENTO SUSTENTAVEL"/>
    <x v="191"/>
    <n v="1161227.6299999999"/>
    <n v="521366.66"/>
    <n v="521366.66"/>
  </r>
  <r>
    <x v="1"/>
    <s v="2222 - SANEAMENTO BASICO"/>
    <x v="444"/>
    <n v="0"/>
    <n v="0"/>
    <n v="0"/>
  </r>
  <r>
    <x v="1"/>
    <s v="2111 - PROGRAMA DE GESTAO E MANUTENCAO DO MINISTERIO DO DESENVOLVIMENTO REGIONAL"/>
    <x v="52"/>
    <n v="0"/>
    <n v="0"/>
    <n v="0"/>
  </r>
  <r>
    <x v="1"/>
    <s v="2213 - MODERNIZACAO TRABALHISTA E TRABALHO DIGNO"/>
    <x v="353"/>
    <n v="0"/>
    <n v="0"/>
    <n v="0"/>
  </r>
  <r>
    <x v="1"/>
    <s v="0903 - OPERACOES ESPECIAIS: TRANSFERENCIAS CONSTITUCIONAIS E AS DECORRENTES DE LEGISLACAO ESPECIFICA"/>
    <x v="82"/>
    <n v="0"/>
    <n v="332230841.32999998"/>
    <n v="332230841.32999998"/>
  </r>
  <r>
    <x v="1"/>
    <s v="2058 - DEFESA NACIONAL"/>
    <x v="843"/>
    <n v="0"/>
    <n v="0"/>
    <n v="0"/>
  </r>
  <r>
    <x v="1"/>
    <s v="5018 - ATENCAO ESPECIALIZADA A SAUDE"/>
    <x v="318"/>
    <n v="0"/>
    <n v="0"/>
    <n v="0"/>
  </r>
  <r>
    <x v="1"/>
    <s v="3006 - TRANSPORTE TERRESTRE E TRANSITO"/>
    <x v="844"/>
    <n v="35646332"/>
    <n v="0"/>
    <n v="0"/>
  </r>
  <r>
    <x v="1"/>
    <s v="5021 - GESTAO E ORGANIZACAO DO SUS"/>
    <x v="49"/>
    <n v="102842.95"/>
    <n v="0"/>
    <n v="0"/>
  </r>
  <r>
    <x v="1"/>
    <s v="2207 - PROGRAMA ESPACIAL BRASILEIRO"/>
    <x v="381"/>
    <n v="89255.51"/>
    <n v="19521.75"/>
    <n v="0"/>
  </r>
  <r>
    <x v="1"/>
    <s v="2221 - RECURSOS HIDRICOS"/>
    <x v="845"/>
    <n v="0"/>
    <n v="0"/>
    <n v="0"/>
  </r>
  <r>
    <x v="1"/>
    <s v="6012 - DEFESA NACIONAL"/>
    <x v="596"/>
    <n v="2521319.6"/>
    <n v="0"/>
    <n v="0"/>
  </r>
  <r>
    <x v="1"/>
    <s v="2221 - RECURSOS HIDRICOS"/>
    <x v="339"/>
    <n v="61046.720000000001"/>
    <n v="3390.3"/>
    <n v="2231.1999999999998"/>
  </r>
  <r>
    <x v="1"/>
    <s v="0032 - PROGRAMA DE GESTAO E MANUTENCAO DO PODER EXECUTIVO"/>
    <x v="689"/>
    <n v="1873125"/>
    <n v="0"/>
    <n v="0"/>
  </r>
  <r>
    <x v="1"/>
    <s v="3006 - TRANSPORTE TERRESTRE E TRANSITO"/>
    <x v="166"/>
    <n v="7566085"/>
    <n v="0"/>
    <n v="0"/>
  </r>
  <r>
    <x v="1"/>
    <s v="2080 - EDUCACAO DE QUALIDADE PARA TODOS"/>
    <x v="784"/>
    <n v="0"/>
    <n v="0"/>
    <n v="0"/>
  </r>
  <r>
    <x v="1"/>
    <s v="2211 - INSERCAO ECONOMICA INTERNACIONAL"/>
    <x v="158"/>
    <n v="0"/>
    <n v="-5289874.72"/>
    <n v="64834.66"/>
  </r>
  <r>
    <x v="1"/>
    <s v="0909 - OPERACOES ESPECIAIS: OUTROS ENCARGOS ESPECIAIS"/>
    <x v="846"/>
    <n v="20000000"/>
    <n v="0"/>
    <n v="0"/>
  </r>
  <r>
    <x v="1"/>
    <s v="5020 - DESENVOLVIMENTO CIENTIFICO, TECNOLOGICO E PRODUTIVO EM SAUDE"/>
    <x v="847"/>
    <n v="0"/>
    <n v="0"/>
    <n v="0"/>
  </r>
  <r>
    <x v="1"/>
    <s v="2049 - MORADIA DIGNA"/>
    <x v="36"/>
    <n v="0"/>
    <n v="0"/>
    <n v="0"/>
  </r>
  <r>
    <x v="1"/>
    <s v="2221 - RECURSOS HIDRICOS"/>
    <x v="167"/>
    <n v="30900"/>
    <n v="5649.6"/>
    <n v="5649.6"/>
  </r>
  <r>
    <x v="1"/>
    <s v="2208 - TECNOLOGIAS APLICADAS, INOVACAO E DESENVOLVIMENTO SUSTENTAVEL"/>
    <x v="5"/>
    <n v="18833723.510000002"/>
    <n v="18833723.510000002"/>
    <n v="18833723.510000002"/>
  </r>
  <r>
    <x v="1"/>
    <s v="0032 - PROGRAMA DE GESTAO E MANUTENCAO DO PODER EXECUTIVO"/>
    <x v="91"/>
    <n v="2947738.34"/>
    <n v="2537159.94"/>
    <n v="2537159.94"/>
  </r>
  <r>
    <x v="1"/>
    <s v="2080 - EDUCACAO DE QUALIDADE PARA TODOS"/>
    <x v="188"/>
    <n v="0"/>
    <n v="0"/>
    <n v="0"/>
  </r>
  <r>
    <x v="1"/>
    <s v="5034 - PROTECAO A VIDA, FORTALECIMENTO DA FAMILIA, PROMOCAO E DEFESA DOS DIREITOS HUMANOS PARA TODOS"/>
    <x v="393"/>
    <n v="246826"/>
    <n v="48175.91"/>
    <n v="45818.47"/>
  </r>
  <r>
    <x v="1"/>
    <s v="2068 - SANEAMENTO BASICO"/>
    <x v="170"/>
    <n v="0"/>
    <n v="0"/>
    <n v="0"/>
  </r>
  <r>
    <x v="1"/>
    <s v="1041 - CONSERVACAO E USO SUSTENTAVEL DA BIODIVERSIDADE E DOS RECURSOS NATURAIS"/>
    <x v="176"/>
    <n v="9166.67"/>
    <n v="9166.66"/>
    <n v="9166.66"/>
  </r>
  <r>
    <x v="1"/>
    <s v="2221 - RECURSOS HIDRICOS"/>
    <x v="414"/>
    <n v="0"/>
    <n v="0"/>
    <n v="0"/>
  </r>
  <r>
    <x v="1"/>
    <s v="0032 - PROGRAMA DE GESTAO E MANUTENCAO DO PODER EXECUTIVO"/>
    <x v="354"/>
    <n v="0"/>
    <n v="0"/>
    <n v="0"/>
  </r>
  <r>
    <x v="1"/>
    <s v="5026 - ESPORTE"/>
    <x v="248"/>
    <n v="-314361.53999999998"/>
    <n v="430193.93"/>
    <n v="430193.93"/>
  </r>
  <r>
    <x v="1"/>
    <s v="5021 - GESTAO E ORGANIZACAO DO SUS"/>
    <x v="245"/>
    <n v="800000"/>
    <n v="800000"/>
    <n v="0"/>
  </r>
  <r>
    <x v="1"/>
    <s v="0909 - OPERACOES ESPECIAIS: OUTROS ENCARGOS ESPECIAIS"/>
    <x v="246"/>
    <n v="34457.75"/>
    <n v="34454.75"/>
    <n v="34454.75"/>
  </r>
  <r>
    <x v="1"/>
    <s v="0902 - OPERACOES ESPECIAIS: FINANCIAMENTOS COM RETORNO"/>
    <x v="44"/>
    <n v="1861982510.1900001"/>
    <n v="1861982510.1900001"/>
    <n v="1861982510.1900001"/>
  </r>
  <r>
    <x v="1"/>
    <s v="6012 - DEFESA NACIONAL"/>
    <x v="508"/>
    <n v="2216702"/>
    <n v="1108351"/>
    <n v="0"/>
  </r>
  <r>
    <x v="1"/>
    <s v="0033 - PROGRAMA DE GESTAO E MANUTENCAO DO PODER JUDICIARIO"/>
    <x v="547"/>
    <n v="0"/>
    <n v="0"/>
    <n v="0"/>
  </r>
  <r>
    <x v="1"/>
    <s v="3006 - TRANSPORTE TERRESTRE E TRANSITO"/>
    <x v="225"/>
    <n v="0"/>
    <n v="0"/>
    <n v="0"/>
  </r>
  <r>
    <x v="1"/>
    <s v="5018 - ATENCAO ESPECIALIZADA A SAUDE"/>
    <x v="848"/>
    <n v="0"/>
    <n v="0"/>
    <n v="0"/>
  </r>
  <r>
    <x v="1"/>
    <s v="2217 - DESENVOLVIMENTO REGIONAL, TERRITORIAL E URBANO"/>
    <x v="66"/>
    <n v="0"/>
    <n v="0"/>
    <n v="0"/>
  </r>
  <r>
    <x v="1"/>
    <s v="2217 - DESENVOLVIMENTO REGIONAL, TERRITORIAL E URBANO"/>
    <x v="222"/>
    <n v="626664.72"/>
    <n v="1683.4"/>
    <n v="1683.4"/>
  </r>
  <r>
    <x v="1"/>
    <s v="2216 - POLITICA EXTERNA"/>
    <x v="849"/>
    <n v="720000"/>
    <n v="232628"/>
    <n v="232628"/>
  </r>
  <r>
    <x v="1"/>
    <s v="3004 - AVIACAO CIVIL"/>
    <x v="379"/>
    <n v="0"/>
    <n v="0"/>
    <n v="0"/>
  </r>
  <r>
    <x v="1"/>
    <s v="2080 - EDUCACAO DE QUALIDADE PARA TODOS"/>
    <x v="747"/>
    <n v="0"/>
    <n v="0"/>
    <n v="0"/>
  </r>
  <r>
    <x v="1"/>
    <s v="3006 - TRANSPORTE TERRESTRE E TRANSITO"/>
    <x v="671"/>
    <n v="0"/>
    <n v="0"/>
    <n v="0"/>
  </r>
  <r>
    <x v="1"/>
    <s v="2217 - DESENVOLVIMENTO REGIONAL, TERRITORIAL E URBANO"/>
    <x v="545"/>
    <n v="0"/>
    <n v="0"/>
    <n v="0"/>
  </r>
  <r>
    <x v="1"/>
    <s v="3006 - TRANSPORTE TERRESTRE E TRANSITO"/>
    <x v="420"/>
    <n v="0"/>
    <n v="323794.63"/>
    <n v="296774.7"/>
  </r>
  <r>
    <x v="1"/>
    <s v="6012 - DEFESA NACIONAL"/>
    <x v="442"/>
    <n v="96736.92"/>
    <n v="93217.81"/>
    <n v="74392.58"/>
  </r>
  <r>
    <x v="1"/>
    <s v="2222 - SANEAMENTO BASICO"/>
    <x v="554"/>
    <n v="0"/>
    <n v="0"/>
    <n v="0"/>
  </r>
  <r>
    <x v="1"/>
    <s v="5013 - EDUCACAO SUPERIOR - GRADUACAO, POS-GRADUACAO, ENSINO, PESQUISA E EXTENSAO"/>
    <x v="850"/>
    <n v="0"/>
    <n v="0"/>
    <n v="0"/>
  </r>
  <r>
    <x v="1"/>
    <s v="5025 - CULTURA"/>
    <x v="271"/>
    <n v="376"/>
    <n v="376"/>
    <n v="376"/>
  </r>
  <r>
    <x v="1"/>
    <s v="2204 - BRASIL NA FRONTEIRA DO CONHECIMENTO"/>
    <x v="117"/>
    <n v="0"/>
    <n v="0"/>
    <n v="0"/>
  </r>
  <r>
    <x v="1"/>
    <s v="5014 - ESTATISTICAS E AVALIACOES EDUCACIONAIS"/>
    <x v="32"/>
    <n v="396651.28"/>
    <n v="300307.58"/>
    <n v="300307.58"/>
  </r>
  <r>
    <x v="1"/>
    <s v="2206 - POLITICA NUCLEAR"/>
    <x v="851"/>
    <n v="0"/>
    <n v="0"/>
    <n v="0"/>
  </r>
  <r>
    <x v="1"/>
    <s v="0033 - PROGRAMA DE GESTAO E MANUTENCAO DO PODER JUDICIARIO"/>
    <x v="335"/>
    <n v="0"/>
    <n v="0"/>
    <n v="0"/>
  </r>
  <r>
    <x v="1"/>
    <s v="6011 - COOPERACAO COM O DESENVOLVIMENTO NACIONAL"/>
    <x v="852"/>
    <n v="1451190"/>
    <n v="0"/>
    <n v="0"/>
  </r>
  <r>
    <x v="1"/>
    <s v="5013 - EDUCACAO SUPERIOR - GRADUACAO, POS-GRADUACAO, ENSINO, PESQUISA E EXTENSAO"/>
    <x v="400"/>
    <n v="10913363.98"/>
    <n v="0"/>
    <n v="0"/>
  </r>
  <r>
    <x v="1"/>
    <s v="2214 - NOVA PREVIDENCIA"/>
    <x v="345"/>
    <n v="64532.57"/>
    <n v="64532.57"/>
    <n v="33529180.18"/>
  </r>
  <r>
    <x v="1"/>
    <s v="2205 - CONECTA BRASIL"/>
    <x v="148"/>
    <n v="52035442.82"/>
    <n v="5649170.2699999996"/>
    <n v="1341759.77"/>
  </r>
  <r>
    <x v="1"/>
    <s v="3006 - TRANSPORTE TERRESTRE E TRANSITO"/>
    <x v="853"/>
    <n v="5476942"/>
    <n v="0"/>
    <n v="0"/>
  </r>
  <r>
    <x v="1"/>
    <s v="2223 - A HORA DO TURISMO"/>
    <x v="854"/>
    <n v="0"/>
    <n v="0"/>
    <n v="0"/>
  </r>
  <r>
    <x v="1"/>
    <s v="4003 - GARANTIA DA ESTABILIDADE MONETARIA E FINANCEIRA"/>
    <x v="358"/>
    <n v="52500"/>
    <n v="40880.33"/>
    <n v="40880.33"/>
  </r>
  <r>
    <x v="1"/>
    <s v="3006 - TRANSPORTE TERRESTRE E TRANSITO"/>
    <x v="417"/>
    <n v="467723"/>
    <n v="0"/>
    <n v="0"/>
  </r>
  <r>
    <x v="1"/>
    <s v="1031 - AGROPECUARIA SUSTENTAVEL"/>
    <x v="138"/>
    <n v="18000000"/>
    <n v="286289883.45999998"/>
    <n v="176717011.38999999"/>
  </r>
  <r>
    <x v="1"/>
    <s v="5021 - GESTAO E ORGANIZACAO DO SUS"/>
    <x v="855"/>
    <n v="50000"/>
    <n v="0"/>
    <n v="0"/>
  </r>
  <r>
    <x v="1"/>
    <s v="5025 - CULTURA"/>
    <x v="118"/>
    <n v="0"/>
    <n v="0"/>
    <n v="0"/>
  </r>
  <r>
    <x v="1"/>
    <s v="6012 - DEFESA NACIONAL"/>
    <x v="254"/>
    <n v="0"/>
    <n v="0"/>
    <n v="0"/>
  </r>
  <r>
    <x v="1"/>
    <s v="0901 - OPERACOES ESPECIAIS: CUMPRIMENTO DE SENTENCAS JUDICIAIS"/>
    <x v="244"/>
    <n v="47859574.240000002"/>
    <n v="47859574.240000002"/>
    <n v="47859574.240000002"/>
  </r>
  <r>
    <x v="1"/>
    <s v="0032 - PROGRAMA DE GESTAO E MANUTENCAO DO PODER EXECUTIVO"/>
    <x v="78"/>
    <n v="-3.37"/>
    <n v="430918.44"/>
    <n v="430921.81"/>
  </r>
  <r>
    <x v="1"/>
    <s v="1041 - CONSERVACAO E USO SUSTENTAVEL DA BIODIVERSIDADE E DOS RECURSOS NATURAIS"/>
    <x v="604"/>
    <n v="430000"/>
    <n v="56283.44"/>
    <n v="48616.61"/>
  </r>
  <r>
    <x v="1"/>
    <s v="2134 - PROGRAMA DE GESTAO E MANUTENCAO DO MINISTERIO DA MULHER, DA FAMILIA E DOS DIREITOS HUMANOS"/>
    <x v="52"/>
    <n v="0"/>
    <n v="0"/>
    <n v="0"/>
  </r>
  <r>
    <x v="1"/>
    <s v="5013 - EDUCACAO SUPERIOR - GRADUACAO, POS-GRADUACAO, ENSINO, PESQUISA E EXTENSAO"/>
    <x v="571"/>
    <n v="18400"/>
    <n v="23653.34"/>
    <n v="23653.34"/>
  </r>
  <r>
    <x v="1"/>
    <s v="6012 - DEFESA NACIONAL"/>
    <x v="856"/>
    <n v="52577993"/>
    <n v="0"/>
    <n v="0"/>
  </r>
  <r>
    <x v="1"/>
    <s v="3004 - AVIACAO CIVIL"/>
    <x v="31"/>
    <n v="0"/>
    <n v="0"/>
    <n v="0"/>
  </r>
  <r>
    <x v="1"/>
    <s v="5018 - ATENCAO ESPECIALIZADA A SAUDE"/>
    <x v="857"/>
    <n v="11796.06"/>
    <n v="0"/>
    <n v="0"/>
  </r>
  <r>
    <x v="1"/>
    <s v="0033 - PROGRAMA DE GESTAO E MANUTENCAO DO PODER JUDICIARIO"/>
    <x v="858"/>
    <n v="164840"/>
    <n v="164840"/>
    <n v="164840"/>
  </r>
  <r>
    <x v="1"/>
    <s v="2080 - EDUCACAO DE QUALIDADE PARA TODOS"/>
    <x v="454"/>
    <n v="0"/>
    <n v="0"/>
    <n v="0"/>
  </r>
  <r>
    <x v="1"/>
    <s v="2032 - EDUCACAO SUPERIOR - GRADUACAO, POS-GRADUACAO, ENSINO, PESQUISA E EXTENSAO"/>
    <x v="769"/>
    <n v="0"/>
    <n v="0"/>
    <n v="0"/>
  </r>
  <r>
    <x v="1"/>
    <s v="0905 - OPERACOES ESPECIAIS: SERVICO DA DIVIDA INTERNA (JUROS EAMORTIZACOES)"/>
    <x v="70"/>
    <n v="0"/>
    <n v="1496515.62"/>
    <n v="1496515.62"/>
  </r>
  <r>
    <x v="1"/>
    <s v="2030 - EDUCACAO BASICA"/>
    <x v="859"/>
    <n v="0"/>
    <n v="0"/>
    <n v="0"/>
  </r>
  <r>
    <x v="1"/>
    <s v="3006 - TRANSPORTE TERRESTRE E TRANSITO"/>
    <x v="69"/>
    <n v="168580935.38"/>
    <n v="81431.58"/>
    <n v="81431.58"/>
  </r>
  <r>
    <x v="1"/>
    <s v="6012 - DEFESA NACIONAL"/>
    <x v="134"/>
    <n v="0"/>
    <n v="0"/>
    <n v="0"/>
  </r>
  <r>
    <x v="1"/>
    <s v="1031 - AGROPECUARIA SUSTENTAVEL"/>
    <x v="713"/>
    <n v="0"/>
    <n v="0"/>
    <n v="0"/>
  </r>
  <r>
    <x v="1"/>
    <s v="2068 - SANEAMENTO BASICO"/>
    <x v="343"/>
    <n v="0"/>
    <n v="0"/>
    <n v="0"/>
  </r>
  <r>
    <x v="1"/>
    <s v="1058 - MUDANCA DO CLIMA"/>
    <x v="620"/>
    <n v="0"/>
    <n v="0"/>
    <n v="0"/>
  </r>
  <r>
    <x v="1"/>
    <s v="3006 - TRANSPORTE TERRESTRE E TRANSITO"/>
    <x v="241"/>
    <n v="0"/>
    <n v="1979279.97"/>
    <n v="1916008.48"/>
  </r>
  <r>
    <x v="1"/>
    <s v="6012 - DEFESA NACIONAL"/>
    <x v="591"/>
    <n v="0"/>
    <n v="0"/>
    <n v="0"/>
  </r>
  <r>
    <x v="1"/>
    <s v="3006 - TRANSPORTE TERRESTRE E TRANSITO"/>
    <x v="537"/>
    <n v="10897421"/>
    <n v="0"/>
    <n v="0"/>
  </r>
  <r>
    <x v="1"/>
    <s v="3006 - TRANSPORTE TERRESTRE E TRANSITO"/>
    <x v="860"/>
    <n v="0"/>
    <n v="0"/>
    <n v="0"/>
  </r>
  <r>
    <x v="1"/>
    <s v="5018 - ATENCAO ESPECIALIZADA A SAUDE"/>
    <x v="83"/>
    <n v="42252040.549999997"/>
    <n v="19484972.559999999"/>
    <n v="8893254.4299999997"/>
  </r>
  <r>
    <x v="1"/>
    <s v="2066 - REFORMA AGRARIA E GOVERNANCA FUNDIARIA"/>
    <x v="231"/>
    <n v="0"/>
    <n v="0"/>
    <n v="0"/>
  </r>
  <r>
    <x v="1"/>
    <s v="2205 - CONECTA BRASIL"/>
    <x v="861"/>
    <n v="0"/>
    <n v="0"/>
    <n v="0"/>
  </r>
  <r>
    <x v="1"/>
    <s v="2015 - FORTALECIMENTO DO SISTEMA UNICO DE SAUDE (SUS)"/>
    <x v="862"/>
    <n v="0"/>
    <n v="0"/>
    <n v="0"/>
  </r>
  <r>
    <x v="1"/>
    <s v="2205 - CONECTA BRASIL"/>
    <x v="47"/>
    <n v="20000"/>
    <n v="0"/>
    <n v="0"/>
  </r>
  <r>
    <x v="1"/>
    <s v="2205 - CONECTA BRASIL"/>
    <x v="34"/>
    <n v="0"/>
    <n v="0"/>
    <n v="0"/>
  </r>
  <r>
    <x v="1"/>
    <s v="2217 - DESENVOLVIMENTO REGIONAL, TERRITORIAL E URBANO"/>
    <x v="322"/>
    <n v="153537.15"/>
    <n v="2884.2"/>
    <n v="2884.2"/>
  </r>
  <r>
    <x v="1"/>
    <s v="3005 - TRANSPORTE AQUAVIARIO"/>
    <x v="863"/>
    <n v="292736"/>
    <n v="0"/>
    <n v="0"/>
  </r>
  <r>
    <x v="1"/>
    <s v="3006 - TRANSPORTE TERRESTRE E TRANSITO"/>
    <x v="864"/>
    <n v="0"/>
    <n v="0"/>
    <n v="0"/>
  </r>
  <r>
    <x v="1"/>
    <s v="5028 - INCLUSAO SOCIAL POR MEIO DO BOLSA FAMILIA E DA ARTICULACAO DE POLITICAS PUBLICAS"/>
    <x v="462"/>
    <n v="0"/>
    <n v="0"/>
    <n v="0"/>
  </r>
  <r>
    <x v="1"/>
    <s v="5015 - JUSTICA"/>
    <x v="584"/>
    <n v="1144636.74"/>
    <n v="6260.47"/>
    <n v="6260.47"/>
  </r>
  <r>
    <x v="1"/>
    <s v="0905 - OPERACOES ESPECIAIS: SERVICO DA DIVIDA INTERNA (JUROS EAMORTIZACOES)"/>
    <x v="347"/>
    <n v="21790479.5"/>
    <n v="4636492.83"/>
    <n v="4636492.83"/>
  </r>
  <r>
    <x v="1"/>
    <s v="5021 - GESTAO E ORGANIZACAO DO SUS"/>
    <x v="26"/>
    <n v="73266"/>
    <n v="25700"/>
    <n v="25700"/>
  </r>
  <r>
    <x v="1"/>
    <s v="2080 - EDUCACAO DE QUALIDADE PARA TODOS"/>
    <x v="865"/>
    <n v="0"/>
    <n v="0"/>
    <n v="0"/>
  </r>
  <r>
    <x v="1"/>
    <s v="5013 - EDUCACAO SUPERIOR - GRADUACAO, POS-GRADUACAO, ENSINO, PESQUISA E EXTENSAO"/>
    <x v="123"/>
    <n v="24402800"/>
    <n v="7414800"/>
    <n v="11266000"/>
  </r>
  <r>
    <x v="1"/>
    <s v="5026 - ESPORTE"/>
    <x v="300"/>
    <n v="0"/>
    <n v="0"/>
    <n v="0"/>
  </r>
  <r>
    <x v="1"/>
    <s v="2015 - FORTALECIMENTO DO SISTEMA UNICO DE SAUDE (SUS)"/>
    <x v="866"/>
    <n v="0"/>
    <n v="0"/>
    <n v="0"/>
  </r>
  <r>
    <x v="1"/>
    <s v="2221 - RECURSOS HIDRICOS"/>
    <x v="204"/>
    <n v="41099.360000000001"/>
    <n v="10687.8"/>
    <n v="10687.8"/>
  </r>
  <r>
    <x v="1"/>
    <s v="3006 - TRANSPORTE TERRESTRE E TRANSITO"/>
    <x v="418"/>
    <n v="3846332"/>
    <n v="0"/>
    <n v="0"/>
  </r>
  <r>
    <x v="1"/>
    <s v="1058 - MUDANCA DO CLIMA"/>
    <x v="738"/>
    <n v="0"/>
    <n v="0"/>
    <n v="0"/>
  </r>
  <r>
    <x v="1"/>
    <s v="2015 - FORTALECIMENTO DO SISTEMA UNICO DE SAUDE (SUS)"/>
    <x v="437"/>
    <n v="0"/>
    <n v="0"/>
    <n v="0"/>
  </r>
  <r>
    <x v="1"/>
    <s v="2029 - DESENVOLVIMENTO REGIONAL E TERRITORIAL"/>
    <x v="867"/>
    <n v="0"/>
    <n v="0"/>
    <n v="0"/>
  </r>
  <r>
    <x v="1"/>
    <s v="2222 - SANEAMENTO BASICO"/>
    <x v="12"/>
    <n v="229171.97"/>
    <n v="0"/>
    <n v="0"/>
  </r>
  <r>
    <x v="1"/>
    <s v="3001 - ENERGIA ELETRICA"/>
    <x v="868"/>
    <n v="48000"/>
    <n v="696.18"/>
    <n v="696.18"/>
  </r>
  <r>
    <x v="1"/>
    <s v="2208 - TECNOLOGIAS APLICADAS, INOVACAO E DESENVOLVIMENTO SUSTENTAVEL"/>
    <x v="239"/>
    <n v="50001"/>
    <n v="1910.08"/>
    <n v="1910.08"/>
  </r>
  <r>
    <x v="1"/>
    <s v="2221 - RECURSOS HIDRICOS"/>
    <x v="486"/>
    <n v="0"/>
    <n v="8328.9"/>
    <n v="8328.9"/>
  </r>
  <r>
    <x v="1"/>
    <s v="1031 - AGROPECUARIA SUSTENTAVEL"/>
    <x v="231"/>
    <n v="0"/>
    <n v="0"/>
    <n v="0"/>
  </r>
  <r>
    <x v="1"/>
    <s v="1040 - GOVERNANCA FUNDIARIA"/>
    <x v="281"/>
    <n v="11168.25"/>
    <n v="1981.38"/>
    <n v="1981.38"/>
  </r>
  <r>
    <x v="1"/>
    <s v="1031 - AGROPECUARIA SUSTENTAVEL"/>
    <x v="48"/>
    <n v="0"/>
    <n v="0"/>
    <n v="0"/>
  </r>
  <r>
    <x v="1"/>
    <s v="0122 - SERVICOS URBANOS DE AGUA E ESGOTO"/>
    <x v="170"/>
    <n v="0"/>
    <n v="0"/>
    <n v="0"/>
  </r>
  <r>
    <x v="1"/>
    <s v="6012 - DEFESA NACIONAL"/>
    <x v="172"/>
    <n v="0"/>
    <n v="0"/>
    <n v="0"/>
  </r>
  <r>
    <x v="1"/>
    <s v="3001 - ENERGIA ELETRICA"/>
    <x v="6"/>
    <n v="254549.14"/>
    <n v="15752.69"/>
    <n v="8036.51"/>
  </r>
  <r>
    <x v="1"/>
    <s v="0907 - OPERACOES ESPECIAIS: REFINANCIAMENTO DA DIVIDA INTERNA"/>
    <x v="328"/>
    <n v="500000000"/>
    <n v="2408136426.9200001"/>
    <n v="2408136426.9200001"/>
  </r>
  <r>
    <x v="1"/>
    <s v="2221 - RECURSOS HIDRICOS"/>
    <x v="203"/>
    <n v="0"/>
    <n v="0"/>
    <n v="0"/>
  </r>
  <r>
    <x v="1"/>
    <s v="5018 - ATENCAO ESPECIALIZADA A SAUDE"/>
    <x v="869"/>
    <n v="0"/>
    <n v="0"/>
    <n v="0"/>
  </r>
  <r>
    <x v="1"/>
    <s v="2214 - NOVA PREVIDENCIA"/>
    <x v="506"/>
    <n v="70000"/>
    <n v="303472.12"/>
    <n v="20933.490000000002"/>
  </r>
  <r>
    <x v="1"/>
    <s v="2206 - POLITICA NUCLEAR"/>
    <x v="659"/>
    <n v="0"/>
    <n v="0"/>
    <n v="0"/>
  </r>
  <r>
    <x v="1"/>
    <s v="0903 - OPERACOES ESPECIAIS: TRANSFERENCIAS CONSTITUCIONAIS E AS DECORRENTES DE LEGISLACAO ESPECIFICA"/>
    <x v="28"/>
    <n v="0"/>
    <n v="284988301.12"/>
    <n v="284988301.12"/>
  </r>
  <r>
    <x v="1"/>
    <s v="2217 - DESENVOLVIMENTO REGIONAL, TERRITORIAL E URBANO"/>
    <x v="296"/>
    <n v="0"/>
    <n v="0"/>
    <n v="0"/>
  </r>
  <r>
    <x v="1"/>
    <s v="2223 - A HORA DO TURISMO"/>
    <x v="217"/>
    <n v="240000"/>
    <n v="0"/>
    <n v="0"/>
  </r>
  <r>
    <x v="1"/>
    <s v="6012 - DEFESA NACIONAL"/>
    <x v="683"/>
    <n v="78199"/>
    <n v="0"/>
    <n v="0"/>
  </r>
  <r>
    <x v="1"/>
    <s v="0903 - OPERACOES ESPECIAIS: TRANSFERENCIAS CONSTITUCIONAIS E AS DECORRENTES DE LEGISLACAO ESPECIFICA"/>
    <x v="368"/>
    <n v="18751685.170000002"/>
    <n v="8361071.3700000001"/>
    <n v="7881442.6100000003"/>
  </r>
  <r>
    <x v="1"/>
    <s v="6012 - DEFESA NACIONAL"/>
    <x v="38"/>
    <n v="0"/>
    <n v="0"/>
    <n v="0"/>
  </r>
  <r>
    <x v="1"/>
    <s v="2223 - A HORA DO TURISMO"/>
    <x v="269"/>
    <n v="0"/>
    <n v="0"/>
    <n v="0"/>
  </r>
  <r>
    <x v="1"/>
    <s v="6012 - DEFESA NACIONAL"/>
    <x v="870"/>
    <n v="22500"/>
    <n v="22500"/>
    <n v="0"/>
  </r>
  <r>
    <x v="1"/>
    <s v="3006 - TRANSPORTE TERRESTRE E TRANSITO"/>
    <x v="162"/>
    <n v="500000"/>
    <n v="0"/>
    <n v="0"/>
  </r>
  <r>
    <x v="1"/>
    <s v="0032 - PROGRAMA DE GESTAO E MANUTENCAO DO PODER EXECUTIVO"/>
    <x v="541"/>
    <n v="0"/>
    <n v="0"/>
    <n v="0"/>
  </r>
  <r>
    <x v="1"/>
    <s v="2212 - MELHORIA DO AMBIENTE DE NEGOCIOS E DA PRODUTIVIDADE"/>
    <x v="99"/>
    <n v="2650"/>
    <n v="0"/>
    <n v="0"/>
  </r>
  <r>
    <x v="1"/>
    <s v="3006 - TRANSPORTE TERRESTRE E TRANSITO"/>
    <x v="871"/>
    <n v="0"/>
    <n v="0"/>
    <n v="0"/>
  </r>
  <r>
    <x v="1"/>
    <s v="6012 - DEFESA NACIONAL"/>
    <x v="499"/>
    <n v="13783247.949999999"/>
    <n v="8795157.7899999991"/>
    <n v="88.5"/>
  </r>
  <r>
    <x v="1"/>
    <s v="2206 - POLITICA NUCLEAR"/>
    <x v="496"/>
    <n v="40000"/>
    <n v="38498.68"/>
    <n v="38498.68"/>
  </r>
  <r>
    <x v="1"/>
    <s v="0032 - PROGRAMA DE GESTAO E MANUTENCAO DO PODER EXECUTIVO"/>
    <x v="653"/>
    <n v="31029280"/>
    <n v="33905811"/>
    <n v="35576958.119999997"/>
  </r>
  <r>
    <x v="1"/>
    <s v="2213 - MODERNIZACAO TRABALHISTA E TRABALHO DIGNO"/>
    <x v="648"/>
    <n v="0"/>
    <n v="0"/>
    <n v="0"/>
  </r>
  <r>
    <x v="1"/>
    <s v="2206 - POLITICA NUCLEAR"/>
    <x v="708"/>
    <n v="324958.76"/>
    <n v="324200"/>
    <n v="322700"/>
  </r>
  <r>
    <x v="1"/>
    <s v="1031 - AGROPECUARIA SUSTENTAVEL"/>
    <x v="562"/>
    <n v="273324.69"/>
    <n v="182276.11"/>
    <n v="141824.47"/>
  </r>
  <r>
    <x v="1"/>
    <s v="2217 - DESENVOLVIMENTO REGIONAL, TERRITORIAL E URBANO"/>
    <x v="116"/>
    <n v="0"/>
    <n v="0"/>
    <n v="0"/>
  </r>
  <r>
    <x v="1"/>
    <s v="2222 - SANEAMENTO BASICO"/>
    <x v="449"/>
    <n v="0"/>
    <n v="0"/>
    <n v="0"/>
  </r>
  <r>
    <x v="1"/>
    <s v="3006 - TRANSPORTE TERRESTRE E TRANSITO"/>
    <x v="872"/>
    <n v="6000000"/>
    <n v="0"/>
    <n v="0"/>
  </r>
  <r>
    <x v="1"/>
    <s v="3001 - ENERGIA ELETRICA"/>
    <x v="106"/>
    <n v="3360290.53"/>
    <n v="5554664.96"/>
    <n v="5554664.96"/>
  </r>
  <r>
    <x v="1"/>
    <s v="2108 - PROGRAMA DE GESTAO E MANUTENCAO DO MINISTERIO DA DEFESA"/>
    <x v="52"/>
    <n v="0"/>
    <n v="0"/>
    <n v="0"/>
  </r>
  <r>
    <x v="1"/>
    <s v="5017 - ASSISTENCIA FARMACEUTICA NO SUS"/>
    <x v="124"/>
    <n v="43263235.469999999"/>
    <n v="2532080.46"/>
    <n v="2532080.46"/>
  </r>
  <r>
    <x v="1"/>
    <s v="2212 - MELHORIA DO AMBIENTE DE NEGOCIOS E DA PRODUTIVIDADE"/>
    <x v="767"/>
    <n v="581972.21"/>
    <n v="552039.26"/>
    <n v="517757.47"/>
  </r>
  <r>
    <x v="1"/>
    <s v="2221 - RECURSOS HIDRICOS"/>
    <x v="484"/>
    <n v="60000"/>
    <n v="38783.300000000003"/>
    <n v="24657.200000000001"/>
  </r>
  <r>
    <x v="1"/>
    <s v="5021 - GESTAO E ORGANIZACAO DO SUS"/>
    <x v="873"/>
    <n v="4513350"/>
    <n v="4493450"/>
    <n v="0"/>
  </r>
  <r>
    <x v="1"/>
    <s v="2106 - PROGRAMA DE GESTAO E MANUTENCAO DO MINISTERIO DA CIENCIA, TECNOLOGIA, INOVACOES E COMUNICACOES"/>
    <x v="52"/>
    <n v="0"/>
    <n v="0"/>
    <n v="0"/>
  </r>
  <r>
    <x v="1"/>
    <s v="2080 - EDUCACAO DE QUALIDADE PARA TODOS"/>
    <x v="504"/>
    <n v="0"/>
    <n v="0"/>
    <n v="0"/>
  </r>
  <r>
    <x v="1"/>
    <s v="5020 - DESENVOLVIMENTO CIENTIFICO, TECNOLOGICO E PRODUTIVO EM SAUDE"/>
    <x v="4"/>
    <n v="95111.17"/>
    <n v="95111.17"/>
    <n v="0"/>
  </r>
  <r>
    <x v="1"/>
    <s v="2015 - FORTALECIMENTO DO SISTEMA UNICO DE SAUDE (SUS)"/>
    <x v="284"/>
    <n v="0"/>
    <n v="0"/>
    <n v="0"/>
  </r>
  <r>
    <x v="1"/>
    <s v="0903 - OPERACOES ESPECIAIS: TRANSFERENCIAS CONSTITUCIONAIS E AS DECORRENTES DE LEGISLACAO ESPECIFICA"/>
    <x v="253"/>
    <n v="687157138.78999996"/>
    <n v="583284817.37"/>
    <n v="583266640.10000002"/>
  </r>
  <r>
    <x v="1"/>
    <s v="2221 - RECURSOS HIDRICOS"/>
    <x v="573"/>
    <n v="50000"/>
    <n v="2480.1"/>
    <n v="2480.1"/>
  </r>
  <r>
    <x v="1"/>
    <s v="3003 - PETROLEO, GAS, DERIVADOS E BIOCOMBUSTIVEIS"/>
    <x v="874"/>
    <n v="73000"/>
    <n v="5370.3"/>
    <n v="5370.3"/>
  </r>
  <r>
    <x v="1"/>
    <s v="5011 - EDUCACAO BASICA DE QUALIDADE"/>
    <x v="875"/>
    <n v="0"/>
    <n v="0"/>
    <n v="0"/>
  </r>
  <r>
    <x v="1"/>
    <s v="2204 - BRASIL NA FRONTEIRA DO CONHECIMENTO"/>
    <x v="29"/>
    <n v="385003"/>
    <n v="120509.51"/>
    <n v="118379.77"/>
  </r>
  <r>
    <x v="1"/>
    <s v="5016 - SEGURANCA PUBLICA, COMBATE A CORRUPCAO, AO CRIME ORGANIZADO E AO CRIME VIOLENTO"/>
    <x v="439"/>
    <n v="224372.81"/>
    <n v="2316.84"/>
    <n v="0"/>
  </r>
  <r>
    <x v="1"/>
    <s v="3006 - TRANSPORTE TERRESTRE E TRANSITO"/>
    <x v="125"/>
    <n v="15500000"/>
    <n v="0"/>
    <n v="0"/>
  </r>
  <r>
    <x v="1"/>
    <s v="2042 - PESQUISA E INOVACOES PARA A AGROPECUARIA"/>
    <x v="270"/>
    <n v="0"/>
    <n v="0"/>
    <n v="0"/>
  </r>
  <r>
    <x v="1"/>
    <s v="3006 - TRANSPORTE TERRESTRE E TRANSITO"/>
    <x v="68"/>
    <n v="16826070"/>
    <n v="0"/>
    <n v="0"/>
  </r>
  <r>
    <x v="1"/>
    <s v="0033 - PROGRAMA DE GESTAO E MANUTENCAO DO PODER JUDICIARIO"/>
    <x v="415"/>
    <n v="0"/>
    <n v="0"/>
    <n v="0"/>
  </r>
  <r>
    <x v="1"/>
    <s v="2221 - RECURSOS HIDRICOS"/>
    <x v="876"/>
    <n v="30000"/>
    <n v="0"/>
    <n v="0"/>
  </r>
  <r>
    <x v="1"/>
    <s v="2207 - PROGRAMA ESPACIAL BRASILEIRO"/>
    <x v="39"/>
    <n v="0"/>
    <n v="0"/>
    <n v="0"/>
  </r>
  <r>
    <x v="1"/>
    <s v="2207 - PROGRAMA ESPACIAL BRASILEIRO"/>
    <x v="190"/>
    <n v="3837989.38"/>
    <n v="8432131.9199999999"/>
    <n v="8432131.9199999999"/>
  </r>
  <r>
    <x v="1"/>
    <s v="5016 - SEGURANCA PUBLICA, COMBATE A CORRUPCAO, AO CRIME ORGANIZADO E AO CRIME VIOLENTO"/>
    <x v="79"/>
    <n v="0"/>
    <n v="0"/>
    <n v="0"/>
  </r>
  <r>
    <x v="1"/>
    <s v="6013 - OCEANOS, ZONA COSTEIRA E ANTARTICA"/>
    <x v="413"/>
    <n v="38918"/>
    <n v="26613.55"/>
    <n v="9695.5499999999993"/>
  </r>
  <r>
    <x v="1"/>
    <s v="2214 - NOVA PREVIDENCIA"/>
    <x v="187"/>
    <n v="495000"/>
    <n v="2704198.74"/>
    <n v="2632104.35"/>
  </r>
  <r>
    <x v="1"/>
    <s v="0903 - OPERACOES ESPECIAIS: TRANSFERENCIAS CONSTITUCIONAIS E AS DECORRENTES DE LEGISLACAO ESPECIFICA"/>
    <x v="375"/>
    <n v="0"/>
    <n v="156996012.06"/>
    <n v="156996012.06"/>
  </r>
  <r>
    <x v="1"/>
    <s v="3002 - GEOLOGIA, MINERACAO E TRANSFORMACAO MINERAL"/>
    <x v="877"/>
    <n v="4603445.37"/>
    <n v="57069.77"/>
    <n v="57069.77"/>
  </r>
  <r>
    <x v="1"/>
    <s v="0903 - OPERACOES ESPECIAIS: TRANSFERENCIAS CONSTITUCIONAIS E AS DECORRENTES DE LEGISLACAO ESPECIFICA"/>
    <x v="135"/>
    <n v="1713252300"/>
    <n v="125107542.34999999"/>
    <n v="125107542.34999999"/>
  </r>
  <r>
    <x v="1"/>
    <s v="2216 - POLITICA EXTERNA"/>
    <x v="289"/>
    <n v="1626047.06"/>
    <n v="281058.09999999998"/>
    <n v="252329.84"/>
  </r>
  <r>
    <x v="1"/>
    <s v="2216 - POLITICA EXTERNA"/>
    <x v="362"/>
    <n v="49105.73"/>
    <n v="49105.73"/>
    <n v="49105.73"/>
  </r>
  <r>
    <x v="1"/>
    <s v="5017 - ASSISTENCIA FARMACEUTICA NO SUS"/>
    <x v="388"/>
    <n v="216369136.06999999"/>
    <n v="123909760.09999999"/>
    <n v="37607489.770000003"/>
  </r>
  <r>
    <x v="1"/>
    <s v="5028 - INCLUSAO SOCIAL POR MEIO DO BOLSA FAMILIA E DA ARTICULACAO DE POLITICAS PUBLICAS"/>
    <x v="227"/>
    <n v="0"/>
    <n v="0"/>
    <n v="0"/>
  </r>
  <r>
    <x v="1"/>
    <s v="6012 - DEFESA NACIONAL"/>
    <x v="878"/>
    <n v="18033325"/>
    <n v="0"/>
    <n v="0"/>
  </r>
  <r>
    <x v="1"/>
    <s v="2217 - DESENVOLVIMENTO REGIONAL, TERRITORIAL E URBANO"/>
    <x v="110"/>
    <n v="0"/>
    <n v="0"/>
    <n v="0"/>
  </r>
  <r>
    <x v="1"/>
    <s v="3006 - TRANSPORTE TERRESTRE E TRANSITO"/>
    <x v="510"/>
    <n v="472736"/>
    <n v="0"/>
    <n v="0"/>
  </r>
  <r>
    <x v="1"/>
    <s v="4001 - COMUNICACAO PUBLICA E DIVULGACAO DE ATOS E MATERIAS DO GOVERNO FEDERAL"/>
    <x v="84"/>
    <n v="2854368.09"/>
    <n v="658994.92000000004"/>
    <n v="635717.5"/>
  </r>
  <r>
    <x v="1"/>
    <s v="2204 - BRASIL NA FRONTEIRA DO CONHECIMENTO"/>
    <x v="598"/>
    <n v="268383653.91"/>
    <n v="229428538.53"/>
    <n v="6855738.6299999999"/>
  </r>
  <r>
    <x v="1"/>
    <s v="6012 - DEFESA NACIONAL"/>
    <x v="471"/>
    <n v="563013.30000000005"/>
    <n v="14308.85"/>
    <n v="14308.85"/>
  </r>
  <r>
    <x v="1"/>
    <s v="0032 - PROGRAMA DE GESTAO E MANUTENCAO DO PODER EXECUTIVO"/>
    <x v="729"/>
    <n v="743190184.53999996"/>
    <n v="1932248443.8599999"/>
    <n v="1936697525.8900001"/>
  </r>
  <r>
    <x v="1"/>
    <s v="2217 - DESENVOLVIMENTO REGIONAL, TERRITORIAL E URBANO"/>
    <x v="403"/>
    <n v="0"/>
    <n v="0"/>
    <n v="0"/>
  </r>
  <r>
    <x v="1"/>
    <s v="5029 - PRODUCAO DE DADOS E CONHECIMENTO PARA O APRIMORAMENTO DE POLITICAS PUBLICAS"/>
    <x v="265"/>
    <n v="2069078.89"/>
    <n v="2069078.89"/>
    <n v="2069078.89"/>
  </r>
  <r>
    <x v="1"/>
    <s v="0902 - OPERACOES ESPECIAIS: FINANCIAMENTOS COM RETORNO"/>
    <x v="146"/>
    <n v="0"/>
    <n v="334678377.95999998"/>
    <n v="334678377.95999998"/>
  </r>
  <r>
    <x v="1"/>
    <s v="2208 - TECNOLOGIAS APLICADAS, INOVACAO E DESENVOLVIMENTO SUSTENTAVEL"/>
    <x v="879"/>
    <n v="0"/>
    <n v="0"/>
    <n v="0"/>
  </r>
  <r>
    <x v="1"/>
    <s v="0032 - PROGRAMA DE GESTAO E MANUTENCAO DO PODER EXECUTIVO"/>
    <x v="575"/>
    <n v="0"/>
    <n v="0"/>
    <n v="0"/>
  </r>
  <r>
    <x v="1"/>
    <s v="0032 - PROGRAMA DE GESTAO E MANUTENCAO DO PODER EXECUTIVO"/>
    <x v="433"/>
    <n v="0"/>
    <n v="0"/>
    <n v="0"/>
  </r>
  <r>
    <x v="1"/>
    <s v="2221 - RECURSOS HIDRICOS"/>
    <x v="880"/>
    <n v="0"/>
    <n v="0"/>
    <n v="0"/>
  </r>
  <r>
    <x v="1"/>
    <s v="2052 - PESCA E AQUICULTURA"/>
    <x v="30"/>
    <n v="0"/>
    <n v="0"/>
    <n v="0"/>
  </r>
  <r>
    <x v="1"/>
    <s v="5023 - VIGILANCIA EM SAUDE"/>
    <x v="145"/>
    <n v="159211164"/>
    <n v="0"/>
    <n v="0"/>
  </r>
  <r>
    <x v="1"/>
    <s v="3004 - AVIACAO CIVIL"/>
    <x v="595"/>
    <n v="-20087006.969999999"/>
    <n v="682456.65"/>
    <n v="875388.55"/>
  </r>
  <r>
    <x v="1"/>
    <s v="3006 - TRANSPORTE TERRESTRE E TRANSITO"/>
    <x v="355"/>
    <n v="0"/>
    <n v="0"/>
    <n v="0"/>
  </r>
  <r>
    <x v="1"/>
    <s v="6012 - DEFESA NACIONAL"/>
    <x v="881"/>
    <n v="952746.4"/>
    <n v="0"/>
    <n v="0"/>
  </r>
  <r>
    <x v="1"/>
    <s v="2221 - RECURSOS HIDRICOS"/>
    <x v="194"/>
    <n v="51945.1"/>
    <n v="3335.1"/>
    <n v="3335.1"/>
  </r>
  <r>
    <x v="1"/>
    <s v="0901 - OPERACOES ESPECIAIS: CUMPRIMENTO DE SENTENCAS JUDICIAIS"/>
    <x v="882"/>
    <n v="0"/>
    <n v="0"/>
    <n v="0"/>
  </r>
  <r>
    <x v="1"/>
    <s v="0909 - OPERACOES ESPECIAIS: OUTROS ENCARGOS ESPECIAIS"/>
    <x v="288"/>
    <n v="31833333"/>
    <n v="3513700"/>
    <n v="5815250"/>
  </r>
  <r>
    <x v="1"/>
    <s v="5023 - VIGILANCIA EM SAUDE"/>
    <x v="284"/>
    <n v="0"/>
    <n v="0"/>
    <n v="0"/>
  </r>
  <r>
    <x v="1"/>
    <s v="0122 - SERVICOS URBANOS DE AGUA E ESGOTO"/>
    <x v="267"/>
    <n v="0"/>
    <n v="0"/>
    <n v="0"/>
  </r>
  <r>
    <x v="1"/>
    <s v="2208 - TECNOLOGIAS APLICADAS, INOVACAO E DESENVOLVIMENTO SUSTENTAVEL"/>
    <x v="559"/>
    <n v="0"/>
    <n v="0"/>
    <n v="0"/>
  </r>
  <r>
    <x v="1"/>
    <s v="6012 - DEFESA NACIONAL"/>
    <x v="321"/>
    <n v="4791519.92"/>
    <n v="0"/>
    <n v="0"/>
  </r>
  <r>
    <x v="1"/>
    <s v="3006 - TRANSPORTE TERRESTRE E TRANSITO"/>
    <x v="140"/>
    <n v="10316448"/>
    <n v="0"/>
    <n v="0"/>
  </r>
  <r>
    <x v="1"/>
    <s v="5020 - DESENVOLVIMENTO CIENTIFICO, TECNOLOGICO E PRODUTIVO EM SAUDE"/>
    <x v="441"/>
    <n v="0"/>
    <n v="0"/>
    <n v="0"/>
  </r>
  <r>
    <x v="1"/>
    <s v="2217 - DESENVOLVIMENTO REGIONAL, TERRITORIAL E URBANO"/>
    <x v="406"/>
    <n v="75547"/>
    <n v="46946.82"/>
    <n v="31351.73"/>
  </r>
  <r>
    <x v="1"/>
    <s v="2215 - POLITICA ECONOMICA E EQUILIBRIO FISCAL"/>
    <x v="264"/>
    <n v="0"/>
    <n v="0"/>
    <n v="0"/>
  </r>
  <r>
    <x v="1"/>
    <s v="0032 - PROGRAMA DE GESTAO E MANUTENCAO DO PODER EXECUTIVO"/>
    <x v="691"/>
    <n v="81433"/>
    <n v="30155.67"/>
    <n v="30155.67"/>
  </r>
  <r>
    <x v="1"/>
    <s v="0032 - PROGRAMA DE GESTAO E MANUTENCAO DO PODER EXECUTIVO"/>
    <x v="679"/>
    <n v="4495012.18"/>
    <n v="229494.09"/>
    <n v="213690.82"/>
  </r>
  <r>
    <x v="1"/>
    <s v="5026 - ESPORTE"/>
    <x v="92"/>
    <n v="0"/>
    <n v="0"/>
    <n v="0"/>
  </r>
  <r>
    <x v="1"/>
    <s v="1031 - AGROPECUARIA SUSTENTAVEL"/>
    <x v="192"/>
    <n v="0"/>
    <n v="0"/>
    <n v="0"/>
  </r>
  <r>
    <x v="1"/>
    <s v="5031 - PROTECAO SOCIAL NO AMBITO DO SISTEMA UNICO DE ASSISTENCIA SOCIAL (SUAS)"/>
    <x v="603"/>
    <n v="0"/>
    <n v="0"/>
    <n v="0"/>
  </r>
  <r>
    <x v="1"/>
    <s v="3006 - TRANSPORTE TERRESTRE E TRANSITO"/>
    <x v="883"/>
    <n v="100000"/>
    <n v="0"/>
    <n v="0"/>
  </r>
  <r>
    <x v="1"/>
    <s v="2216 - POLITICA EXTERNA"/>
    <x v="230"/>
    <n v="0"/>
    <n v="0"/>
    <n v="0"/>
  </r>
  <r>
    <x v="1"/>
    <s v="2223 - A HORA DO TURISMO"/>
    <x v="419"/>
    <n v="0"/>
    <n v="0"/>
    <n v="0"/>
  </r>
  <r>
    <x v="1"/>
    <s v="0032 - PROGRAMA DE GESTAO E MANUTENCAO DO PODER EXECUTIVO"/>
    <x v="348"/>
    <n v="161890"/>
    <n v="0"/>
    <n v="0"/>
  </r>
  <r>
    <x v="1"/>
    <s v="2084 - RECURSOS HIDRICOS"/>
    <x v="167"/>
    <n v="0"/>
    <n v="0"/>
    <n v="0"/>
  </r>
  <r>
    <x v="1"/>
    <s v="2218 - GESTAO DE RISCOS E DE DESASTRES"/>
    <x v="536"/>
    <n v="927700"/>
    <n v="80973.279999999999"/>
    <n v="80973.279999999999"/>
  </r>
  <r>
    <x v="1"/>
    <s v="0032 - PROGRAMA DE GESTAO E MANUTENCAO DO PODER EXECUTIVO"/>
    <x v="505"/>
    <n v="85103819.409999996"/>
    <n v="72045917.939999998"/>
    <n v="67515184.049999997"/>
  </r>
  <r>
    <x v="1"/>
    <s v="2214 - NOVA PREVIDENCIA"/>
    <x v="740"/>
    <n v="5862682.9100000001"/>
    <n v="55610.66"/>
    <n v="5853.2"/>
  </r>
  <r>
    <x v="1"/>
    <s v="4002 - SEGURANCA INSTITUCIONAL"/>
    <x v="431"/>
    <n v="20000"/>
    <n v="0"/>
    <n v="0"/>
  </r>
  <r>
    <x v="1"/>
    <s v="5023 - VIGILANCIA EM SAUDE"/>
    <x v="247"/>
    <n v="41692145.700000003"/>
    <n v="1364264.19"/>
    <n v="1364264.19"/>
  </r>
  <r>
    <x v="1"/>
    <s v="2048 - MOBILIDADE URBANA E TRANSITO"/>
    <x v="476"/>
    <n v="0"/>
    <n v="0"/>
    <n v="0"/>
  </r>
  <r>
    <x v="1"/>
    <s v="2221 - RECURSOS HIDRICOS"/>
    <x v="280"/>
    <n v="0"/>
    <n v="0"/>
    <n v="0"/>
  </r>
  <r>
    <x v="1"/>
    <s v="5020 - DESENVOLVIMENTO CIENTIFICO, TECNOLOGICO E PRODUTIVO EM SAUDE"/>
    <x v="515"/>
    <n v="0"/>
    <n v="0"/>
    <n v="0"/>
  </r>
  <r>
    <x v="1"/>
    <s v="6012 - DEFESA NACIONAL"/>
    <x v="273"/>
    <n v="-7496637.29"/>
    <n v="11103.91"/>
    <n v="7517.42"/>
  </r>
  <r>
    <x v="1"/>
    <s v="1031 - AGROPECUARIA SUSTENTAVEL"/>
    <x v="622"/>
    <n v="27602.62"/>
    <n v="21383.52"/>
    <n v="16263.62"/>
  </r>
  <r>
    <x v="1"/>
    <s v="2215 - POLITICA ECONOMICA E EQUILIBRIO FISCAL"/>
    <x v="586"/>
    <n v="-500000"/>
    <n v="277704.78999999998"/>
    <n v="277704.78999999998"/>
  </r>
  <r>
    <x v="1"/>
    <s v="5033 - SEGURANCA ALIMENTAR E NUTRICIONAL"/>
    <x v="884"/>
    <n v="0"/>
    <n v="0"/>
    <n v="0"/>
  </r>
  <r>
    <x v="1"/>
    <s v="5034 - PROTECAO A VIDA, FORTALECIMENTO DA FAMILIA, PROMOCAO E DEFESA DOS DIREITOS HUMANOS PARA TODOS"/>
    <x v="305"/>
    <n v="0"/>
    <n v="624820.96"/>
    <n v="624820.96"/>
  </r>
  <r>
    <x v="1"/>
    <s v="3006 - TRANSPORTE TERRESTRE E TRANSITO"/>
    <x v="405"/>
    <n v="0"/>
    <n v="0"/>
    <n v="0"/>
  </r>
  <r>
    <x v="1"/>
    <s v="1031 - AGROPECUARIA SUSTENTAVEL"/>
    <x v="434"/>
    <n v="-50000000"/>
    <n v="0"/>
    <n v="0"/>
  </r>
  <r>
    <x v="1"/>
    <s v="2215 - POLITICA ECONOMICA E EQUILIBRIO FISCAL"/>
    <x v="96"/>
    <n v="207948.01"/>
    <n v="44086.54"/>
    <n v="44086.54"/>
  </r>
  <r>
    <x v="1"/>
    <s v="3006 - TRANSPORTE TERRESTRE E TRANSITO"/>
    <x v="539"/>
    <n v="53324738"/>
    <n v="269986.32"/>
    <n v="40642.33"/>
  </r>
  <r>
    <x v="1"/>
    <s v="5017 - ASSISTENCIA FARMACEUTICA NO SUS"/>
    <x v="219"/>
    <n v="104244143.64"/>
    <n v="104244143.64"/>
    <n v="104244143.64"/>
  </r>
  <r>
    <x v="1"/>
    <s v="3001 - ENERGIA ELETRICA"/>
    <x v="16"/>
    <n v="1206951.51"/>
    <n v="269978.33"/>
    <n v="269007.75"/>
  </r>
  <r>
    <x v="1"/>
    <s v="3006 - TRANSPORTE TERRESTRE E TRANSITO"/>
    <x v="885"/>
    <n v="500000"/>
    <n v="0"/>
    <n v="0"/>
  </r>
  <r>
    <x v="1"/>
    <s v="6012 - DEFESA NACIONAL"/>
    <x v="886"/>
    <n v="0"/>
    <n v="0"/>
    <n v="0"/>
  </r>
  <r>
    <x v="1"/>
    <s v="2212 - MELHORIA DO AMBIENTE DE NEGOCIOS E DA PRODUTIVIDADE"/>
    <x v="887"/>
    <n v="10000"/>
    <n v="0"/>
    <n v="0"/>
  </r>
  <r>
    <x v="1"/>
    <s v="6012 - DEFESA NACIONAL"/>
    <x v="75"/>
    <n v="51570.080000000002"/>
    <n v="8889.43"/>
    <n v="1474.39"/>
  </r>
  <r>
    <x v="1"/>
    <s v="3006 - TRANSPORTE TERRESTRE E TRANSITO"/>
    <x v="497"/>
    <n v="7719135"/>
    <n v="0"/>
    <n v="0"/>
  </r>
  <r>
    <x v="1"/>
    <s v="6012 - DEFESA NACIONAL"/>
    <x v="561"/>
    <n v="2478448.89"/>
    <n v="15864.25"/>
    <n v="9803.5"/>
  </r>
  <r>
    <x v="1"/>
    <s v="2015 - FORTALECIMENTO DO SISTEMA UNICO DE SAUDE (SUS)"/>
    <x v="502"/>
    <n v="0"/>
    <n v="0"/>
    <n v="0"/>
  </r>
  <r>
    <x v="1"/>
    <s v="5031 - PROTECAO SOCIAL NO AMBITO DO SISTEMA UNICO DE ASSISTENCIA SOCIAL (SUAS)"/>
    <x v="302"/>
    <n v="0"/>
    <n v="0"/>
    <n v="0"/>
  </r>
  <r>
    <x v="1"/>
    <s v="6012 - DEFESA NACIONAL"/>
    <x v="518"/>
    <n v="0"/>
    <n v="0"/>
    <n v="0"/>
  </r>
  <r>
    <x v="1"/>
    <s v="2212 - MELHORIA DO AMBIENTE DE NEGOCIOS E DA PRODUTIVIDADE"/>
    <x v="329"/>
    <n v="48154945.729999997"/>
    <n v="48154945.729999997"/>
    <n v="48154945.729999997"/>
  </r>
  <r>
    <x v="1"/>
    <s v="0903 - OPERACOES ESPECIAIS: TRANSFERENCIAS CONSTITUCIONAIS E AS DECORRENTES DE LEGISLACAO ESPECIFICA"/>
    <x v="457"/>
    <n v="290972335.47000003"/>
    <n v="251912671.21000001"/>
    <n v="236072389.53999999"/>
  </r>
  <r>
    <x v="1"/>
    <s v="3006 - TRANSPORTE TERRESTRE E TRANSITO"/>
    <x v="133"/>
    <n v="1000000"/>
    <n v="0"/>
    <n v="0"/>
  </r>
  <r>
    <x v="1"/>
    <s v="2068 - SANEAMENTO BASICO"/>
    <x v="206"/>
    <n v="0"/>
    <n v="0"/>
    <n v="0"/>
  </r>
  <r>
    <x v="1"/>
    <s v="0122 - SERVICOS URBANOS DE AGUA E ESGOTO"/>
    <x v="611"/>
    <n v="0"/>
    <n v="0"/>
    <n v="0"/>
  </r>
  <r>
    <x v="1"/>
    <s v="0909 - OPERACOES ESPECIAIS: OUTROS ENCARGOS ESPECIAIS"/>
    <x v="112"/>
    <n v="4813111"/>
    <n v="0"/>
    <n v="0"/>
  </r>
  <r>
    <x v="1"/>
    <s v="5018 - ATENCAO ESPECIALIZADA A SAUDE"/>
    <x v="330"/>
    <n v="18082801.969999999"/>
    <n v="5696964.7800000003"/>
    <n v="4488190.76"/>
  </r>
  <r>
    <x v="1"/>
    <s v="2029 - DESENVOLVIMENTO REGIONAL E TERRITORIAL"/>
    <x v="632"/>
    <n v="0"/>
    <n v="0"/>
    <n v="0"/>
  </r>
  <r>
    <x v="1"/>
    <s v="0617 - PROTECAO E PROMOCAO DOS DIREITOS DOS POVOS INDIGENAS"/>
    <x v="373"/>
    <n v="0"/>
    <n v="0"/>
    <n v="0"/>
  </r>
  <r>
    <x v="1"/>
    <s v="2206 - POLITICA NUCLEAR"/>
    <x v="594"/>
    <n v="0"/>
    <n v="0"/>
    <n v="0"/>
  </r>
  <r>
    <x v="1"/>
    <s v="5016 - SEGURANCA PUBLICA, COMBATE A CORRUPCAO, AO CRIME ORGANIZADO E AO CRIME VIOLENTO"/>
    <x v="754"/>
    <n v="0"/>
    <n v="0"/>
    <n v="0"/>
  </r>
  <r>
    <x v="1"/>
    <s v="6012 - DEFESA NACIONAL"/>
    <x v="210"/>
    <n v="0"/>
    <n v="0"/>
    <n v="0"/>
  </r>
  <r>
    <x v="1"/>
    <s v="1041 - CONSERVACAO E USO SUSTENTAVEL DA BIODIVERSIDADE E DOS RECURSOS NATURAIS"/>
    <x v="177"/>
    <n v="0"/>
    <n v="0"/>
    <n v="0"/>
  </r>
  <r>
    <x v="1"/>
    <s v="0909 - OPERACOES ESPECIAIS: OUTROS ENCARGOS ESPECIAIS"/>
    <x v="346"/>
    <n v="0"/>
    <n v="0"/>
    <n v="0"/>
  </r>
  <r>
    <x v="1"/>
    <s v="3006 - TRANSPORTE TERRESTRE E TRANSITO"/>
    <x v="601"/>
    <n v="1089072.83"/>
    <n v="0"/>
    <n v="0"/>
  </r>
  <r>
    <x v="1"/>
    <s v="5020 - DESENVOLVIMENTO CIENTIFICO, TECNOLOGICO E PRODUTIVO EM SAUDE"/>
    <x v="268"/>
    <n v="0"/>
    <n v="0"/>
    <n v="0"/>
  </r>
  <r>
    <x v="1"/>
    <s v="0032 - PROGRAMA DE GESTAO E MANUTENCAO DO PODER EXECUTIVO"/>
    <x v="678"/>
    <n v="230326547.47"/>
    <n v="117868907.31"/>
    <n v="108238085.84"/>
  </r>
  <r>
    <x v="1"/>
    <s v="2217 - DESENVOLVIMENTO REGIONAL, TERRITORIAL E URBANO"/>
    <x v="527"/>
    <n v="45200242"/>
    <n v="4408181.96"/>
    <n v="21070548.940000001"/>
  </r>
  <r>
    <x v="1"/>
    <s v="5031 - PROTECAO SOCIAL NO AMBITO DO SISTEMA UNICO DE ASSISTENCIA SOCIAL (SUAS)"/>
    <x v="514"/>
    <n v="915000"/>
    <n v="3897928811.48"/>
    <n v="3861723948.9200001"/>
  </r>
  <r>
    <x v="1"/>
    <s v="5021 - GESTAO E ORGANIZACAO DO SUS"/>
    <x v="482"/>
    <n v="2030000"/>
    <n v="2033399.2"/>
    <n v="2035035.16"/>
  </r>
  <r>
    <x v="1"/>
    <s v="2214 - NOVA PREVIDENCIA"/>
    <x v="3"/>
    <n v="3533097.01"/>
    <n v="10208448.65"/>
    <n v="709937.4"/>
  </r>
  <r>
    <x v="1"/>
    <s v="5019 - ATENCAO PRIMARIA A SAUDE"/>
    <x v="316"/>
    <n v="0"/>
    <n v="0"/>
    <n v="0"/>
  </r>
  <r>
    <x v="1"/>
    <s v="2221 - RECURSOS HIDRICOS"/>
    <x v="645"/>
    <n v="628678.31999999995"/>
    <n v="2349.4499999999998"/>
    <n v="2349.4499999999998"/>
  </r>
  <r>
    <x v="1"/>
    <s v="1031 - AGROPECUARIA SUSTENTAVEL"/>
    <x v="888"/>
    <n v="26620000"/>
    <n v="0"/>
    <n v="0"/>
  </r>
  <r>
    <x v="1"/>
    <s v="2216 - POLITICA EXTERNA"/>
    <x v="889"/>
    <n v="0"/>
    <n v="0"/>
    <n v="0"/>
  </r>
  <r>
    <x v="1"/>
    <s v="2208 - TECNOLOGIAS APLICADAS, INOVACAO E DESENVOLVIMENTO SUSTENTAVEL"/>
    <x v="285"/>
    <n v="65204388.350000001"/>
    <n v="58432368"/>
    <n v="22489730.640000001"/>
  </r>
  <r>
    <x v="1"/>
    <s v="3005 - TRANSPORTE AQUAVIARIO"/>
    <x v="890"/>
    <n v="30161.1"/>
    <n v="30161.1"/>
    <n v="30161.1"/>
  </r>
  <r>
    <x v="1"/>
    <s v="2222 - SANEAMENTO BASICO"/>
    <x v="331"/>
    <n v="0"/>
    <n v="0"/>
    <n v="0"/>
  </r>
  <r>
    <x v="1"/>
    <s v="2208 - TECNOLOGIAS APLICADAS, INOVACAO E DESENVOLVIMENTO SUSTENTAVEL"/>
    <x v="891"/>
    <n v="0"/>
    <n v="0"/>
    <n v="0"/>
  </r>
  <r>
    <x v="1"/>
    <s v="3006 - TRANSPORTE TERRESTRE E TRANSITO"/>
    <x v="582"/>
    <n v="0"/>
    <n v="0"/>
    <n v="0"/>
  </r>
  <r>
    <x v="1"/>
    <s v="3006 - TRANSPORTE TERRESTRE E TRANSITO"/>
    <x v="892"/>
    <n v="0"/>
    <n v="0"/>
    <n v="0"/>
  </r>
  <r>
    <x v="1"/>
    <s v="3006 - TRANSPORTE TERRESTRE E TRANSITO"/>
    <x v="893"/>
    <n v="3097966.63"/>
    <n v="0"/>
    <n v="0"/>
  </r>
  <r>
    <x v="1"/>
    <s v="3006 - TRANSPORTE TERRESTRE E TRANSITO"/>
    <x v="894"/>
    <n v="0"/>
    <n v="0"/>
    <n v="0"/>
  </r>
  <r>
    <x v="1"/>
    <s v="5018 - ATENCAO ESPECIALIZADA A SAUDE"/>
    <x v="366"/>
    <n v="87018747.900000006"/>
    <n v="61698028.5"/>
    <n v="41262269.75"/>
  </r>
  <r>
    <x v="1"/>
    <s v="5021 - GESTAO E ORGANIZACAO DO SUS"/>
    <x v="165"/>
    <n v="8527249.0600000005"/>
    <n v="851856.39"/>
    <n v="161738.29"/>
  </r>
  <r>
    <x v="1"/>
    <s v="5027 - INCLUSAO PRODUTIVA DE PESSOAS EM SITUACAO DE VULNERABILIDADE SOCIAL"/>
    <x v="895"/>
    <n v="0"/>
    <n v="0"/>
    <n v="0"/>
  </r>
  <r>
    <x v="1"/>
    <s v="0032 - PROGRAMA DE GESTAO E MANUTENCAO DO PODER EXECUTIVO"/>
    <x v="295"/>
    <n v="40000"/>
    <n v="13940.64"/>
    <n v="0"/>
  </r>
  <r>
    <x v="1"/>
    <s v="0032 - PROGRAMA DE GESTAO E MANUTENCAO DO PODER EXECUTIVO"/>
    <x v="532"/>
    <n v="42486.98"/>
    <n v="0"/>
    <n v="0"/>
  </r>
  <r>
    <x v="1"/>
    <s v="0909 - OPERACOES ESPECIAIS: OUTROS ENCARGOS ESPECIAIS"/>
    <x v="556"/>
    <n v="1624515.39"/>
    <n v="1660727.44"/>
    <n v="2151729.73"/>
  </r>
  <r>
    <x v="1"/>
    <s v="1041 - CONSERVACAO E USO SUSTENTAVEL DA BIODIVERSIDADE E DOS RECURSOS NATURAIS"/>
    <x v="154"/>
    <n v="12500"/>
    <n v="0"/>
    <n v="0"/>
  </r>
  <r>
    <x v="1"/>
    <s v="2214 - NOVA PREVIDENCIA"/>
    <x v="371"/>
    <n v="4421445660"/>
    <n v="505830279.00999999"/>
    <n v="0"/>
  </r>
  <r>
    <x v="1"/>
    <s v="0032 - PROGRAMA DE GESTAO E MANUTENCAO DO PODER EXECUTIVO"/>
    <x v="143"/>
    <n v="0"/>
    <n v="0"/>
    <n v="0"/>
  </r>
  <r>
    <x v="1"/>
    <s v="0909 - OPERACOES ESPECIAIS: OUTROS ENCARGOS ESPECIAIS"/>
    <x v="18"/>
    <n v="17576207.960000001"/>
    <n v="17576207.960000001"/>
    <n v="29610694.789999999"/>
  </r>
  <r>
    <x v="1"/>
    <s v="5023 - VIGILANCIA EM SAUDE"/>
    <x v="509"/>
    <n v="-7068131.9800000004"/>
    <n v="1645499.48"/>
    <n v="1624819.23"/>
  </r>
  <r>
    <x v="1"/>
    <s v="5035 - PROMOCAO DE CIDADANIA POR MEIO DO AUXILIO BRASIL E DA ARTICULACAO DE POLITICAS PUBLICAS"/>
    <x v="550"/>
    <n v="38900422800"/>
    <n v="12969757598"/>
    <n v="12966797498"/>
  </r>
  <r>
    <x v="1"/>
    <s v="0909 - OPERACOES ESPECIAIS: OUTROS ENCARGOS ESPECIAIS"/>
    <x v="896"/>
    <n v="61789.61"/>
    <n v="61789.61"/>
    <n v="61789.61"/>
  </r>
  <r>
    <x v="1"/>
    <s v="3001 - ENERGIA ELETRICA"/>
    <x v="97"/>
    <n v="-3430184"/>
    <n v="33737.58"/>
    <n v="33001.72"/>
  </r>
  <r>
    <x v="1"/>
    <s v="3002 - GEOLOGIA, MINERACAO E TRANSFORMACAO MINERAL"/>
    <x v="37"/>
    <n v="0"/>
    <n v="0"/>
    <n v="0"/>
  </r>
  <r>
    <x v="1"/>
    <s v="2080 - EDUCACAO DE QUALIDADE PARA TODOS"/>
    <x v="682"/>
    <n v="0"/>
    <n v="0"/>
    <n v="0"/>
  </r>
  <r>
    <x v="1"/>
    <s v="3006 - TRANSPORTE TERRESTRE E TRANSITO"/>
    <x v="666"/>
    <n v="16868047.449999999"/>
    <n v="993019.17"/>
    <n v="940815.69"/>
  </r>
  <r>
    <x v="1"/>
    <s v="2021 - CIENCIA, TECNOLOGIA E INOVACAO"/>
    <x v="183"/>
    <n v="0"/>
    <n v="0"/>
    <n v="0"/>
  </r>
  <r>
    <x v="1"/>
    <s v="2110 - PROGRAMA DE GESTAO E MANUTENCAO DO MINISTERIO DA ECONOMIA"/>
    <x v="52"/>
    <n v="0"/>
    <n v="0"/>
    <n v="0"/>
  </r>
  <r>
    <x v="1"/>
    <s v="3006 - TRANSPORTE TERRESTRE E TRANSITO"/>
    <x v="310"/>
    <n v="10824618"/>
    <n v="0"/>
    <n v="0"/>
  </r>
  <r>
    <x v="1"/>
    <s v="3005 - TRANSPORTE AQUAVIARIO"/>
    <x v="443"/>
    <n v="42935339.130000003"/>
    <n v="127504.35"/>
    <n v="113552.79"/>
  </r>
  <r>
    <x v="1"/>
    <s v="2221 - RECURSOS HIDRICOS"/>
    <x v="232"/>
    <n v="0"/>
    <n v="0"/>
    <n v="0"/>
  </r>
  <r>
    <x v="1"/>
    <s v="6012 - DEFESA NACIONAL"/>
    <x v="638"/>
    <n v="208702046"/>
    <n v="0"/>
    <n v="0"/>
  </r>
  <r>
    <x v="1"/>
    <s v="5020 - DESENVOLVIMENTO CIENTIFICO, TECNOLOGICO E PRODUTIVO EM SAUDE"/>
    <x v="503"/>
    <n v="4156905.12"/>
    <n v="4001090.43"/>
    <n v="14940.09"/>
  </r>
  <r>
    <x v="1"/>
    <s v="3006 - TRANSPORTE TERRESTRE E TRANSITO"/>
    <x v="359"/>
    <n v="0"/>
    <n v="0"/>
    <n v="0"/>
  </r>
  <r>
    <x v="1"/>
    <s v="0033 - PROGRAMA DE GESTAO E MANUTENCAO DO PODER JUDICIARIO"/>
    <x v="205"/>
    <n v="1350"/>
    <n v="0"/>
    <n v="0"/>
  </r>
  <r>
    <x v="1"/>
    <s v="0032 - PROGRAMA DE GESTAO E MANUTENCAO DO PODER EXECUTIVO"/>
    <x v="897"/>
    <n v="0"/>
    <n v="0"/>
    <n v="0"/>
  </r>
  <r>
    <x v="1"/>
    <s v="0034 - PROGRAMA DE GESTAO E MANUTENCAO DO PODER LEGISLATIVO"/>
    <x v="696"/>
    <n v="760555.69"/>
    <n v="14189.08"/>
    <n v="14113.66"/>
  </r>
  <r>
    <x v="1"/>
    <s v="6012 - DEFESA NACIONAL"/>
    <x v="580"/>
    <n v="192140.01"/>
    <n v="17900"/>
    <n v="17900"/>
  </r>
  <r>
    <x v="1"/>
    <s v="5034 - PROTECAO A VIDA, FORTALECIMENTO DA FAMILIA, PROMOCAO E DEFESA DOS DIREITOS HUMANOS PARA TODOS"/>
    <x v="898"/>
    <n v="0"/>
    <n v="0"/>
    <n v="0"/>
  </r>
  <r>
    <x v="1"/>
    <s v="5013 - EDUCACAO SUPERIOR - GRADUACAO, POS-GRADUACAO, ENSINO, PESQUISA E EXTENSAO"/>
    <x v="408"/>
    <n v="711039.14"/>
    <n v="45359.49"/>
    <n v="18821.150000000001"/>
  </r>
  <r>
    <x v="1"/>
    <s v="5031 - PROTECAO SOCIAL NO AMBITO DO SISTEMA UNICO DE ASSISTENCIA SOCIAL (SUAS)"/>
    <x v="572"/>
    <n v="2000"/>
    <n v="3157178357.6700001"/>
    <n v="3137338365.5599999"/>
  </r>
  <r>
    <x v="1"/>
    <s v="6013 - OCEANOS, ZONA COSTEIRA E ANTARTICA"/>
    <x v="778"/>
    <n v="35974.519999999997"/>
    <n v="6653.55"/>
    <n v="1785.57"/>
  </r>
  <r>
    <x v="1"/>
    <s v="3006 - TRANSPORTE TERRESTRE E TRANSITO"/>
    <x v="309"/>
    <n v="0"/>
    <n v="0"/>
    <n v="0"/>
  </r>
  <r>
    <x v="1"/>
    <s v="5034 - PROTECAO A VIDA, FORTALECIMENTO DA FAMILIA, PROMOCAO E DEFESA DOS DIREITOS HUMANOS PARA TODOS"/>
    <x v="455"/>
    <n v="0"/>
    <n v="0"/>
    <n v="0"/>
  </r>
  <r>
    <x v="1"/>
    <s v="5016 - SEGURANCA PUBLICA, COMBATE A CORRUPCAO, AO CRIME ORGANIZADO E AO CRIME VIOLENTO"/>
    <x v="642"/>
    <n v="36384402.210000001"/>
    <n v="36679243.909999996"/>
    <n v="220937.43"/>
  </r>
  <r>
    <x v="1"/>
    <s v="6011 - COOPERACAO COM O DESENVOLVIMENTO NACIONAL"/>
    <x v="430"/>
    <n v="0"/>
    <n v="62466.080000000002"/>
    <n v="62466.080000000002"/>
  </r>
  <r>
    <x v="1"/>
    <s v="5013 - EDUCACAO SUPERIOR - GRADUACAO, POS-GRADUACAO, ENSINO, PESQUISA E EXTENSAO"/>
    <x v="404"/>
    <n v="0"/>
    <n v="0"/>
    <n v="0"/>
  </r>
  <r>
    <x v="1"/>
    <s v="5021 - GESTAO E ORGANIZACAO DO SUS"/>
    <x v="477"/>
    <n v="50000"/>
    <n v="5827.76"/>
    <n v="5827.76"/>
  </r>
  <r>
    <x v="1"/>
    <s v="1031 - AGROPECUARIA SUSTENTAVEL"/>
    <x v="899"/>
    <n v="0"/>
    <n v="0"/>
    <n v="0"/>
  </r>
  <r>
    <x v="1"/>
    <s v="0903 - OPERACOES ESPECIAIS: TRANSFERENCIAS CONSTITUCIONAIS E AS DECORRENTES DE LEGISLACAO ESPECIFICA"/>
    <x v="448"/>
    <n v="541600000"/>
    <n v="477593112.75999999"/>
    <n v="477593112.75999999"/>
  </r>
  <r>
    <x v="1"/>
    <s v="0032 - PROGRAMA DE GESTAO E MANUTENCAO DO PODER EXECUTIVO"/>
    <x v="410"/>
    <n v="0"/>
    <n v="0"/>
    <n v="0"/>
  </r>
  <r>
    <x v="1"/>
    <s v="5026 - ESPORTE"/>
    <x v="57"/>
    <n v="0"/>
    <n v="0"/>
    <n v="0"/>
  </r>
  <r>
    <x v="1"/>
    <s v="2207 - PROGRAMA ESPACIAL BRASILEIRO"/>
    <x v="719"/>
    <n v="89384.4"/>
    <n v="0"/>
    <n v="0"/>
  </r>
  <r>
    <x v="1"/>
    <s v="1041 - CONSERVACAO E USO SUSTENTAVEL DA BIODIVERSIDADE E DOS RECURSOS NATURAIS"/>
    <x v="744"/>
    <n v="27595"/>
    <n v="5824.42"/>
    <n v="5005"/>
  </r>
  <r>
    <x v="1"/>
    <s v="2021 - CIENCIA, TECNOLOGIA E INOVACAO"/>
    <x v="900"/>
    <n v="0"/>
    <n v="0"/>
    <n v="0"/>
  </r>
  <r>
    <x v="1"/>
    <s v="4002 - SEGURANCA INSTITUCIONAL"/>
    <x v="438"/>
    <n v="7219796.5700000003"/>
    <n v="3360906.82"/>
    <n v="3289195.95"/>
  </r>
  <r>
    <x v="1"/>
    <s v="2208 - TECNOLOGIAS APLICADAS, INOVACAO E DESENVOLVIMENTO SUSTENTAVEL"/>
    <x v="900"/>
    <n v="0"/>
    <n v="0"/>
    <n v="0"/>
  </r>
  <r>
    <x v="1"/>
    <s v="2212 - MELHORIA DO AMBIENTE DE NEGOCIOS E DA PRODUTIVIDADE"/>
    <x v="37"/>
    <n v="0"/>
    <n v="0"/>
    <n v="0"/>
  </r>
  <r>
    <x v="1"/>
    <s v="5023 - VIGILANCIA EM SAUDE"/>
    <x v="234"/>
    <n v="6500000"/>
    <n v="4016731.2"/>
    <n v="4016731.2"/>
  </r>
  <r>
    <x v="1"/>
    <s v="5035 - PROMOCAO DE CIDADANIA POR MEIO DO AUXILIO BRASIL E DA ARTICULACAO DE POLITICAS PUBLICAS"/>
    <x v="299"/>
    <n v="5593366"/>
    <n v="0"/>
    <n v="0"/>
  </r>
  <r>
    <x v="1"/>
    <s v="3006 - TRANSPORTE TERRESTRE E TRANSITO"/>
    <x v="673"/>
    <n v="0"/>
    <n v="0"/>
    <n v="0"/>
  </r>
  <r>
    <x v="1"/>
    <s v="2068 - SANEAMENTO BASICO"/>
    <x v="395"/>
    <n v="0"/>
    <n v="0"/>
    <n v="0"/>
  </r>
  <r>
    <x v="1"/>
    <s v="2217 - DESENVOLVIMENTO REGIONAL, TERRITORIAL E URBANO"/>
    <x v="282"/>
    <n v="0"/>
    <n v="0"/>
    <n v="0"/>
  </r>
  <r>
    <x v="1"/>
    <s v="5033 - SEGURANCA ALIMENTAR E NUTRICIONAL"/>
    <x v="901"/>
    <n v="668000000"/>
    <n v="667155866"/>
    <n v="667155866"/>
  </r>
  <r>
    <x v="1"/>
    <s v="1031 - AGROPECUARIA SUSTENTAVEL"/>
    <x v="291"/>
    <n v="0"/>
    <n v="0"/>
    <n v="0"/>
  </r>
  <r>
    <x v="1"/>
    <s v="0903 - OPERACOES ESPECIAIS: TRANSFERENCIAS CONSTITUCIONAIS E AS DECORRENTES DE LEGISLACAO ESPECIFICA"/>
    <x v="43"/>
    <n v="0"/>
    <n v="15998307294.49"/>
    <n v="15998307294.49"/>
  </r>
  <r>
    <x v="1"/>
    <s v="5013 - EDUCACAO SUPERIOR - GRADUACAO, POS-GRADUACAO, ENSINO, PESQUISA E EXTENSAO"/>
    <x v="95"/>
    <n v="0"/>
    <n v="0"/>
    <n v="0"/>
  </r>
  <r>
    <x v="1"/>
    <s v="0905 - OPERACOES ESPECIAIS: SERVICO DA DIVIDA INTERNA (JUROS EAMORTIZACOES)"/>
    <x v="0"/>
    <n v="28336471241.619999"/>
    <n v="37279352362.620003"/>
    <n v="37279352362.620003"/>
  </r>
  <r>
    <x v="1"/>
    <s v="0032 - PROGRAMA DE GESTAO E MANUTENCAO DO PODER EXECUTIVO"/>
    <x v="552"/>
    <n v="0"/>
    <n v="0"/>
    <n v="0"/>
  </r>
  <r>
    <x v="1"/>
    <s v="2206 - POLITICA NUCLEAR"/>
    <x v="198"/>
    <n v="0"/>
    <n v="0"/>
    <n v="0"/>
  </r>
  <r>
    <x v="1"/>
    <s v="0032 - PROGRAMA DE GESTAO E MANUTENCAO DO PODER EXECUTIVO"/>
    <x v="779"/>
    <n v="23979.07"/>
    <n v="0"/>
    <n v="0"/>
  </r>
  <r>
    <x v="1"/>
    <s v="2208 - TECNOLOGIAS APLICADAS, INOVACAO E DESENVOLVIMENTO SUSTENTAVEL"/>
    <x v="675"/>
    <n v="164955"/>
    <n v="34607.129999999997"/>
    <n v="33595.65"/>
  </r>
  <r>
    <x v="1"/>
    <s v="0903 - OPERACOES ESPECIAIS: TRANSFERENCIAS CONSTITUCIONAIS E AS DECORRENTES DE LEGISLACAO ESPECIFICA"/>
    <x v="578"/>
    <n v="18496677.530000001"/>
    <n v="18539409.690000001"/>
    <n v="18438126.93"/>
  </r>
  <r>
    <x v="1"/>
    <s v="2054 - PLANEJAMENTO URBANO"/>
    <x v="545"/>
    <n v="0"/>
    <n v="0"/>
    <n v="0"/>
  </r>
  <r>
    <x v="1"/>
    <s v="3003 - PETROLEO, GAS, DERIVADOS E BIOCOMBUSTIVEIS"/>
    <x v="397"/>
    <n v="0"/>
    <n v="0"/>
    <n v="0"/>
  </r>
  <r>
    <x v="1"/>
    <s v="1040 - GOVERNANCA FUNDIARIA"/>
    <x v="81"/>
    <n v="66559.899999999994"/>
    <n v="25766.85"/>
    <n v="24216"/>
  </r>
  <r>
    <x v="1"/>
    <s v="3002 - GEOLOGIA, MINERACAO E TRANSFORMACAO MINERAL"/>
    <x v="743"/>
    <n v="391879.71"/>
    <n v="113825.37"/>
    <n v="100614.24"/>
  </r>
  <r>
    <x v="1"/>
    <s v="6014 - PREVENCAO E CONTROLE DO DESMATAMENTO E DOS INCENDIOS NOS BIOMAS"/>
    <x v="185"/>
    <n v="6026997.8700000001"/>
    <n v="6729148.5700000003"/>
    <n v="7029968.2699999996"/>
  </r>
  <r>
    <x v="1"/>
    <s v="2110 - PROGRAMA DE GESTAO E MANUTENCAO DO MINISTERIO DA ECONOMIA"/>
    <x v="575"/>
    <n v="0"/>
    <n v="0"/>
    <n v="0"/>
  </r>
  <r>
    <x v="1"/>
    <s v="2201 - BRASIL MODERNIZA"/>
    <x v="451"/>
    <n v="-13421646.01"/>
    <n v="981642.23"/>
    <n v="952673.57"/>
  </r>
  <r>
    <x v="1"/>
    <s v="3001 - ENERGIA ELETRICA"/>
    <x v="581"/>
    <n v="3022278.05"/>
    <n v="1241353.4099999999"/>
    <n v="1241353.4099999999"/>
  </r>
  <r>
    <x v="1"/>
    <s v="0909 - OPERACOES ESPECIAIS: OUTROS ENCARGOS ESPECIAIS"/>
    <x v="440"/>
    <n v="75696301.049999997"/>
    <n v="93468761.120000005"/>
    <n v="127841960.63"/>
  </r>
  <r>
    <x v="1"/>
    <s v="1041 - CONSERVACAO E USO SUSTENTAVEL DA BIODIVERSIDADE E DOS RECURSOS NATURAIS"/>
    <x v="470"/>
    <n v="208023.52"/>
    <n v="81666.850000000006"/>
    <n v="73072.990000000005"/>
  </r>
  <r>
    <x v="1"/>
    <s v="5018 - ATENCAO ESPECIALIZADA A SAUDE"/>
    <x v="292"/>
    <n v="10984993.550000001"/>
    <n v="7524252.9100000001"/>
    <n v="2078905.63"/>
  </r>
  <r>
    <x v="1"/>
    <s v="2217 - DESENVOLVIMENTO REGIONAL, TERRITORIAL E URBANO"/>
    <x v="287"/>
    <n v="6834.02"/>
    <n v="2215.6"/>
    <n v="2215.6"/>
  </r>
  <r>
    <x v="1"/>
    <s v="2040 - GESTAO DE RISCOS E DE DESASTRES"/>
    <x v="467"/>
    <n v="0"/>
    <n v="0"/>
    <n v="0"/>
  </r>
  <r>
    <x v="1"/>
    <s v="0032 - PROGRAMA DE GESTAO E MANUTENCAO DO PODER EXECUTIVO"/>
    <x v="489"/>
    <n v="244727163.78999999"/>
    <n v="79022878.310000002"/>
    <n v="64678341.060000002"/>
  </r>
  <r>
    <x v="1"/>
    <s v="1031 - AGROPECUARIA SUSTENTAVEL"/>
    <x v="468"/>
    <n v="55116"/>
    <n v="12920.5"/>
    <n v="12920.5"/>
  </r>
  <r>
    <x v="1"/>
    <s v="6011 - COOPERACAO COM O DESENVOLVIMENTO NACIONAL"/>
    <x v="134"/>
    <n v="0"/>
    <n v="0"/>
    <n v="0"/>
  </r>
  <r>
    <x v="1"/>
    <s v="2208 - TECNOLOGIAS APLICADAS, INOVACAO E DESENVOLVIMENTO SUSTENTAVEL"/>
    <x v="87"/>
    <n v="1900.79"/>
    <n v="0"/>
    <n v="0"/>
  </r>
  <r>
    <x v="1"/>
    <s v="2015 - FORTALECIMENTO DO SISTEMA UNICO DE SAUDE (SUS)"/>
    <x v="902"/>
    <n v="0"/>
    <n v="0"/>
    <n v="0"/>
  </r>
  <r>
    <x v="1"/>
    <s v="6011 - COOPERACAO COM O DESENVOLVIMENTO NACIONAL"/>
    <x v="721"/>
    <n v="-1500"/>
    <n v="4377.0600000000004"/>
    <n v="4377.0600000000004"/>
  </r>
  <r>
    <x v="1"/>
    <s v="6012 - DEFESA NACIONAL"/>
    <x v="243"/>
    <n v="1238019.98"/>
    <n v="391622.27"/>
    <n v="136864.57999999999"/>
  </r>
  <r>
    <x v="1"/>
    <s v="5013 - EDUCACAO SUPERIOR - GRADUACAO, POS-GRADUACAO, ENSINO, PESQUISA E EXTENSAO"/>
    <x v="409"/>
    <n v="4911000"/>
    <n v="4889584"/>
    <n v="4889584"/>
  </r>
  <r>
    <x v="1"/>
    <s v="6012 - DEFESA NACIONAL"/>
    <x v="257"/>
    <n v="0"/>
    <n v="0"/>
    <n v="0"/>
  </r>
  <r>
    <x v="1"/>
    <s v="1031 - AGROPECUARIA SUSTENTAVEL"/>
    <x v="77"/>
    <n v="0"/>
    <n v="0"/>
    <n v="0"/>
  </r>
  <r>
    <x v="1"/>
    <s v="2217 - DESENVOLVIMENTO REGIONAL, TERRITORIAL E URBANO"/>
    <x v="460"/>
    <n v="0"/>
    <n v="0"/>
    <n v="0"/>
  </r>
  <r>
    <x v="1"/>
    <s v="3006 - TRANSPORTE TERRESTRE E TRANSITO"/>
    <x v="416"/>
    <n v="34879887"/>
    <n v="0"/>
    <n v="0"/>
  </r>
  <r>
    <x v="1"/>
    <s v="0909 - OPERACOES ESPECIAIS: OUTROS ENCARGOS ESPECIAIS"/>
    <x v="60"/>
    <n v="9690191.2699999996"/>
    <n v="9625438.4399999995"/>
    <n v="9625438.4399999995"/>
  </r>
  <r>
    <x v="1"/>
    <s v="5035 - PROMOCAO DE CIDADANIA POR MEIO DO AUXILIO BRASIL E DA ARTICULACAO DE POLITICAS PUBLICAS"/>
    <x v="462"/>
    <n v="2953846.09"/>
    <n v="11.41"/>
    <n v="11.41"/>
  </r>
  <r>
    <x v="1"/>
    <s v="6012 - DEFESA NACIONAL"/>
    <x v="777"/>
    <n v="2105235.06"/>
    <n v="1194118.1200000001"/>
    <n v="1149687.67"/>
  </r>
  <r>
    <x v="1"/>
    <s v="0030 - PROGRAMA DE GESTAO E MANUTENCAO DA DEFENSORIA PUBLICA DA UNIAO"/>
    <x v="131"/>
    <n v="0"/>
    <n v="1534.16"/>
    <n v="1534.16"/>
  </r>
  <r>
    <x v="1"/>
    <s v="5025 - CULTURA"/>
    <x v="753"/>
    <n v="15000"/>
    <n v="0"/>
    <n v="0"/>
  </r>
  <r>
    <x v="1"/>
    <s v="5031 - PROTECAO SOCIAL NO AMBITO DO SISTEMA UNICO DE ASSISTENCIA SOCIAL (SUAS)"/>
    <x v="197"/>
    <n v="260000"/>
    <n v="118339.44"/>
    <n v="122436.41"/>
  </r>
  <r>
    <x v="1"/>
    <s v="5023 - VIGILANCIA EM SAUDE"/>
    <x v="115"/>
    <n v="219603749.81999999"/>
    <n v="16666663.27"/>
    <n v="16666663.27"/>
  </r>
  <r>
    <x v="1"/>
    <s v="0911 - OPERACOES ESPECIAIS - REMUNERACAO DE AGENTES FINANCEIROS"/>
    <x v="650"/>
    <n v="7248026.8499999996"/>
    <n v="7212906.6299999999"/>
    <n v="7200373.8099999996"/>
  </r>
  <r>
    <x v="1"/>
    <s v="2218 - GESTAO DE RISCOS E DE DESASTRES"/>
    <x v="643"/>
    <n v="1873099.14"/>
    <n v="189199.68"/>
    <n v="195077.5"/>
  </r>
  <r>
    <x v="1"/>
    <s v="2222 - SANEAMENTO BASICO"/>
    <x v="272"/>
    <n v="0"/>
    <n v="0"/>
    <n v="0"/>
  </r>
  <r>
    <x v="1"/>
    <s v="1031 - AGROPECUARIA SUSTENTAVEL"/>
    <x v="512"/>
    <n v="959048.79"/>
    <n v="220456.83"/>
    <n v="200170.74"/>
  </r>
  <r>
    <x v="1"/>
    <s v="3002 - GEOLOGIA, MINERACAO E TRANSFORMACAO MINERAL"/>
    <x v="790"/>
    <n v="96501.89"/>
    <n v="5521.89"/>
    <n v="5521.89"/>
  </r>
  <r>
    <x v="1"/>
    <s v="2206 - POLITICA NUCLEAR"/>
    <x v="627"/>
    <n v="0"/>
    <n v="0"/>
    <n v="0"/>
  </r>
  <r>
    <x v="1"/>
    <s v="5013 - EDUCACAO SUPERIOR - GRADUACAO, POS-GRADUACAO, ENSINO, PESQUISA E EXTENSAO"/>
    <x v="394"/>
    <n v="0"/>
    <n v="0"/>
    <n v="0"/>
  </r>
  <r>
    <x v="1"/>
    <s v="2223 - A HORA DO TURISMO"/>
    <x v="13"/>
    <n v="890353"/>
    <n v="257146.56"/>
    <n v="257146.56"/>
  </r>
  <r>
    <x v="1"/>
    <s v="1040 - GOVERNANCA FUNDIARIA"/>
    <x v="605"/>
    <n v="8626.1200000000008"/>
    <n v="1353.59"/>
    <n v="1846.14"/>
  </r>
  <r>
    <x v="1"/>
    <s v="2213 - MODERNIZACAO TRABALHISTA E TRABALHO DIGNO"/>
    <x v="314"/>
    <n v="0"/>
    <n v="0"/>
    <n v="0"/>
  </r>
  <r>
    <x v="1"/>
    <s v="2212 - MELHORIA DO AMBIENTE DE NEGOCIOS E DA PRODUTIVIDADE"/>
    <x v="903"/>
    <n v="10000"/>
    <n v="0"/>
    <n v="0"/>
  </r>
  <r>
    <x v="1"/>
    <s v="2222 - SANEAMENTO BASICO"/>
    <x v="904"/>
    <n v="18076.7"/>
    <n v="5164.5"/>
    <n v="5164.5"/>
  </r>
  <r>
    <x v="1"/>
    <s v="0901 - OPERACOES ESPECIAIS: CUMPRIMENTO DE SENTENCAS JUDICIAIS"/>
    <x v="606"/>
    <n v="29110566.52"/>
    <n v="38592725.509999998"/>
    <n v="38592725.509999998"/>
  </r>
  <r>
    <x v="1"/>
    <s v="1040 - GOVERNANCA FUNDIARIA"/>
    <x v="905"/>
    <n v="0"/>
    <n v="0"/>
    <n v="0"/>
  </r>
  <r>
    <x v="1"/>
    <s v="5020 - DESENVOLVIMENTO CIENTIFICO, TECNOLOGICO E PRODUTIVO EM SAUDE"/>
    <x v="612"/>
    <n v="0"/>
    <n v="0"/>
    <n v="0"/>
  </r>
  <r>
    <x v="1"/>
    <s v="0902 - OPERACOES ESPECIAIS: FINANCIAMENTOS COM RETORNO"/>
    <x v="555"/>
    <n v="0"/>
    <n v="323122890.93000001"/>
    <n v="323166860.66000003"/>
  </r>
  <r>
    <x v="1"/>
    <s v="2015 - FORTALECIMENTO DO SISTEMA UNICO DE SAUDE (SUS)"/>
    <x v="234"/>
    <n v="0"/>
    <n v="0"/>
    <n v="0"/>
  </r>
  <r>
    <x v="1"/>
    <s v="6011 - COOPERACAO COM O DESENVOLVIMENTO NACIONAL"/>
    <x v="55"/>
    <n v="0"/>
    <n v="0"/>
    <n v="0"/>
  </r>
  <r>
    <x v="1"/>
    <s v="0902 - OPERACOES ESPECIAIS: FINANCIAMENTOS COM RETORNO"/>
    <x v="24"/>
    <n v="0"/>
    <n v="337929909.55000001"/>
    <n v="337929909.55000001"/>
  </r>
  <r>
    <x v="1"/>
    <s v="1031 - AGROPECUARIA SUSTENTAVEL"/>
    <x v="452"/>
    <n v="0"/>
    <n v="0"/>
    <n v="0"/>
  </r>
  <r>
    <x v="1"/>
    <s v="2207 - PROGRAMA ESPACIAL BRASILEIRO"/>
    <x v="45"/>
    <n v="0"/>
    <n v="0"/>
    <n v="0"/>
  </r>
  <r>
    <x v="1"/>
    <s v="3005 - TRANSPORTE AQUAVIARIO"/>
    <x v="155"/>
    <n v="5123377"/>
    <n v="0"/>
    <n v="0"/>
  </r>
  <r>
    <x v="1"/>
    <s v="3002 - GEOLOGIA, MINERACAO E TRANSFORMACAO MINERAL"/>
    <x v="607"/>
    <n v="4763478.9000000004"/>
    <n v="431553.35"/>
    <n v="335580.15999999997"/>
  </r>
  <r>
    <x v="1"/>
    <s v="5020 - DESENVOLVIMENTO CIENTIFICO, TECNOLOGICO E PRODUTIVO EM SAUDE"/>
    <x v="136"/>
    <n v="14337313.01"/>
    <n v="1954067.8"/>
    <n v="1027360.71"/>
  </r>
  <r>
    <x v="1"/>
    <s v="2205 - CONECTA BRASIL"/>
    <x v="398"/>
    <n v="0"/>
    <n v="0"/>
    <n v="0"/>
  </r>
  <r>
    <x v="1"/>
    <s v="2214 - NOVA PREVIDENCIA"/>
    <x v="523"/>
    <n v="376780.55"/>
    <n v="24796.48"/>
    <n v="24796.48"/>
  </r>
  <r>
    <x v="1"/>
    <s v="2211 - INSERCAO ECONOMICA INTERNACIONAL"/>
    <x v="147"/>
    <n v="71000"/>
    <n v="0"/>
    <n v="0"/>
  </r>
  <r>
    <x v="1"/>
    <s v="5011 - EDUCACAO BASICA DE QUALIDADE"/>
    <x v="386"/>
    <n v="0"/>
    <n v="0"/>
    <n v="0"/>
  </r>
  <r>
    <x v="1"/>
    <s v="5021 - GESTAO E ORGANIZACAO DO SUS"/>
    <x v="724"/>
    <n v="147500"/>
    <n v="46419.86"/>
    <n v="41127.83"/>
  </r>
  <r>
    <x v="1"/>
    <s v="3006 - TRANSPORTE TERRESTRE E TRANSITO"/>
    <x v="481"/>
    <n v="58586593.079999998"/>
    <n v="0"/>
    <n v="0"/>
  </r>
  <r>
    <x v="1"/>
    <s v="2204 - BRASIL NA FRONTEIRA DO CONHECIMENTO"/>
    <x v="540"/>
    <n v="0"/>
    <n v="0"/>
    <n v="0"/>
  </r>
  <r>
    <x v="1"/>
    <s v="2217 - DESENVOLVIMENTO REGIONAL, TERRITORIAL E URBANO"/>
    <x v="906"/>
    <n v="0"/>
    <n v="0"/>
    <n v="0"/>
  </r>
  <r>
    <x v="1"/>
    <s v="6012 - DEFESA NACIONAL"/>
    <x v="726"/>
    <n v="23632095.879999999"/>
    <n v="1231155.1499999999"/>
    <n v="423277.21"/>
  </r>
  <r>
    <x v="1"/>
    <s v="0901 - OPERACOES ESPECIAIS: CUMPRIMENTO DE SENTENCAS JUDICIAIS"/>
    <x v="684"/>
    <n v="5536023.1699999999"/>
    <n v="73723145.890000001"/>
    <n v="76075953.260000005"/>
  </r>
  <r>
    <x v="1"/>
    <s v="0032 - PROGRAMA DE GESTAO E MANUTENCAO DO PODER EXECUTIVO"/>
    <x v="481"/>
    <n v="27424450.73"/>
    <n v="514176.22"/>
    <n v="554078.42000000004"/>
  </r>
  <r>
    <x v="1"/>
    <s v="0032 - PROGRAMA DE GESTAO E MANUTENCAO DO PODER EXECUTIVO"/>
    <x v="383"/>
    <n v="557165461.73000002"/>
    <n v="2490800529.1599998"/>
    <n v="2476997943.3400002"/>
  </r>
  <r>
    <x v="1"/>
    <s v="0032 - PROGRAMA DE GESTAO E MANUTENCAO DO PODER EXECUTIVO"/>
    <x v="649"/>
    <n v="2485434"/>
    <n v="1555230.8"/>
    <n v="669266.84"/>
  </r>
  <r>
    <x v="1"/>
    <s v="2208 - TECNOLOGIAS APLICADAS, INOVACAO E DESENVOLVIMENTO SUSTENTAVEL"/>
    <x v="218"/>
    <n v="11718421.67"/>
    <n v="11718421.67"/>
    <n v="1979474"/>
  </r>
  <r>
    <x v="1"/>
    <s v="2210 - EMPREGABILIDADE"/>
    <x v="907"/>
    <n v="0"/>
    <n v="0"/>
    <n v="0"/>
  </r>
  <r>
    <x v="1"/>
    <s v="0032 - PROGRAMA DE GESTAO E MANUTENCAO DO PODER EXECUTIVO"/>
    <x v="681"/>
    <n v="35393327.210000001"/>
    <n v="0"/>
    <n v="0"/>
  </r>
  <r>
    <x v="1"/>
    <s v="1031 - AGROPECUARIA SUSTENTAVEL"/>
    <x v="387"/>
    <n v="0"/>
    <n v="0"/>
    <n v="0"/>
  </r>
  <r>
    <x v="1"/>
    <s v="3001 - ENERGIA ELETRICA"/>
    <x v="240"/>
    <n v="3934778.18"/>
    <n v="3214404.22"/>
    <n v="3673912.06"/>
  </r>
  <r>
    <x v="1"/>
    <s v="5012 - EDUCACAO PROFISSIONAL E TECNOLOGICA"/>
    <x v="657"/>
    <n v="33000"/>
    <n v="0"/>
    <n v="0"/>
  </r>
  <r>
    <x v="1"/>
    <s v="5019 - ATENCAO PRIMARIA A SAUDE"/>
    <x v="668"/>
    <n v="0"/>
    <n v="90000000"/>
    <n v="90000000"/>
  </r>
  <r>
    <x v="1"/>
    <s v="0032 - PROGRAMA DE GESTAO E MANUTENCAO DO PODER EXECUTIVO"/>
    <x v="640"/>
    <n v="9555.7800000000007"/>
    <n v="0"/>
    <n v="0"/>
  </r>
  <r>
    <x v="1"/>
    <s v="1031 - AGROPECUARIA SUSTENTAVEL"/>
    <x v="323"/>
    <n v="0"/>
    <n v="335750996.31"/>
    <n v="335750996.31"/>
  </r>
  <r>
    <x v="1"/>
    <s v="2222 - SANEAMENTO BASICO"/>
    <x v="908"/>
    <n v="0"/>
    <n v="0"/>
    <n v="0"/>
  </r>
  <r>
    <x v="1"/>
    <s v="5020 - DESENVOLVIMENTO CIENTIFICO, TECNOLOGICO E PRODUTIVO EM SAUDE"/>
    <x v="909"/>
    <n v="0"/>
    <n v="0"/>
    <n v="0"/>
  </r>
  <r>
    <x v="1"/>
    <s v="2082 - POLITICA EXTERNA"/>
    <x v="781"/>
    <n v="0"/>
    <n v="0"/>
    <n v="0"/>
  </r>
  <r>
    <x v="1"/>
    <s v="3002 - GEOLOGIA, MINERACAO E TRANSFORMACAO MINERAL"/>
    <x v="748"/>
    <n v="212604.12"/>
    <n v="88814.02"/>
    <n v="57209.31"/>
  </r>
  <r>
    <x v="1"/>
    <s v="6016 - EDUCACAO ESPECIAL"/>
    <x v="249"/>
    <n v="3530065.45"/>
    <n v="1107669.75"/>
    <n v="793872.92"/>
  </r>
  <r>
    <x v="1"/>
    <s v="5028 - INCLUSAO SOCIAL POR MEIO DO BOLSA FAMILIA E DA ARTICULACAO DE POLITICAS PUBLICAS"/>
    <x v="152"/>
    <n v="0"/>
    <n v="0"/>
    <n v="0"/>
  </r>
  <r>
    <x v="1"/>
    <s v="0032 - PROGRAMA DE GESTAO E MANUTENCAO DO PODER EXECUTIVO"/>
    <x v="237"/>
    <n v="16602898.66"/>
    <n v="3823245.27"/>
    <n v="3884480.98"/>
  </r>
  <r>
    <x v="1"/>
    <s v="5029 - PRODUCAO DE DADOS E CONHECIMENTO PARA O APRIMORAMENTO DE POLITICAS PUBLICAS"/>
    <x v="320"/>
    <n v="0"/>
    <n v="0"/>
    <n v="0"/>
  </r>
  <r>
    <x v="1"/>
    <s v="3005 - TRANSPORTE AQUAVIARIO"/>
    <x v="367"/>
    <n v="112920516.62"/>
    <n v="0"/>
    <n v="0"/>
  </r>
  <r>
    <x v="1"/>
    <s v="5033 - SEGURANCA ALIMENTAR E NUTRICIONAL"/>
    <x v="910"/>
    <n v="0"/>
    <n v="0"/>
    <n v="0"/>
  </r>
  <r>
    <x v="1"/>
    <s v="5034 - PROTECAO A VIDA, FORTALECIMENTO DA FAMILIA, PROMOCAO E DEFESA DOS DIREITOS HUMANOS PARA TODOS"/>
    <x v="911"/>
    <n v="30000"/>
    <n v="0"/>
    <n v="0"/>
  </r>
  <r>
    <x v="1"/>
    <s v="2218 - GESTAO DE RISCOS E DE DESASTRES"/>
    <x v="912"/>
    <n v="66000"/>
    <n v="0"/>
    <n v="0"/>
  </r>
  <r>
    <x v="1"/>
    <s v="5033 - SEGURANCA ALIMENTAR E NUTRICIONAL"/>
    <x v="557"/>
    <n v="7453059.3600000003"/>
    <n v="1141391"/>
    <n v="1141391"/>
  </r>
  <r>
    <x v="1"/>
    <s v="2218 - GESTAO DE RISCOS E DE DESASTRES"/>
    <x v="716"/>
    <n v="96758.67"/>
    <n v="74409.7"/>
    <n v="69130.820000000007"/>
  </r>
  <r>
    <x v="1"/>
    <s v="0909 - OPERACOES ESPECIAIS: OUTROS ENCARGOS ESPECIAIS"/>
    <x v="600"/>
    <n v="453395.84"/>
    <n v="10035432.289999999"/>
    <n v="8975372.4399999995"/>
  </r>
  <r>
    <x v="1"/>
    <s v="2205 - CONECTA BRASIL"/>
    <x v="686"/>
    <n v="1331344.73"/>
    <n v="826224.06"/>
    <n v="794854.1"/>
  </r>
  <r>
    <x v="1"/>
    <s v="0032 - PROGRAMA DE GESTAO E MANUTENCAO DO PODER EXECUTIVO"/>
    <x v="588"/>
    <n v="1384482.49"/>
    <n v="0"/>
    <n v="0"/>
  </r>
  <r>
    <x v="1"/>
    <s v="2204 - BRASIL NA FRONTEIRA DO CONHECIMENTO"/>
    <x v="519"/>
    <n v="51833.81"/>
    <n v="51833.81"/>
    <n v="51833.81"/>
  </r>
  <r>
    <x v="1"/>
    <s v="2201 - BRASIL MODERNIZA"/>
    <x v="520"/>
    <n v="590606.97"/>
    <n v="134732.20000000001"/>
    <n v="134732.20000000001"/>
  </r>
  <r>
    <x v="1"/>
    <s v="2217 - DESENVOLVIMENTO REGIONAL, TERRITORIAL E URBANO"/>
    <x v="632"/>
    <n v="0"/>
    <n v="0"/>
    <n v="0"/>
  </r>
  <r>
    <x v="1"/>
    <s v="4001 - COMUNICACAO PUBLICA E DIVULGACAO DE ATOS E MATERIAS DO GOVERNO FEDERAL"/>
    <x v="35"/>
    <n v="5484597.7300000004"/>
    <n v="4797222.53"/>
    <n v="4361484.3099999996"/>
  </r>
  <r>
    <x v="1"/>
    <s v="5016 - SEGURANCA PUBLICA, COMBATE A CORRUPCAO, AO CRIME ORGANIZADO E AO CRIME VIOLENTO"/>
    <x v="516"/>
    <n v="3782535.66"/>
    <n v="15615.27"/>
    <n v="4199.76"/>
  </r>
  <r>
    <x v="1"/>
    <s v="4002 - SEGURANCA INSTITUCIONAL"/>
    <x v="193"/>
    <n v="96000"/>
    <n v="6582.99"/>
    <n v="436.25"/>
  </r>
  <r>
    <x v="1"/>
    <s v="2222 - SANEAMENTO BASICO"/>
    <x v="797"/>
    <n v="-39116.79"/>
    <n v="594705.71"/>
    <n v="594705.71"/>
  </r>
  <r>
    <x v="1"/>
    <s v="2221 - RECURSOS HIDRICOS"/>
    <x v="913"/>
    <n v="32863.199999999997"/>
    <n v="2863.2"/>
    <n v="2863.2"/>
  </r>
  <r>
    <x v="1"/>
    <s v="5017 - ASSISTENCIA FARMACEUTICA NO SUS"/>
    <x v="374"/>
    <n v="864938227.38999999"/>
    <n v="233124463.05000001"/>
    <n v="227587447.78999999"/>
  </r>
  <r>
    <x v="1"/>
    <s v="2221 - RECURSOS HIDRICOS"/>
    <x v="149"/>
    <n v="0"/>
    <n v="0"/>
    <n v="0"/>
  </r>
  <r>
    <x v="1"/>
    <s v="2221 - RECURSOS HIDRICOS"/>
    <x v="235"/>
    <n v="7353.6"/>
    <n v="5132.6000000000004"/>
    <n v="5132.6000000000004"/>
  </r>
  <r>
    <x v="1"/>
    <s v="5025 - CULTURA"/>
    <x v="524"/>
    <n v="0"/>
    <n v="0"/>
    <n v="0"/>
  </r>
  <r>
    <x v="1"/>
    <s v="5021 - GESTAO E ORGANIZACAO DO SUS"/>
    <x v="312"/>
    <n v="8000000"/>
    <n v="347165.32"/>
    <n v="380065.17"/>
  </r>
  <r>
    <x v="1"/>
    <s v="6012 - DEFESA NACIONAL"/>
    <x v="313"/>
    <n v="0"/>
    <n v="0"/>
    <n v="0"/>
  </r>
  <r>
    <x v="1"/>
    <s v="6012 - DEFESA NACIONAL"/>
    <x v="563"/>
    <n v="431.2"/>
    <n v="406.2"/>
    <n v="406.2"/>
  </r>
  <r>
    <x v="1"/>
    <s v="2204 - BRASIL NA FRONTEIRA DO CONHECIMENTO"/>
    <x v="183"/>
    <n v="48339633.670000002"/>
    <n v="31458385.850000001"/>
    <n v="31465365.850000001"/>
  </r>
  <r>
    <x v="1"/>
    <s v="2040 - GESTAO DE RISCOS E DE DESASTRES"/>
    <x v="342"/>
    <n v="0"/>
    <n v="0"/>
    <n v="0"/>
  </r>
  <r>
    <x v="1"/>
    <s v="2205 - CONECTA BRASIL"/>
    <x v="250"/>
    <n v="1080839.75"/>
    <n v="755088.75"/>
    <n v="743916.97"/>
  </r>
  <r>
    <x v="1"/>
    <s v="6012 - DEFESA NACIONAL"/>
    <x v="500"/>
    <n v="58223746.079999998"/>
    <n v="10103267.09"/>
    <n v="29075000"/>
  </r>
  <r>
    <x v="1"/>
    <s v="5014 - ESTATISTICAS E AVALIACOES EDUCACIONAIS"/>
    <x v="132"/>
    <n v="2595900.6"/>
    <n v="235786.64"/>
    <n v="235786.64"/>
  </r>
  <r>
    <x v="1"/>
    <s v="0903 - OPERACOES ESPECIAIS: TRANSFERENCIAS CONSTITUCIONAIS E AS DECORRENTES DE LEGISLACAO ESPECIFICA"/>
    <x v="670"/>
    <n v="42769451.549999997"/>
    <n v="42731967.399999999"/>
    <n v="41734548.630000003"/>
  </r>
  <r>
    <x v="1"/>
    <s v="1040 - GOVERNANCA FUNDIARIA"/>
    <x v="231"/>
    <n v="202904"/>
    <n v="2680.19"/>
    <n v="2680.19"/>
  </r>
  <r>
    <x v="1"/>
    <s v="2216 - POLITICA EXTERNA"/>
    <x v="51"/>
    <n v="0"/>
    <n v="0"/>
    <n v="23535.599999999999"/>
  </r>
  <r>
    <x v="1"/>
    <s v="2208 - TECNOLOGIAS APLICADAS, INOVACAO E DESENVOLVIMENTO SUSTENTAVEL"/>
    <x v="658"/>
    <n v="0"/>
    <n v="0"/>
    <n v="0"/>
  </r>
  <r>
    <x v="1"/>
    <s v="0909 - OPERACOES ESPECIAIS: OUTROS ENCARGOS ESPECIAIS"/>
    <x v="616"/>
    <n v="32797.26"/>
    <n v="28504958.109999999"/>
    <n v="28458529.800000001"/>
  </r>
  <r>
    <x v="1"/>
    <s v="2221 - RECURSOS HIDRICOS"/>
    <x v="513"/>
    <n v="5416.2"/>
    <n v="0"/>
    <n v="0"/>
  </r>
  <r>
    <x v="1"/>
    <s v="5023 - VIGILANCIA EM SAUDE"/>
    <x v="494"/>
    <n v="275832.69"/>
    <n v="26893.08"/>
    <n v="26893.08"/>
  </r>
  <r>
    <x v="1"/>
    <s v="4002 - SEGURANCA INSTITUCIONAL"/>
    <x v="483"/>
    <n v="1629126.21"/>
    <n v="499083.74"/>
    <n v="480172.84"/>
  </r>
  <r>
    <x v="1"/>
    <s v="3006 - TRANSPORTE TERRESTRE E TRANSITO"/>
    <x v="421"/>
    <n v="38067695.68"/>
    <n v="270796.14"/>
    <n v="270796.14"/>
  </r>
  <r>
    <x v="1"/>
    <s v="1040 - GOVERNANCA FUNDIARIA"/>
    <x v="585"/>
    <n v="27063.96"/>
    <n v="9745.06"/>
    <n v="45871.06"/>
  </r>
  <r>
    <x v="1"/>
    <s v="2015 - FORTALECIMENTO DO SISTEMA UNICO DE SAUDE (SUS)"/>
    <x v="366"/>
    <n v="0"/>
    <n v="0"/>
    <n v="0"/>
  </r>
  <r>
    <x v="1"/>
    <s v="3002 - GEOLOGIA, MINERACAO E TRANSFORMACAO MINERAL"/>
    <x v="665"/>
    <n v="748431.35999999999"/>
    <n v="263749.71999999997"/>
    <n v="87295.61"/>
  </r>
  <r>
    <x v="1"/>
    <s v="2080 - EDUCACAO DE QUALIDADE PARA TODOS"/>
    <x v="365"/>
    <n v="0"/>
    <n v="0"/>
    <n v="0"/>
  </r>
  <r>
    <x v="1"/>
    <s v="2080 - EDUCACAO DE QUALIDADE PARA TODOS"/>
    <x v="386"/>
    <n v="0"/>
    <n v="0"/>
    <n v="0"/>
  </r>
  <r>
    <x v="1"/>
    <s v="3006 - TRANSPORTE TERRESTRE E TRANSITO"/>
    <x v="277"/>
    <n v="1011922.13"/>
    <n v="0"/>
    <n v="0"/>
  </r>
  <r>
    <x v="1"/>
    <s v="5031 - PROTECAO SOCIAL NO AMBITO DO SISTEMA UNICO DE ASSISTENCIA SOCIAL (SUAS)"/>
    <x v="251"/>
    <n v="1233971.26"/>
    <n v="136991.59"/>
    <n v="132071.28"/>
  </r>
  <r>
    <x v="1"/>
    <s v="5026 - ESPORTE"/>
    <x v="794"/>
    <n v="0"/>
    <n v="0"/>
    <n v="0"/>
  </r>
  <r>
    <x v="1"/>
    <s v="2221 - RECURSOS HIDRICOS"/>
    <x v="465"/>
    <n v="-74331.839999999997"/>
    <n v="1320541.55"/>
    <n v="1165816.76"/>
  </r>
  <r>
    <x v="1"/>
    <s v="2080 - EDUCACAO DE QUALIDADE PARA TODOS"/>
    <x v="501"/>
    <n v="0"/>
    <n v="0"/>
    <n v="0"/>
  </r>
  <r>
    <x v="1"/>
    <s v="0032 - PROGRAMA DE GESTAO E MANUTENCAO DO PODER EXECUTIVO"/>
    <x v="349"/>
    <n v="414597.05"/>
    <n v="331288.53000000003"/>
    <n v="340634.64"/>
  </r>
  <r>
    <x v="1"/>
    <s v="2209 - BRASIL, NOSSO PROPOSITO"/>
    <x v="428"/>
    <n v="213769.79"/>
    <n v="14873.18"/>
    <n v="11747.87"/>
  </r>
  <r>
    <x v="1"/>
    <s v="2204 - BRASIL NA FRONTEIRA DO CONHECIMENTO"/>
    <x v="674"/>
    <n v="0"/>
    <n v="0"/>
    <n v="0"/>
  </r>
  <r>
    <x v="1"/>
    <s v="5020 - DESENVOLVIMENTO CIENTIFICO, TECNOLOGICO E PRODUTIVO EM SAUDE"/>
    <x v="576"/>
    <n v="4388796.4400000004"/>
    <n v="2391503.3199999998"/>
    <n v="1996029.86"/>
  </r>
  <r>
    <x v="1"/>
    <s v="6012 - DEFESA NACIONAL"/>
    <x v="391"/>
    <n v="14827283.710000001"/>
    <n v="138905.84"/>
    <n v="64403.55"/>
  </r>
  <r>
    <x v="1"/>
    <s v="5020 - DESENVOLVIMENTO CIENTIFICO, TECNOLOGICO E PRODUTIVO EM SAUDE"/>
    <x v="672"/>
    <n v="4983922.5199999996"/>
    <n v="857326.94"/>
    <n v="0"/>
  </r>
  <r>
    <x v="1"/>
    <s v="0909 - OPERACOES ESPECIAIS: OUTROS ENCARGOS ESPECIAIS"/>
    <x v="181"/>
    <n v="3359495"/>
    <n v="300000000"/>
    <n v="300000000"/>
  </r>
  <r>
    <x v="1"/>
    <s v="2214 - NOVA PREVIDENCIA"/>
    <x v="617"/>
    <n v="4425661.29"/>
    <n v="4459303.1100000003"/>
    <n v="4477061.93"/>
  </r>
  <r>
    <x v="1"/>
    <s v="3006 - TRANSPORTE TERRESTRE E TRANSITO"/>
    <x v="651"/>
    <n v="3557190"/>
    <n v="0"/>
    <n v="0"/>
  </r>
  <r>
    <x v="1"/>
    <s v="2080 - EDUCACAO DE QUALIDADE PARA TODOS"/>
    <x v="769"/>
    <n v="0"/>
    <n v="0"/>
    <n v="0"/>
  </r>
  <r>
    <x v="1"/>
    <s v="2223 - A HORA DO TURISMO"/>
    <x v="529"/>
    <n v="20000"/>
    <n v="0"/>
    <n v="0"/>
  </r>
  <r>
    <x v="1"/>
    <s v="2201 - BRASIL MODERNIZA"/>
    <x v="209"/>
    <n v="13038229.039999999"/>
    <n v="0"/>
    <n v="0"/>
  </r>
  <r>
    <x v="1"/>
    <s v="2216 - POLITICA EXTERNA"/>
    <x v="694"/>
    <n v="366572.83"/>
    <n v="290717.55"/>
    <n v="290717.55"/>
  </r>
  <r>
    <x v="1"/>
    <s v="2076 - DESENVOLVIMENTO E PROMOCAO DO TURISMO"/>
    <x v="13"/>
    <n v="0"/>
    <n v="0"/>
    <n v="0"/>
  </r>
  <r>
    <x v="1"/>
    <s v="1031 - AGROPECUARIA SUSTENTAVEL"/>
    <x v="535"/>
    <n v="0"/>
    <n v="0"/>
    <n v="0"/>
  </r>
  <r>
    <x v="1"/>
    <s v="2204 - BRASIL NA FRONTEIRA DO CONHECIMENTO"/>
    <x v="680"/>
    <n v="2545452.35"/>
    <n v="1208524.03"/>
    <n v="1150879.49"/>
  </r>
  <r>
    <x v="1"/>
    <s v="5013 - EDUCACAO SUPERIOR - GRADUACAO, POS-GRADUACAO, ENSINO, PESQUISA E EXTENSAO"/>
    <x v="163"/>
    <n v="0"/>
    <n v="11003837.880000001"/>
    <n v="11003837.880000001"/>
  </r>
  <r>
    <x v="1"/>
    <s v="5025 - CULTURA"/>
    <x v="488"/>
    <n v="93487.21"/>
    <n v="43096.74"/>
    <n v="17370.18"/>
  </r>
  <r>
    <x v="1"/>
    <s v="3006 - TRANSPORTE TERRESTRE E TRANSITO"/>
    <x v="914"/>
    <n v="13523728"/>
    <n v="0"/>
    <n v="0"/>
  </r>
  <r>
    <x v="1"/>
    <s v="3001 - ENERGIA ELETRICA"/>
    <x v="915"/>
    <n v="43000"/>
    <n v="0"/>
    <n v="0"/>
  </r>
  <r>
    <x v="1"/>
    <s v="0033 - PROGRAMA DE GESTAO E MANUTENCAO DO PODER JUDICIARIO"/>
    <x v="297"/>
    <n v="13230.64"/>
    <n v="11830.64"/>
    <n v="11830.64"/>
  </r>
  <r>
    <x v="1"/>
    <s v="2214 - NOVA PREVIDENCIA"/>
    <x v="592"/>
    <n v="-279630.46999999997"/>
    <n v="686595.41"/>
    <n v="670791.36"/>
  </r>
  <r>
    <x v="1"/>
    <s v="6012 - DEFESA NACIONAL"/>
    <x v="676"/>
    <n v="139891.41"/>
    <n v="28927.34"/>
    <n v="28927.34"/>
  </r>
  <r>
    <x v="1"/>
    <s v="3002 - GEOLOGIA, MINERACAO E TRANSFORMACAO MINERAL"/>
    <x v="641"/>
    <n v="635188.30000000005"/>
    <n v="225107.93"/>
    <n v="69182.31"/>
  </r>
  <r>
    <x v="1"/>
    <s v="6012 - DEFESA NACIONAL"/>
    <x v="566"/>
    <n v="152837.39000000001"/>
    <n v="10835.65"/>
    <n v="10070.9"/>
  </r>
  <r>
    <x v="1"/>
    <s v="0032 - PROGRAMA DE GESTAO E MANUTENCAO DO PODER EXECUTIVO"/>
    <x v="722"/>
    <n v="812213.18"/>
    <n v="44768.18"/>
    <n v="23750.6"/>
  </r>
  <r>
    <x v="1"/>
    <s v="0032 - PROGRAMA DE GESTAO E MANUTENCAO DO PODER EXECUTIVO"/>
    <x v="425"/>
    <n v="0"/>
    <n v="0"/>
    <n v="0"/>
  </r>
  <r>
    <x v="1"/>
    <s v="2017 - AVIACAO CIVIL"/>
    <x v="379"/>
    <n v="0"/>
    <n v="0"/>
    <n v="0"/>
  </r>
  <r>
    <x v="1"/>
    <s v="6012 - DEFESA NACIONAL"/>
    <x v="199"/>
    <n v="0"/>
    <n v="0"/>
    <n v="0"/>
  </r>
  <r>
    <x v="1"/>
    <s v="1031 - AGROPECUARIA SUSTENTAVEL"/>
    <x v="608"/>
    <n v="0"/>
    <n v="0"/>
    <n v="0"/>
  </r>
  <r>
    <x v="1"/>
    <s v="3003 - PETROLEO, GAS, DERIVADOS E BIOCOMBUSTIVEIS"/>
    <x v="704"/>
    <n v="3075172.28"/>
    <n v="175393.75"/>
    <n v="138190.93"/>
  </r>
  <r>
    <x v="1"/>
    <s v="5027 - INCLUSAO PRODUTIVA DE PESSOAS EM SITUACAO DE VULNERABILIDADE SOCIAL"/>
    <x v="311"/>
    <n v="0"/>
    <n v="0"/>
    <n v="0"/>
  </r>
  <r>
    <x v="1"/>
    <s v="2214 - NOVA PREVIDENCIA"/>
    <x v="667"/>
    <n v="10975044.470000001"/>
    <n v="63617551641.5"/>
    <n v="63686642271.199997"/>
  </r>
  <r>
    <x v="1"/>
    <s v="2218 - GESTAO DE RISCOS E DE DESASTRES"/>
    <x v="786"/>
    <n v="82424502.359999999"/>
    <n v="35003425.270000003"/>
    <n v="35220512.130000003"/>
  </r>
  <r>
    <x v="1"/>
    <s v="5019 - ATENCAO PRIMARIA A SAUDE"/>
    <x v="423"/>
    <n v="0"/>
    <n v="0"/>
    <n v="0"/>
  </r>
  <r>
    <x v="1"/>
    <s v="2214 - NOVA PREVIDENCIA"/>
    <x v="372"/>
    <n v="-274699.89"/>
    <n v="139551.17000000001"/>
    <n v="129909.49"/>
  </r>
  <r>
    <x v="1"/>
    <s v="6012 - DEFESA NACIONAL"/>
    <x v="98"/>
    <n v="4725"/>
    <n v="5856.43"/>
    <n v="5856.43"/>
  </r>
  <r>
    <x v="1"/>
    <s v="2222 - SANEAMENTO BASICO"/>
    <x v="727"/>
    <n v="339920.7"/>
    <n v="233474.92"/>
    <n v="207510.09"/>
  </r>
  <r>
    <x v="1"/>
    <s v="0902 - OPERACOES ESPECIAIS: FINANCIAMENTOS COM RETORNO"/>
    <x v="290"/>
    <n v="0"/>
    <n v="529161229.26999998"/>
    <n v="529161229.26999998"/>
  </r>
  <r>
    <x v="1"/>
    <s v="6012 - DEFESA NACIONAL"/>
    <x v="276"/>
    <n v="226458.08"/>
    <n v="11890.09"/>
    <n v="11890.09"/>
  </r>
  <r>
    <x v="1"/>
    <s v="6013 - OCEANOS, ZONA COSTEIRA E ANTARTICA"/>
    <x v="764"/>
    <n v="222797.96"/>
    <n v="3023.7"/>
    <n v="4200"/>
  </r>
  <r>
    <x v="1"/>
    <s v="6012 - DEFESA NACIONAL"/>
    <x v="542"/>
    <n v="0"/>
    <n v="0"/>
    <n v="0"/>
  </r>
  <r>
    <x v="1"/>
    <s v="2208 - TECNOLOGIAS APLICADAS, INOVACAO E DESENVOLVIMENTO SUSTENTAVEL"/>
    <x v="916"/>
    <n v="9097611.9100000001"/>
    <n v="9097611.9100000001"/>
    <n v="0"/>
  </r>
  <r>
    <x v="1"/>
    <s v="2223 - A HORA DO TURISMO"/>
    <x v="275"/>
    <n v="0"/>
    <n v="0"/>
    <n v="0"/>
  </r>
  <r>
    <x v="1"/>
    <s v="6012 - DEFESA NACIONAL"/>
    <x v="751"/>
    <n v="71729"/>
    <n v="0"/>
    <n v="0"/>
  </r>
  <r>
    <x v="1"/>
    <s v="5021 - GESTAO E ORGANIZACAO DO SUS"/>
    <x v="211"/>
    <n v="3855343.29"/>
    <n v="735592.13"/>
    <n v="716625.59"/>
  </r>
  <r>
    <x v="1"/>
    <s v="2221 - RECURSOS HIDRICOS"/>
    <x v="615"/>
    <n v="58958.28"/>
    <n v="68675.39"/>
    <n v="2516.19"/>
  </r>
  <r>
    <x v="1"/>
    <s v="0032 - PROGRAMA DE GESTAO E MANUTENCAO DO PODER EXECUTIVO"/>
    <x v="356"/>
    <n v="7237911.7999999998"/>
    <n v="8580339.1400000006"/>
    <n v="4787681.3099999996"/>
  </r>
  <r>
    <x v="1"/>
    <s v="0032 - PROGRAMA DE GESTAO E MANUTENCAO DO PODER EXECUTIVO"/>
    <x v="493"/>
    <n v="132970231.39"/>
    <n v="74726727.129999995"/>
    <n v="78399612.310000002"/>
  </r>
  <r>
    <x v="1"/>
    <s v="5023 - VIGILANCIA EM SAUDE"/>
    <x v="917"/>
    <n v="122827956"/>
    <n v="0"/>
    <n v="0"/>
  </r>
  <r>
    <x v="1"/>
    <s v="2202 - DEFESA AGROPECUARIA"/>
    <x v="697"/>
    <n v="741613.08"/>
    <n v="345366.54"/>
    <n v="266843.62"/>
  </r>
  <r>
    <x v="1"/>
    <s v="5020 - DESENVOLVIMENTO CIENTIFICO, TECNOLOGICO E PRODUTIVO EM SAUDE"/>
    <x v="579"/>
    <n v="35525121.170000002"/>
    <n v="4315948.8099999996"/>
    <n v="2087518.05"/>
  </r>
  <r>
    <x v="1"/>
    <s v="0033 - PROGRAMA DE GESTAO E MANUTENCAO DO PODER JUDICIARIO"/>
    <x v="376"/>
    <n v="0"/>
    <n v="78330.22"/>
    <n v="78330.22"/>
  </r>
  <r>
    <x v="1"/>
    <s v="2015 - FORTALECIMENTO DO SISTEMA UNICO DE SAUDE (SUS)"/>
    <x v="771"/>
    <n v="0"/>
    <n v="0"/>
    <n v="0"/>
  </r>
  <r>
    <x v="1"/>
    <s v="2217 - DESENVOLVIMENTO REGIONAL, TERRITORIAL E URBANO"/>
    <x v="621"/>
    <n v="4626980.54"/>
    <n v="1218544.06"/>
    <n v="1216543.3600000001"/>
  </r>
  <r>
    <x v="1"/>
    <s v="6012 - DEFESA NACIONAL"/>
    <x v="652"/>
    <n v="14232942.390000001"/>
    <n v="1746433.4"/>
    <n v="1746433.4"/>
  </r>
  <r>
    <x v="1"/>
    <s v="6012 - DEFESA NACIONAL"/>
    <x v="655"/>
    <n v="125812.96"/>
    <n v="26530.7"/>
    <n v="10158.950000000001"/>
  </r>
  <r>
    <x v="1"/>
    <s v="2209 - BRASIL, NOSSO PROPOSITO"/>
    <x v="137"/>
    <n v="155000"/>
    <n v="0"/>
    <n v="0"/>
  </r>
  <r>
    <x v="1"/>
    <s v="2202 - DEFESA AGROPECUARIA"/>
    <x v="103"/>
    <n v="73864.23"/>
    <n v="9158.82"/>
    <n v="9158.82"/>
  </r>
  <r>
    <x v="1"/>
    <s v="2221 - RECURSOS HIDRICOS"/>
    <x v="327"/>
    <n v="0"/>
    <n v="0"/>
    <n v="0"/>
  </r>
  <r>
    <x v="1"/>
    <s v="2206 - POLITICA NUCLEAR"/>
    <x v="664"/>
    <n v="0"/>
    <n v="24221.97"/>
    <n v="19668.12"/>
  </r>
  <r>
    <x v="1"/>
    <s v="2206 - POLITICA NUCLEAR"/>
    <x v="774"/>
    <n v="5057946.5199999996"/>
    <n v="739252.85"/>
    <n v="192581.84"/>
  </r>
  <r>
    <x v="1"/>
    <s v="2015 - FORTALECIMENTO DO SISTEMA UNICO DE SAUDE (SUS)"/>
    <x v="226"/>
    <n v="0"/>
    <n v="0"/>
    <n v="0"/>
  </r>
  <r>
    <x v="1"/>
    <s v="6012 - DEFESA NACIONAL"/>
    <x v="551"/>
    <n v="1744660.02"/>
    <n v="102319.31"/>
    <n v="102319.31"/>
  </r>
  <r>
    <x v="1"/>
    <s v="6012 - DEFESA NACIONAL"/>
    <x v="278"/>
    <n v="393962.18"/>
    <n v="30855.17"/>
    <n v="30244.18"/>
  </r>
  <r>
    <x v="1"/>
    <s v="1041 - CONSERVACAO E USO SUSTENTAVEL DA BIODIVERSIDADE E DOS RECURSOS NATURAIS"/>
    <x v="918"/>
    <n v="0"/>
    <n v="0"/>
    <n v="0"/>
  </r>
  <r>
    <x v="1"/>
    <s v="0151 - PROTECAO DE TERRAS INDIGENAS, GESTAO TERRITORIAL E ETNODESENVOLVIMENTO"/>
    <x v="919"/>
    <n v="56185.98"/>
    <n v="0"/>
    <n v="0"/>
  </r>
  <r>
    <x v="1"/>
    <s v="0032 - PROGRAMA DE GESTAO E MANUTENCAO DO PODER EXECUTIVO"/>
    <x v="422"/>
    <n v="-10900"/>
    <n v="0"/>
    <n v="0"/>
  </r>
  <r>
    <x v="1"/>
    <s v="4004 - TRANSPARENCIA, INTEGRIDADE E COMBATE A CORRUPCAO"/>
    <x v="715"/>
    <n v="5874558.7699999996"/>
    <n v="2537143.15"/>
    <n v="2313000.0699999998"/>
  </r>
  <r>
    <x v="1"/>
    <s v="2206 - POLITICA NUCLEAR"/>
    <x v="687"/>
    <n v="227183.64"/>
    <n v="905.38"/>
    <n v="905.38"/>
  </r>
  <r>
    <x v="1"/>
    <s v="6014 - PREVENCAO E CONTROLE DO DESMATAMENTO E DOS INCENDIOS NOS BIOMAS"/>
    <x v="624"/>
    <n v="1275531.95"/>
    <n v="893195.98"/>
    <n v="1394783.84"/>
  </r>
  <r>
    <x v="1"/>
    <s v="2222 - SANEAMENTO BASICO"/>
    <x v="706"/>
    <n v="65457.91"/>
    <n v="20651.080000000002"/>
    <n v="12164.82"/>
  </r>
  <r>
    <x v="1"/>
    <s v="5015 - JUSTICA"/>
    <x v="308"/>
    <n v="4000"/>
    <n v="3430.26"/>
    <n v="3430.26"/>
  </r>
  <r>
    <x v="1"/>
    <s v="5021 - GESTAO E ORGANIZACAO DO SUS"/>
    <x v="20"/>
    <n v="2403333.3199999998"/>
    <n v="1201666.6599999999"/>
    <n v="1201666.6599999999"/>
  </r>
  <r>
    <x v="1"/>
    <s v="1041 - CONSERVACAO E USO SUSTENTAVEL DA BIODIVERSIDADE E DOS RECURSOS NATURAIS"/>
    <x v="702"/>
    <n v="650601.55000000005"/>
    <n v="444191.09"/>
    <n v="276392.84999999998"/>
  </r>
  <r>
    <x v="1"/>
    <s v="5033 - SEGURANCA ALIMENTAR E NUTRICIONAL"/>
    <x v="564"/>
    <n v="0"/>
    <n v="0"/>
    <n v="0"/>
  </r>
  <r>
    <x v="1"/>
    <s v="6011 - COOPERACAO COM O DESENVOLVIMENTO NACIONAL"/>
    <x v="701"/>
    <n v="0"/>
    <n v="0"/>
    <n v="0"/>
  </r>
  <r>
    <x v="1"/>
    <s v="3006 - TRANSPORTE TERRESTRE E TRANSITO"/>
    <x v="635"/>
    <n v="6800000"/>
    <n v="0"/>
    <n v="0"/>
  </r>
  <r>
    <x v="1"/>
    <s v="2214 - NOVA PREVIDENCIA"/>
    <x v="546"/>
    <n v="0"/>
    <n v="0"/>
    <n v="0"/>
  </r>
  <r>
    <x v="1"/>
    <s v="6012 - DEFESA NACIONAL"/>
    <x v="761"/>
    <n v="7434582.6299999999"/>
    <n v="590468.47"/>
    <n v="213735.58"/>
  </r>
  <r>
    <x v="1"/>
    <s v="5025 - CULTURA"/>
    <x v="553"/>
    <n v="90420"/>
    <n v="38400"/>
    <n v="38400"/>
  </r>
  <r>
    <x v="1"/>
    <s v="2208 - TECNOLOGIAS APLICADAS, INOVACAO E DESENVOLVIMENTO SUSTENTAVEL"/>
    <x v="260"/>
    <n v="63804132.520000003"/>
    <n v="66812972.509999998"/>
    <n v="12562497.130000001"/>
  </r>
  <r>
    <x v="1"/>
    <s v="6012 - DEFESA NACIONAL"/>
    <x v="130"/>
    <n v="129527.61"/>
    <n v="31047.4"/>
    <n v="30014.75"/>
  </r>
  <r>
    <x v="1"/>
    <s v="5015 - JUSTICA"/>
    <x v="714"/>
    <n v="7031594.4000000004"/>
    <n v="936985.85"/>
    <n v="712026.99"/>
  </r>
  <r>
    <x v="1"/>
    <s v="0910 - OPERACOES ESPECIAIS: GESTAO DA PARTICIPACAO EM ORGANISMOS E ENTIDADES NACIONAIS E INTERNACIONAIS"/>
    <x v="369"/>
    <n v="4482901.87"/>
    <n v="1524583.39"/>
    <n v="1588195.19"/>
  </r>
  <r>
    <x v="1"/>
    <s v="5026 - ESPORTE"/>
    <x v="533"/>
    <n v="2097959.09"/>
    <n v="0"/>
    <n v="0"/>
  </r>
  <r>
    <x v="1"/>
    <s v="0032 - PROGRAMA DE GESTAO E MANUTENCAO DO PODER EXECUTIVO"/>
    <x v="224"/>
    <n v="0"/>
    <n v="0"/>
    <n v="0"/>
  </r>
  <r>
    <x v="1"/>
    <s v="5016 - SEGURANCA PUBLICA, COMBATE A CORRUPCAO, AO CRIME ORGANIZADO E AO CRIME VIOLENTO"/>
    <x v="785"/>
    <n v="5930959.5499999998"/>
    <n v="12826879.960000001"/>
    <n v="12419066.970000001"/>
  </r>
  <r>
    <x v="1"/>
    <s v="2037 - CONSOLIDACAO DO SISTEMA UNICO DE ASSISTENCIA SOCIAL (SUAS)"/>
    <x v="41"/>
    <n v="0"/>
    <n v="0"/>
    <n v="0"/>
  </r>
  <r>
    <x v="1"/>
    <s v="6012 - DEFESA NACIONAL"/>
    <x v="920"/>
    <n v="149033"/>
    <n v="73785.5"/>
    <n v="0"/>
  </r>
  <r>
    <x v="1"/>
    <s v="3002 - GEOLOGIA, MINERACAO E TRANSFORMACAO MINERAL"/>
    <x v="710"/>
    <n v="165145.38"/>
    <n v="636983.68000000005"/>
    <n v="525581.6"/>
  </r>
  <r>
    <x v="1"/>
    <s v="3006 - TRANSPORTE TERRESTRE E TRANSITO"/>
    <x v="274"/>
    <n v="2400000"/>
    <n v="0"/>
    <n v="0"/>
  </r>
  <r>
    <x v="1"/>
    <s v="6012 - DEFESA NACIONAL"/>
    <x v="637"/>
    <n v="330323.11"/>
    <n v="84909.95"/>
    <n v="4130.25"/>
  </r>
  <r>
    <x v="1"/>
    <s v="2216 - POLITICA EXTERNA"/>
    <x v="583"/>
    <n v="5803909.4800000004"/>
    <n v="6683020.2400000002"/>
    <n v="6843323.6299999999"/>
  </r>
  <r>
    <x v="1"/>
    <s v="0032 - PROGRAMA DE GESTAO E MANUTENCAO DO PODER EXECUTIVO"/>
    <x v="760"/>
    <n v="10870543.970000001"/>
    <n v="3116221.57"/>
    <n v="3019727.88"/>
  </r>
  <r>
    <x v="1"/>
    <s v="6011 - COOPERACAO COM O DESENVOLVIMENTO NACIONAL"/>
    <x v="656"/>
    <n v="1909013.98"/>
    <n v="612604.48"/>
    <n v="502497.85"/>
  </r>
  <r>
    <x v="1"/>
    <s v="2217 - DESENVOLVIMENTO REGIONAL, TERRITORIAL E URBANO"/>
    <x v="610"/>
    <n v="0"/>
    <n v="0"/>
    <n v="0"/>
  </r>
  <r>
    <x v="1"/>
    <s v="1031 - AGROPECUARIA SUSTENTAVEL"/>
    <x v="399"/>
    <n v="0"/>
    <n v="553444.61"/>
    <n v="553444.61"/>
  </r>
  <r>
    <x v="1"/>
    <s v="5011 - EDUCACAO BASICA DE QUALIDADE"/>
    <x v="407"/>
    <n v="14733881.82"/>
    <n v="0"/>
    <n v="0"/>
  </r>
  <r>
    <x v="1"/>
    <s v="2029 - DESENVOLVIMENTO REGIONAL E TERRITORIAL"/>
    <x v="783"/>
    <n v="0"/>
    <n v="0"/>
    <n v="0"/>
  </r>
  <r>
    <x v="1"/>
    <s v="5022 - PROTECAO, PROMOCAO E RECUPERACAO DA SAUDE INDIGENA"/>
    <x v="742"/>
    <n v="14942293.039999999"/>
    <n v="2463228.39"/>
    <n v="2159573.2200000002"/>
  </r>
  <r>
    <x v="1"/>
    <s v="5013 - EDUCACAO SUPERIOR - GRADUACAO, POS-GRADUACAO, ENSINO, PESQUISA E EXTENSAO"/>
    <x v="798"/>
    <n v="75813240.219999999"/>
    <n v="11307937.85"/>
    <n v="9296926.7100000009"/>
  </r>
  <r>
    <x v="1"/>
    <s v="2206 - POLITICA NUCLEAR"/>
    <x v="429"/>
    <n v="22181013.760000002"/>
    <n v="442105.48"/>
    <n v="301805.61"/>
  </r>
  <r>
    <x v="1"/>
    <s v="5014 - ESTATISTICAS E AVALIACOES EDUCACIONAIS"/>
    <x v="755"/>
    <n v="10867029.130000001"/>
    <n v="534184.41"/>
    <n v="472388.5"/>
  </r>
  <r>
    <x v="1"/>
    <s v="1031 - AGROPECUARIA SUSTENTAVEL"/>
    <x v="685"/>
    <n v="110458.94"/>
    <n v="116350.19"/>
    <n v="115334.2"/>
  </r>
  <r>
    <x v="1"/>
    <s v="5035 - PROMOCAO DE CIDADANIA POR MEIO DO AUXILIO BRASIL E DA ARTICULACAO DE POLITICAS PUBLICAS"/>
    <x v="921"/>
    <n v="0"/>
    <n v="0"/>
    <n v="0"/>
  </r>
  <r>
    <x v="1"/>
    <s v="2217 - DESENVOLVIMENTO REGIONAL, TERRITORIAL E URBANO"/>
    <x v="30"/>
    <n v="603891.72"/>
    <n v="62482.03"/>
    <n v="25752.99"/>
  </r>
  <r>
    <x v="1"/>
    <s v="2208 - TECNOLOGIAS APLICADAS, INOVACAO E DESENVOLVIMENTO SUSTENTAVEL"/>
    <x v="922"/>
    <n v="390135.27"/>
    <n v="390135.27"/>
    <n v="0"/>
  </r>
  <r>
    <x v="1"/>
    <s v="6012 - DEFESA NACIONAL"/>
    <x v="746"/>
    <n v="344459.5"/>
    <n v="77487.11"/>
    <n v="90914.03"/>
  </r>
  <r>
    <x v="1"/>
    <s v="0032 - PROGRAMA DE GESTAO E MANUTENCAO DO PODER EXECUTIVO"/>
    <x v="709"/>
    <n v="49318081.990000002"/>
    <n v="126588.29"/>
    <n v="67147.06"/>
  </r>
  <r>
    <x v="1"/>
    <s v="0903 - OPERACOES ESPECIAIS: TRANSFERENCIAS CONSTITUCIONAIS E AS DECORRENTES DE LEGISLACAO ESPECIFICA"/>
    <x v="587"/>
    <n v="0"/>
    <n v="131481506.04000001"/>
    <n v="131481506.04000001"/>
  </r>
  <r>
    <x v="1"/>
    <s v="0032 - PROGRAMA DE GESTAO E MANUTENCAO DO PODER EXECUTIVO"/>
    <x v="644"/>
    <n v="233400"/>
    <n v="49779.96"/>
    <n v="44064"/>
  </r>
  <r>
    <x v="1"/>
    <s v="0032 - PROGRAMA DE GESTAO E MANUTENCAO DO PODER EXECUTIVO"/>
    <x v="699"/>
    <n v="1416566.65"/>
    <n v="41426.379999999997"/>
    <n v="24550.6"/>
  </r>
  <r>
    <x v="1"/>
    <s v="3006 - TRANSPORTE TERRESTRE E TRANSITO"/>
    <x v="111"/>
    <n v="12857297"/>
    <n v="0"/>
    <n v="0"/>
  </r>
  <r>
    <x v="1"/>
    <s v="2203 - PESQUISA E INOVACAO AGROPECUARIA"/>
    <x v="618"/>
    <n v="0"/>
    <n v="0"/>
    <n v="0"/>
  </r>
  <r>
    <x v="1"/>
    <s v="2221 - RECURSOS HIDRICOS"/>
    <x v="424"/>
    <n v="169707.98"/>
    <n v="122937.3"/>
    <n v="142787.35"/>
  </r>
  <r>
    <x v="1"/>
    <s v="4005 - PROTECAO JURIDICA DA UNIAO"/>
    <x v="647"/>
    <n v="35257943.009999998"/>
    <n v="18900069.149999999"/>
    <n v="18184646.510000002"/>
  </r>
  <r>
    <x v="1"/>
    <s v="6012 - DEFESA NACIONAL"/>
    <x v="492"/>
    <n v="1163455.1599999999"/>
    <n v="0"/>
    <n v="0"/>
  </r>
  <r>
    <x v="1"/>
    <s v="1031 - AGROPECUARIA SUSTENTAVEL"/>
    <x v="461"/>
    <n v="46739.48"/>
    <n v="35147.870000000003"/>
    <n v="27665.87"/>
  </r>
  <r>
    <x v="1"/>
    <s v="2221 - RECURSOS HIDRICOS"/>
    <x v="669"/>
    <n v="3804187.69"/>
    <n v="1544594.83"/>
    <n v="1320158.3500000001"/>
  </r>
  <r>
    <x v="1"/>
    <s v="2216 - POLITICA EXTERNA"/>
    <x v="775"/>
    <n v="839824.88"/>
    <n v="768815.87"/>
    <n v="764989.58"/>
  </r>
  <r>
    <x v="1"/>
    <s v="3006 - TRANSPORTE TERRESTRE E TRANSITO"/>
    <x v="7"/>
    <n v="457000"/>
    <n v="0"/>
    <n v="0"/>
  </r>
  <r>
    <x v="1"/>
    <s v="5016 - SEGURANCA PUBLICA, COMBATE A CORRUPCAO, AO CRIME ORGANIZADO E AO CRIME VIOLENTO"/>
    <x v="487"/>
    <n v="2402179.65"/>
    <n v="2031215.25"/>
    <n v="1980238.95"/>
  </r>
  <r>
    <x v="1"/>
    <s v="5021 - GESTAO E ORGANIZACAO DO SUS"/>
    <x v="326"/>
    <n v="0"/>
    <n v="0"/>
    <n v="0"/>
  </r>
  <r>
    <x v="1"/>
    <s v="0032 - PROGRAMA DE GESTAO E MANUTENCAO DO PODER EXECUTIVO"/>
    <x v="495"/>
    <n v="1600793.31"/>
    <n v="1322844.1200000001"/>
    <n v="1331961.3999999999"/>
  </r>
  <r>
    <x v="1"/>
    <s v="6012 - DEFESA NACIONAL"/>
    <x v="768"/>
    <n v="13543025.73"/>
    <n v="6032.65"/>
    <n v="6032.65"/>
  </r>
  <r>
    <x v="1"/>
    <s v="3005 - TRANSPORTE AQUAVIARIO"/>
    <x v="212"/>
    <n v="60022955.880000003"/>
    <n v="2700.37"/>
    <n v="2700.37"/>
  </r>
  <r>
    <x v="1"/>
    <s v="2208 - TECNOLOGIAS APLICADAS, INOVACAO E DESENVOLVIMENTO SUSTENTAVEL"/>
    <x v="189"/>
    <n v="0"/>
    <n v="0"/>
    <n v="0"/>
  </r>
  <r>
    <x v="1"/>
    <s v="5013 - EDUCACAO SUPERIOR - GRADUACAO, POS-GRADUACAO, ENSINO, PESQUISA E EXTENSAO"/>
    <x v="793"/>
    <n v="67025490.049999997"/>
    <n v="65535551.659999996"/>
    <n v="65880578.530000001"/>
  </r>
  <r>
    <x v="1"/>
    <s v="2202 - DEFESA AGROPECUARIA"/>
    <x v="789"/>
    <n v="4726353.8499999996"/>
    <n v="1864993.77"/>
    <n v="1412697.61"/>
  </r>
  <r>
    <x v="1"/>
    <s v="5021 - GESTAO E ORGANIZACAO DO SUS"/>
    <x v="593"/>
    <n v="18610610.100000001"/>
    <n v="16887697.109999999"/>
    <n v="364653.36"/>
  </r>
  <r>
    <x v="1"/>
    <s v="6012 - DEFESA NACIONAL"/>
    <x v="589"/>
    <n v="48665.7"/>
    <n v="97931.64"/>
    <n v="59111.39"/>
  </r>
  <r>
    <x v="1"/>
    <s v="2219 - MOBILIDADE URBANA"/>
    <x v="427"/>
    <n v="0"/>
    <n v="0"/>
    <n v="0"/>
  </r>
  <r>
    <x v="1"/>
    <s v="3003 - PETROLEO, GAS, DERIVADOS E BIOCOMBUSTIVEIS"/>
    <x v="688"/>
    <n v="2856194.61"/>
    <n v="716741.25"/>
    <n v="699548.3"/>
  </r>
  <r>
    <x v="1"/>
    <s v="0032 - PROGRAMA DE GESTAO E MANUTENCAO DO PODER EXECUTIVO"/>
    <x v="677"/>
    <n v="5448537.5199999996"/>
    <n v="1890468.82"/>
    <n v="1644474.57"/>
  </r>
  <r>
    <x v="1"/>
    <s v="6012 - DEFESA NACIONAL"/>
    <x v="378"/>
    <n v="10060000"/>
    <n v="-12996.21"/>
    <n v="-15652.41"/>
  </r>
  <r>
    <x v="1"/>
    <s v="5022 - PROTECAO, PROMOCAO E RECUPERACAO DA SAUDE INDIGENA"/>
    <x v="692"/>
    <n v="217047009.31999999"/>
    <n v="75089697.359999999"/>
    <n v="91678161.579999998"/>
  </r>
  <r>
    <x v="1"/>
    <s v="5032 - REDE DE SUPORTE SOCIAL AO DEPENDENTE QUIMICO: CUIDADOS,PREVENCAO E REINSERCAO SOCIAL"/>
    <x v="631"/>
    <n v="0"/>
    <n v="0"/>
    <n v="0"/>
  </r>
  <r>
    <x v="1"/>
    <s v="6012 - DEFESA NACIONAL"/>
    <x v="220"/>
    <n v="18773728.760000002"/>
    <n v="29322736.27"/>
    <n v="30465861.510000002"/>
  </r>
  <r>
    <x v="1"/>
    <s v="1031 - AGROPECUARIA SUSTENTAVEL"/>
    <x v="614"/>
    <n v="0"/>
    <n v="0"/>
    <n v="0"/>
  </r>
  <r>
    <x v="1"/>
    <s v="0032 - PROGRAMA DE GESTAO E MANUTENCAO DO PODER EXECUTIVO"/>
    <x v="609"/>
    <n v="125204968.72"/>
    <n v="39498993.369999997"/>
    <n v="41016839.689999998"/>
  </r>
  <r>
    <x v="1"/>
    <s v="3006 - TRANSPORTE TERRESTRE E TRANSITO"/>
    <x v="367"/>
    <n v="1893154431.53"/>
    <n v="10849714.32"/>
    <n v="10715158.859999999"/>
  </r>
  <r>
    <x v="1"/>
    <s v="6011 - COOPERACAO COM O DESENVOLVIMENTO NACIONAL"/>
    <x v="733"/>
    <n v="2533193.4900000002"/>
    <n v="7633.05"/>
    <n v="7633.05"/>
  </r>
  <r>
    <x v="1"/>
    <s v="2215 - POLITICA ECONOMICA E EQUILIBRIO FISCAL"/>
    <x v="597"/>
    <n v="2980093.64"/>
    <n v="329801.44"/>
    <n v="331017.53000000003"/>
  </r>
  <r>
    <x v="1"/>
    <s v="2216 - POLITICA EXTERNA"/>
    <x v="781"/>
    <n v="72972768.109999999"/>
    <n v="68317785.459999993"/>
    <n v="68065629.760000005"/>
  </r>
  <r>
    <x v="1"/>
    <s v="6012 - DEFESA NACIONAL"/>
    <x v="736"/>
    <n v="1254905.74"/>
    <n v="487613.07"/>
    <n v="74704.97"/>
  </r>
  <r>
    <x v="1"/>
    <s v="1041 - CONSERVACAO E USO SUSTENTAVEL DA BIODIVERSIDADE E DOS RECURSOS NATURAIS"/>
    <x v="568"/>
    <n v="269530.32"/>
    <n v="151027.69"/>
    <n v="150057.82"/>
  </r>
  <r>
    <x v="1"/>
    <s v="5021 - GESTAO E ORGANIZACAO DO SUS"/>
    <x v="480"/>
    <n v="237573.53"/>
    <n v="46979.9"/>
    <n v="46979.9"/>
  </r>
  <r>
    <x v="1"/>
    <s v="5011 - EDUCACAO BASICA DE QUALIDADE"/>
    <x v="747"/>
    <n v="9555578.5700000003"/>
    <n v="1423509.76"/>
    <n v="450976.06"/>
  </r>
  <r>
    <x v="1"/>
    <s v="0903 - OPERACOES ESPECIAIS: TRANSFERENCIAS CONSTITUCIONAIS E AS DECORRENTES DE LEGISLACAO ESPECIFICA"/>
    <x v="215"/>
    <n v="0"/>
    <n v="87623717.359999999"/>
    <n v="87623717.359999999"/>
  </r>
  <r>
    <x v="1"/>
    <s v="5021 - GESTAO E ORGANIZACAO DO SUS"/>
    <x v="695"/>
    <n v="400000"/>
    <n v="32513.279999999999"/>
    <n v="21097.27"/>
  </r>
  <r>
    <x v="1"/>
    <s v="6012 - DEFESA NACIONAL"/>
    <x v="763"/>
    <n v="175349.25"/>
    <n v="1469.75"/>
    <n v="1469.75"/>
  </r>
  <r>
    <x v="1"/>
    <s v="2217 - DESENVOLVIMENTO REGIONAL, TERRITORIAL E URBANO"/>
    <x v="196"/>
    <n v="48000"/>
    <n v="0"/>
    <n v="0"/>
  </r>
  <r>
    <x v="1"/>
    <s v="0617 - PROTECAO E PROMOCAO DOS DIREITOS DOS POVOS INDIGENAS"/>
    <x v="725"/>
    <n v="1789450.9"/>
    <n v="820794"/>
    <n v="601091.65"/>
  </r>
  <r>
    <x v="1"/>
    <s v="2204 - BRASIL NA FRONTEIRA DO CONHECIMENTO"/>
    <x v="208"/>
    <n v="302822"/>
    <n v="302822"/>
    <n v="302822"/>
  </r>
  <r>
    <x v="1"/>
    <s v="2213 - MODERNIZACAO TRABALHISTA E TRABALHO DIGNO"/>
    <x v="534"/>
    <n v="909677.66"/>
    <n v="800109.86"/>
    <n v="794273.65"/>
  </r>
  <r>
    <x v="1"/>
    <s v="2209 - BRASIL, NOSSO PROPOSITO"/>
    <x v="750"/>
    <n v="7996182.2999999998"/>
    <n v="1780114.41"/>
    <n v="1440086.74"/>
  </r>
  <r>
    <x v="1"/>
    <s v="0032 - PROGRAMA DE GESTAO E MANUTENCAO DO PODER EXECUTIVO"/>
    <x v="517"/>
    <n v="380790.31"/>
    <n v="153417.73000000001"/>
    <n v="142031.1"/>
  </r>
  <r>
    <x v="1"/>
    <s v="6014 - PREVENCAO E CONTROLE DO DESMATAMENTO E DOS INCENDIOS NOS BIOMAS"/>
    <x v="698"/>
    <n v="11544622.800000001"/>
    <n v="6264240.79"/>
    <n v="2725179.87"/>
  </r>
  <r>
    <x v="1"/>
    <s v="6015 - EDUCACAO INFANTIL"/>
    <x v="923"/>
    <n v="0"/>
    <n v="0"/>
    <n v="0"/>
  </r>
  <r>
    <x v="1"/>
    <s v="1041 - CONSERVACAO E USO SUSTENTAVEL DA BIODIVERSIDADE E DOS RECURSOS NATURAIS"/>
    <x v="711"/>
    <n v="7296670.0999999996"/>
    <n v="3474379.18"/>
    <n v="1366735.89"/>
  </r>
  <r>
    <x v="1"/>
    <s v="0032 - PROGRAMA DE GESTAO E MANUTENCAO DO PODER EXECUTIVO"/>
    <x v="795"/>
    <n v="1491348.86"/>
    <n v="35767.129999999997"/>
    <n v="14880.52"/>
  </r>
  <r>
    <x v="1"/>
    <s v="5013 - EDUCACAO SUPERIOR - GRADUACAO, POS-GRADUACAO, ENSINO, PESQUISA E EXTENSAO"/>
    <x v="762"/>
    <n v="25603313.199999999"/>
    <n v="7301084.9199999999"/>
    <n v="1189253.05"/>
  </r>
  <r>
    <x v="1"/>
    <s v="1040 - GOVERNANCA FUNDIARIA"/>
    <x v="737"/>
    <n v="201462.42"/>
    <n v="141385.78"/>
    <n v="121626.96"/>
  </r>
  <r>
    <x v="1"/>
    <s v="5011 - EDUCACAO BASICA DE QUALIDADE"/>
    <x v="432"/>
    <n v="64304500"/>
    <n v="31356590.620000001"/>
    <n v="20998901"/>
  </r>
  <r>
    <x v="1"/>
    <s v="0910 - OPERACOES ESPECIAIS: GESTAO DA PARTICIPACAO EM ORGANISMOS E ENTIDADES NACIONAIS E INTERNACIONAIS"/>
    <x v="693"/>
    <n v="981446.67"/>
    <n v="400874.95"/>
    <n v="280990.05"/>
  </r>
  <r>
    <x v="1"/>
    <s v="6012 - DEFESA NACIONAL"/>
    <x v="466"/>
    <n v="0"/>
    <n v="0"/>
    <n v="0"/>
  </r>
  <r>
    <x v="1"/>
    <s v="2208 - TECNOLOGIAS APLICADAS, INOVACAO E DESENVOLVIMENTO SUSTENTAVEL"/>
    <x v="179"/>
    <n v="10139526.779999999"/>
    <n v="155708.78"/>
    <n v="155708.78"/>
  </r>
  <r>
    <x v="1"/>
    <s v="5013 - EDUCACAO SUPERIOR - GRADUACAO, POS-GRADUACAO, ENSINO, PESQUISA E EXTENSAO"/>
    <x v="784"/>
    <n v="75609295.489999995"/>
    <n v="37706731.770000003"/>
    <n v="20185927.75"/>
  </r>
  <r>
    <x v="1"/>
    <s v="2217 - DESENVOLVIMENTO REGIONAL, TERRITORIAL E URBANO"/>
    <x v="757"/>
    <n v="0"/>
    <n v="0"/>
    <n v="0"/>
  </r>
  <r>
    <x v="1"/>
    <s v="5016 - SEGURANCA PUBLICA, COMBATE A CORRUPCAO, AO CRIME ORGANIZADO E AO CRIME VIOLENTO"/>
    <x v="703"/>
    <n v="20712619.84"/>
    <n v="9724079.7300000004"/>
    <n v="6100785.4500000002"/>
  </r>
  <r>
    <x v="1"/>
    <s v="6012 - DEFESA NACIONAL"/>
    <x v="25"/>
    <n v="10349575.789999999"/>
    <n v="459897.02"/>
    <n v="352653.78"/>
  </r>
  <r>
    <x v="1"/>
    <s v="6012 - DEFESA NACIONAL"/>
    <x v="741"/>
    <n v="0"/>
    <n v="169282.01"/>
    <n v="171883.11"/>
  </r>
  <r>
    <x v="1"/>
    <s v="2049 - MORADIA DIGNA"/>
    <x v="924"/>
    <n v="0"/>
    <n v="0"/>
    <n v="0"/>
  </r>
  <r>
    <x v="1"/>
    <s v="5019 - ATENCAO PRIMARIA A SAUDE"/>
    <x v="730"/>
    <n v="952756.26"/>
    <n v="100926909.44"/>
    <n v="105228304.39"/>
  </r>
  <r>
    <x v="1"/>
    <s v="2048 - MOBILIDADE URBANA E TRANSITO"/>
    <x v="925"/>
    <n v="0"/>
    <n v="0"/>
    <n v="0"/>
  </r>
  <r>
    <x v="1"/>
    <s v="0032 - PROGRAMA DE GESTAO E MANUTENCAO DO PODER EXECUTIVO"/>
    <x v="599"/>
    <n v="21531659.5"/>
    <n v="1000"/>
    <n v="1000"/>
  </r>
  <r>
    <x v="1"/>
    <s v="5012 - EDUCACAO PROFISSIONAL E TECNOLOGICA"/>
    <x v="682"/>
    <n v="4621785.67"/>
    <n v="551854.84"/>
    <n v="201203.86"/>
  </r>
  <r>
    <x v="1"/>
    <s v="0901 - OPERACOES ESPECIAIS: CUMPRIMENTO DE SENTENCAS JUDICIAIS"/>
    <x v="629"/>
    <n v="19644975.68"/>
    <n v="20319767.550000001"/>
    <n v="18794115.66"/>
  </r>
  <r>
    <x v="1"/>
    <s v="6012 - DEFESA NACIONAL"/>
    <x v="279"/>
    <n v="34947.620000000003"/>
    <n v="1328.1"/>
    <n v="0"/>
  </r>
  <r>
    <x v="1"/>
    <s v="5028 - INCLUSAO SOCIAL POR MEIO DO BOLSA FAMILIA E DA ARTICULACAO DE POLITICAS PUBLICAS"/>
    <x v="228"/>
    <n v="0"/>
    <n v="0"/>
    <n v="0"/>
  </r>
  <r>
    <x v="1"/>
    <s v="5016 - SEGURANCA PUBLICA, COMBATE A CORRUPCAO, AO CRIME ORGANIZADO E AO CRIME VIOLENTO"/>
    <x v="574"/>
    <n v="167912055.69999999"/>
    <n v="15568632"/>
    <n v="14929247.060000001"/>
  </r>
  <r>
    <x v="1"/>
    <s v="5018 - ATENCAO ESPECIALIZADA A SAUDE"/>
    <x v="437"/>
    <n v="4432337802.1599998"/>
    <n v="4386830949.2399998"/>
    <n v="4341388837.2799997"/>
  </r>
  <r>
    <x v="1"/>
    <s v="5018 - ATENCAO ESPECIALIZADA A SAUDE"/>
    <x v="502"/>
    <n v="16131380.550000001"/>
    <n v="0"/>
    <n v="0"/>
  </r>
  <r>
    <x v="1"/>
    <s v="0909 - OPERACOES ESPECIAIS: OUTROS ENCARGOS ESPECIAIS"/>
    <x v="766"/>
    <n v="7146965.3399999999"/>
    <n v="74244813.790000007"/>
    <n v="75896913.069999993"/>
  </r>
  <r>
    <x v="1"/>
    <s v="2202 - DEFESA AGROPECUARIA"/>
    <x v="720"/>
    <n v="918742.68"/>
    <n v="522187.46"/>
    <n v="461874.44"/>
  </r>
  <r>
    <x v="1"/>
    <s v="5021 - GESTAO E ORGANIZACAO DO SUS"/>
    <x v="507"/>
    <n v="130242282.93000001"/>
    <n v="123808587.34999999"/>
    <n v="120162055.19"/>
  </r>
  <r>
    <x v="1"/>
    <s v="5016 - SEGURANCA PUBLICA, COMBATE A CORRUPCAO, AO CRIME ORGANIZADO E AO CRIME VIOLENTO"/>
    <x v="926"/>
    <n v="0"/>
    <n v="0"/>
    <n v="0"/>
  </r>
  <r>
    <x v="1"/>
    <s v="6012 - DEFESA NACIONAL"/>
    <x v="787"/>
    <n v="49254640.609999999"/>
    <n v="4927104.3600000003"/>
    <n v="1992957.43"/>
  </r>
  <r>
    <x v="1"/>
    <s v="0617 - PROTECAO E PROMOCAO DOS DIREITOS DOS POVOS INDIGENAS"/>
    <x v="776"/>
    <n v="1865192.07"/>
    <n v="321698.53000000003"/>
    <n v="295266.71000000002"/>
  </r>
  <r>
    <x v="1"/>
    <s v="2222 - SANEAMENTO BASICO"/>
    <x v="42"/>
    <n v="53500"/>
    <n v="9484.82"/>
    <n v="8536.3700000000008"/>
  </r>
  <r>
    <x v="1"/>
    <s v="5013 - EDUCACAO SUPERIOR - GRADUACAO, POS-GRADUACAO, ENSINO, PESQUISA E EXTENSAO"/>
    <x v="504"/>
    <n v="16010338.77"/>
    <n v="8750320.6500000004"/>
    <n v="6542038.3399999999"/>
  </r>
  <r>
    <x v="1"/>
    <s v="2205 - CONECTA BRASIL"/>
    <x v="80"/>
    <n v="13051256.52"/>
    <n v="5259088.84"/>
    <n v="1774624.64"/>
  </r>
  <r>
    <x v="1"/>
    <s v="5021 - GESTAO E ORGANIZACAO DO SUS"/>
    <x v="475"/>
    <n v="8551135.9000000004"/>
    <n v="1358860.01"/>
    <n v="658564.18000000005"/>
  </r>
  <r>
    <x v="1"/>
    <s v="1031 - AGROPECUARIA SUSTENTAVEL"/>
    <x v="660"/>
    <n v="1302023.18"/>
    <n v="1172505.02"/>
    <n v="1418961.15"/>
  </r>
  <r>
    <x v="1"/>
    <s v="5011 - EDUCACAO BASICA DE QUALIDADE"/>
    <x v="752"/>
    <n v="0"/>
    <n v="0"/>
    <n v="0"/>
  </r>
  <r>
    <x v="1"/>
    <s v="6012 - DEFESA NACIONAL"/>
    <x v="521"/>
    <n v="6554545.5"/>
    <n v="0"/>
    <n v="0"/>
  </r>
  <r>
    <x v="1"/>
    <s v="6012 - DEFESA NACIONAL"/>
    <x v="639"/>
    <n v="63113790.509999998"/>
    <n v="13637430.59"/>
    <n v="11316344.199999999"/>
  </r>
  <r>
    <x v="1"/>
    <s v="5013 - EDUCACAO SUPERIOR - GRADUACAO, POS-GRADUACAO, ENSINO, PESQUISA E EXTENSAO"/>
    <x v="129"/>
    <n v="39850630.600000001"/>
    <n v="17543316.870000001"/>
    <n v="1814715.34"/>
  </r>
  <r>
    <x v="1"/>
    <s v="1031 - AGROPECUARIA SUSTENTAVEL"/>
    <x v="723"/>
    <n v="22787406.859999999"/>
    <n v="6520241.1100000003"/>
    <n v="453275.46"/>
  </r>
  <r>
    <x v="1"/>
    <s v="2203 - PESQUISA E INOVACAO AGROPECUARIA"/>
    <x v="780"/>
    <n v="0"/>
    <n v="0"/>
    <n v="0"/>
  </r>
  <r>
    <x v="1"/>
    <s v="5025 - CULTURA"/>
    <x v="549"/>
    <n v="4335710.92"/>
    <n v="2751859.73"/>
    <n v="140207.28"/>
  </r>
  <r>
    <x v="1"/>
    <s v="5011 - EDUCACAO BASICA DE QUALIDADE"/>
    <x v="436"/>
    <n v="1650000"/>
    <n v="0"/>
    <n v="0"/>
  </r>
  <r>
    <x v="1"/>
    <s v="5013 - EDUCACAO SUPERIOR - GRADUACAO, POS-GRADUACAO, ENSINO, PESQUISA E EXTENSAO"/>
    <x v="396"/>
    <n v="248800839.78"/>
    <n v="291801387.74000001"/>
    <n v="94809578.730000004"/>
  </r>
  <r>
    <x v="1"/>
    <s v="5011 - EDUCACAO BASICA DE QUALIDADE"/>
    <x v="188"/>
    <n v="3810379042.5599999"/>
    <n v="368897850.38999999"/>
    <n v="368897850.38999999"/>
  </r>
  <r>
    <x v="1"/>
    <s v="5014 - ESTATISTICAS E AVALIACOES EDUCACIONAIS"/>
    <x v="707"/>
    <n v="5156378.71"/>
    <n v="181340.35"/>
    <n v="172400.35"/>
  </r>
  <r>
    <x v="1"/>
    <s v="0032 - PROGRAMA DE GESTAO E MANUTENCAO DO PODER EXECUTIVO"/>
    <x v="791"/>
    <n v="1748206466.5"/>
    <n v="5689576290.1999998"/>
    <n v="5553718986.21"/>
  </r>
  <r>
    <x v="1"/>
    <s v="6012 - DEFESA NACIONAL"/>
    <x v="758"/>
    <n v="4746275.7300000004"/>
    <n v="654075.18000000005"/>
    <n v="282336.59999999998"/>
  </r>
  <r>
    <x v="1"/>
    <s v="6011 - COOPERACAO COM O DESENVOLVIMENTO NACIONAL"/>
    <x v="662"/>
    <n v="139073.87"/>
    <n v="104936.7"/>
    <n v="60063.37"/>
  </r>
  <r>
    <x v="1"/>
    <s v="5012 - EDUCACAO PROFISSIONAL E TECNOLOGICA"/>
    <x v="526"/>
    <n v="0"/>
    <n v="0"/>
    <n v="0"/>
  </r>
  <r>
    <x v="1"/>
    <s v="0032 - PROGRAMA DE GESTAO E MANUTENCAO DO PODER EXECUTIVO"/>
    <x v="114"/>
    <n v="356944155.62"/>
    <n v="327172263.30000001"/>
    <n v="269002135.32999998"/>
  </r>
  <r>
    <x v="1"/>
    <s v="5023 - VIGILANCIA EM SAUDE"/>
    <x v="207"/>
    <n v="1584317234.1400001"/>
    <n v="98540873.150000006"/>
    <n v="97347012.890000001"/>
  </r>
  <r>
    <x v="1"/>
    <s v="5015 - JUSTICA"/>
    <x v="690"/>
    <n v="699818.17"/>
    <n v="452943.97"/>
    <n v="356940.22"/>
  </r>
  <r>
    <x v="1"/>
    <s v="5012 - EDUCACAO PROFISSIONAL E TECNOLOGICA"/>
    <x v="365"/>
    <n v="117334831.15000001"/>
    <n v="55378619.329999998"/>
    <n v="25881759.760000002"/>
  </r>
  <r>
    <x v="1"/>
    <s v="6012 - DEFESA NACIONAL"/>
    <x v="525"/>
    <n v="266206.74"/>
    <n v="0"/>
    <n v="0"/>
  </r>
  <r>
    <x v="1"/>
    <s v="5021 - GESTAO E ORGANIZACAO DO SUS"/>
    <x v="157"/>
    <n v="54666.3"/>
    <n v="4118.6000000000004"/>
    <n v="4118.6000000000004"/>
  </r>
  <r>
    <x v="1"/>
    <s v="6012 - DEFESA NACIONAL"/>
    <x v="739"/>
    <n v="2292593.52"/>
    <n v="94374.13"/>
    <n v="45225.53"/>
  </r>
  <r>
    <x v="1"/>
    <s v="2203 - PESQUISA E INOVACAO AGROPECUARIA"/>
    <x v="270"/>
    <n v="14436333.609999999"/>
    <n v="7337575.0499999998"/>
    <n v="7355381.5499999998"/>
  </r>
  <r>
    <x v="1"/>
    <s v="5033 - SEGURANCA ALIMENTAR E NUTRICIONAL"/>
    <x v="792"/>
    <n v="1001069.45"/>
    <n v="64674.31"/>
    <n v="64674.31"/>
  </r>
  <r>
    <x v="1"/>
    <s v="5013 - EDUCACAO SUPERIOR - GRADUACAO, POS-GRADUACAO, ENSINO, PESQUISA E EXTENSAO"/>
    <x v="184"/>
    <n v="124100.01"/>
    <n v="0"/>
    <n v="0"/>
  </r>
  <r>
    <x v="1"/>
    <s v="6012 - DEFESA NACIONAL"/>
    <x v="717"/>
    <n v="1357554.36"/>
    <n v="124631"/>
    <n v="144180.07999999999"/>
  </r>
  <r>
    <x v="1"/>
    <s v="2212 - MELHORIA DO AMBIENTE DE NEGOCIOS E DA PRODUTIVIDADE"/>
    <x v="927"/>
    <n v="0"/>
    <n v="0"/>
    <n v="0"/>
  </r>
  <r>
    <x v="1"/>
    <s v="6012 - DEFESA NACIONAL"/>
    <x v="773"/>
    <n v="5802253.5700000003"/>
    <n v="480777.84"/>
    <n v="319067.74"/>
  </r>
  <r>
    <x v="1"/>
    <s v="0032 - PROGRAMA DE GESTAO E MANUTENCAO DO PODER EXECUTIVO"/>
    <x v="570"/>
    <n v="11993673.26"/>
    <n v="4351656.1900000004"/>
    <n v="3823869.91"/>
  </r>
  <r>
    <x v="1"/>
    <s v="6012 - DEFESA NACIONAL"/>
    <x v="788"/>
    <n v="27237768.949999999"/>
    <n v="33198797.059999999"/>
    <n v="48357604.609999999"/>
  </r>
  <r>
    <x v="1"/>
    <s v="5034 - PROTECAO A VIDA, FORTALECIMENTO DA FAMILIA, PROMOCAO E DEFESA DOS DIREITOS HUMANOS PARA TODOS"/>
    <x v="700"/>
    <n v="195683"/>
    <n v="8267.69"/>
    <n v="2324.16"/>
  </r>
  <r>
    <x v="1"/>
    <s v="0032 - PROGRAMA DE GESTAO E MANUTENCAO DO PODER EXECUTIVO"/>
    <x v="628"/>
    <n v="527989287.66000003"/>
    <n v="1164798777.6500001"/>
    <n v="1083002290.1400001"/>
  </r>
  <r>
    <x v="1"/>
    <s v="5019 - ATENCAO PRIMARIA A SAUDE"/>
    <x v="261"/>
    <n v="1518411811.4400001"/>
    <n v="1533530644.6199999"/>
    <n v="1533549894.6199999"/>
  </r>
  <r>
    <x v="1"/>
    <s v="0032 - PROGRAMA DE GESTAO E MANUTENCAO DO PODER EXECUTIVO"/>
    <x v="52"/>
    <n v="1173404268.73"/>
    <n v="290970475.60000002"/>
    <n v="239473538.38999999"/>
  </r>
  <r>
    <x v="1"/>
    <s v="0032 - PROGRAMA DE GESTAO E MANUTENCAO DO PODER EXECUTIVO"/>
    <x v="782"/>
    <n v="2875732237"/>
    <n v="7433545339.75"/>
    <n v="7445039460.46"/>
  </r>
  <r>
    <x v="1"/>
    <s v="0032 - PROGRAMA DE GESTAO E MANUTENCAO DO PODER EXECUTIVO"/>
    <x v="40"/>
    <n v="3255434.82"/>
    <n v="566552.56000000006"/>
    <n v="446642.32"/>
  </r>
  <r>
    <x v="1"/>
    <s v="5012 - EDUCACAO PROFISSIONAL E TECNOLOGICA"/>
    <x v="759"/>
    <n v="1250603.04"/>
    <n v="364348.27"/>
    <n v="189112.73"/>
  </r>
  <r>
    <x v="1"/>
    <s v="5013 - EDUCACAO SUPERIOR - GRADUACAO, POS-GRADUACAO, ENSINO, PESQUISA E EXTENSAO"/>
    <x v="769"/>
    <n v="333827403.99000001"/>
    <n v="173047185.28"/>
    <n v="120488378.5"/>
  </r>
  <r>
    <x v="1"/>
    <s v="2216 - POLITICA EXTERNA"/>
    <x v="732"/>
    <n v="3314378.38"/>
    <n v="2778575.21"/>
    <n v="2760205.73"/>
  </r>
  <r>
    <x v="1"/>
    <s v="0032 - PROGRAMA DE GESTAO E MANUTENCAO DO PODER EXECUTIVO"/>
    <x v="770"/>
    <n v="48382276.619999997"/>
    <n v="43698009.350000001"/>
    <n v="43665225.079999998"/>
  </r>
  <r>
    <x v="1"/>
    <s v="3001 - ENERGIA ELETRICA"/>
    <x v="304"/>
    <n v="-3608584"/>
    <n v="602.73"/>
    <n v="602.73"/>
  </r>
  <r>
    <x v="1"/>
    <s v="1031 - AGROPECUARIA SUSTENTAVEL"/>
    <x v="756"/>
    <n v="649057.9"/>
    <n v="200114.05"/>
    <n v="205855.61"/>
  </r>
  <r>
    <x v="1"/>
    <s v="5012 - EDUCACAO PROFISSIONAL E TECNOLOGICA"/>
    <x v="634"/>
    <n v="0"/>
    <n v="0"/>
    <n v="0"/>
  </r>
  <r>
    <x v="1"/>
    <s v="5012 - EDUCACAO PROFISSIONAL E TECNOLOGICA"/>
    <x v="454"/>
    <n v="28343993.559999999"/>
    <n v="10157805.109999999"/>
    <n v="4386891.4000000004"/>
  </r>
  <r>
    <x v="1"/>
    <s v="0032 - PROGRAMA DE GESTAO E MANUTENCAO DO PODER EXECUTIVO"/>
    <x v="796"/>
    <n v="401050539.63"/>
    <n v="528656600.17000002"/>
    <n v="525293945.64999998"/>
  </r>
  <r>
    <x v="2"/>
    <s v="2110 - PROGRAMA DE GESTAO E MANUTENCAO DO MINISTERIO DA ECONOMIA"/>
    <x v="575"/>
    <n v="0"/>
    <n v="0"/>
    <n v="0"/>
  </r>
  <r>
    <x v="2"/>
    <s v="3006 - TRANSPORTE TERRESTRE E TRANSITO"/>
    <x v="853"/>
    <n v="0"/>
    <n v="0"/>
    <n v="0"/>
  </r>
  <r>
    <x v="2"/>
    <s v="0910 - OPERACOES ESPECIAIS: GESTAO DA PARTICIPACAO EM ORGANISMOS E ENTIDADES NACIONAIS E INTERNACIONAIS"/>
    <x v="928"/>
    <n v="0"/>
    <n v="0"/>
    <n v="0"/>
  </r>
  <r>
    <x v="2"/>
    <s v="3006 - TRANSPORTE TERRESTRE E TRANSITO"/>
    <x v="216"/>
    <n v="340000"/>
    <n v="-166283.6"/>
    <n v="-166283.6"/>
  </r>
  <r>
    <x v="2"/>
    <s v="2037 - CONSOLIDACAO DO SISTEMA UNICO DE ASSISTENCIA SOCIAL (SUAS)"/>
    <x v="463"/>
    <n v="0"/>
    <n v="0"/>
    <n v="0"/>
  </r>
  <r>
    <x v="2"/>
    <s v="0032 - PROGRAMA DE GESTAO E MANUTENCAO DO PODER EXECUTIVO"/>
    <x v="143"/>
    <n v="0"/>
    <n v="0"/>
    <n v="0"/>
  </r>
  <r>
    <x v="2"/>
    <s v="0032 - PROGRAMA DE GESTAO E MANUTENCAO DO PODER EXECUTIVO"/>
    <x v="410"/>
    <n v="0"/>
    <n v="0"/>
    <n v="0"/>
  </r>
  <r>
    <x v="2"/>
    <s v="2049 - MORADIA DIGNA"/>
    <x v="319"/>
    <n v="0"/>
    <n v="0"/>
    <n v="0"/>
  </r>
  <r>
    <x v="2"/>
    <s v="3006 - TRANSPORTE TERRESTRE E TRANSITO"/>
    <x v="392"/>
    <n v="627000"/>
    <n v="541985.07999999996"/>
    <n v="541985.07999999996"/>
  </r>
  <r>
    <x v="2"/>
    <s v="3002 - GEOLOGIA, MINERACAO E TRANSFORMACAO MINERAL"/>
    <x v="877"/>
    <n v="-3685284.18"/>
    <n v="804908.37"/>
    <n v="804908.37"/>
  </r>
  <r>
    <x v="2"/>
    <s v="3006 - TRANSPORTE TERRESTRE E TRANSITO"/>
    <x v="120"/>
    <n v="0"/>
    <n v="0"/>
    <n v="0"/>
  </r>
  <r>
    <x v="2"/>
    <s v="2037 - CONSOLIDACAO DO SISTEMA UNICO DE ASSISTENCIA SOCIAL (SUAS)"/>
    <x v="41"/>
    <n v="0"/>
    <n v="0"/>
    <n v="0"/>
  </r>
  <r>
    <x v="2"/>
    <s v="2204 - BRASIL NA FRONTEIRA DO CONHECIMENTO"/>
    <x v="23"/>
    <n v="0"/>
    <n v="0"/>
    <n v="0"/>
  </r>
  <r>
    <x v="2"/>
    <s v="3006 - TRANSPORTE TERRESTRE E TRANSITO"/>
    <x v="871"/>
    <n v="220000"/>
    <n v="0"/>
    <n v="0"/>
  </r>
  <r>
    <x v="2"/>
    <s v="2021 - CIENCIA, TECNOLOGIA E INOVACAO"/>
    <x v="674"/>
    <n v="0"/>
    <n v="0"/>
    <n v="0"/>
  </r>
  <r>
    <x v="2"/>
    <s v="2216 - POLITICA EXTERNA"/>
    <x v="230"/>
    <n v="0"/>
    <n v="0"/>
    <n v="0"/>
  </r>
  <r>
    <x v="2"/>
    <s v="5018 - ATENCAO ESPECIALIZADA A SAUDE"/>
    <x v="186"/>
    <n v="108333333.33"/>
    <n v="108333333.33"/>
    <n v="108333333.33"/>
  </r>
  <r>
    <x v="2"/>
    <s v="0031 - PROGRAMA DE GESTAO E MANUTENCAO DO MINISTERIO PUBLICO"/>
    <x v="799"/>
    <n v="0"/>
    <n v="0"/>
    <n v="0"/>
  </r>
  <r>
    <x v="2"/>
    <s v="2068 - SANEAMENTO BASICO"/>
    <x v="206"/>
    <n v="0"/>
    <n v="0"/>
    <n v="0"/>
  </r>
  <r>
    <x v="2"/>
    <s v="5018 - ATENCAO ESPECIALIZADA A SAUDE"/>
    <x v="202"/>
    <n v="7824049"/>
    <n v="8555319.5"/>
    <n v="8492960.1400000006"/>
  </r>
  <r>
    <x v="2"/>
    <s v="2222 - SANEAMENTO BASICO"/>
    <x v="444"/>
    <n v="0"/>
    <n v="0"/>
    <n v="0"/>
  </r>
  <r>
    <x v="2"/>
    <s v="0909 - OPERACOES ESPECIAIS: OUTROS ENCARGOS ESPECIAIS"/>
    <x v="18"/>
    <n v="23683607.129999999"/>
    <n v="23683607.129999999"/>
    <n v="23683607.129999999"/>
  </r>
  <r>
    <x v="2"/>
    <s v="3006 - TRANSPORTE TERRESTRE E TRANSITO"/>
    <x v="355"/>
    <n v="1480000"/>
    <n v="16654.849999999999"/>
    <n v="16654.849999999999"/>
  </r>
  <r>
    <x v="2"/>
    <s v="0030 - PROGRAMA DE GESTAO E MANUTENCAO DA DEFENSORIA PUBLICA DA UNIAO"/>
    <x v="131"/>
    <n v="0"/>
    <n v="973.94"/>
    <n v="973.94"/>
  </r>
  <r>
    <x v="2"/>
    <s v="5025 - CULTURA"/>
    <x v="37"/>
    <n v="24500587"/>
    <n v="0"/>
    <n v="0"/>
  </r>
  <r>
    <x v="2"/>
    <s v="1031 - AGROPECUARIA SUSTENTAVEL"/>
    <x v="15"/>
    <n v="120000"/>
    <n v="176702382.30000001"/>
    <n v="176702382.30000001"/>
  </r>
  <r>
    <x v="2"/>
    <s v="5021 - GESTAO E ORGANIZACAO DO SUS"/>
    <x v="165"/>
    <n v="1238122.1000000001"/>
    <n v="3060617.94"/>
    <n v="3730941.13"/>
  </r>
  <r>
    <x v="2"/>
    <s v="0032 - PROGRAMA DE GESTAO E MANUTENCAO DO PODER EXECUTIVO"/>
    <x v="552"/>
    <n v="0"/>
    <n v="0"/>
    <n v="0"/>
  </r>
  <r>
    <x v="2"/>
    <s v="1031 - AGROPECUARIA SUSTENTAVEL"/>
    <x v="824"/>
    <n v="0"/>
    <n v="0"/>
    <n v="0"/>
  </r>
  <r>
    <x v="2"/>
    <s v="0909 - OPERACOES ESPECIAIS: OUTROS ENCARGOS ESPECIAIS"/>
    <x v="896"/>
    <n v="6911036.1200000001"/>
    <n v="6911036.1200000001"/>
    <n v="6911036.1200000001"/>
  </r>
  <r>
    <x v="2"/>
    <s v="5013 - EDUCACAO SUPERIOR - GRADUACAO, POS-GRADUACAO, ENSINO, PESQUISA E EXTENSAO"/>
    <x v="258"/>
    <n v="0"/>
    <n v="0"/>
    <n v="0"/>
  </r>
  <r>
    <x v="2"/>
    <s v="5011 - EDUCACAO BASICA DE QUALIDADE"/>
    <x v="929"/>
    <n v="43301696.939999998"/>
    <n v="38121567.799999997"/>
    <n v="38121567.799999997"/>
  </r>
  <r>
    <x v="2"/>
    <s v="3006 - TRANSPORTE TERRESTRE E TRANSITO"/>
    <x v="930"/>
    <n v="11650000"/>
    <n v="0"/>
    <n v="0"/>
  </r>
  <r>
    <x v="2"/>
    <s v="1058 - MUDANCA DO CLIMA"/>
    <x v="931"/>
    <n v="112500"/>
    <n v="1178.72"/>
    <n v="1178.72"/>
  </r>
  <r>
    <x v="2"/>
    <s v="0032 - PROGRAMA DE GESTAO E MANUTENCAO DO PODER EXECUTIVO"/>
    <x v="17"/>
    <n v="1561694.49"/>
    <n v="2523542.6800000002"/>
    <n v="2416286.5499999998"/>
  </r>
  <r>
    <x v="2"/>
    <s v="2108 - PROGRAMA DE GESTAO E MANUTENCAO DO MINISTERIO DA DEFESA"/>
    <x v="52"/>
    <n v="0"/>
    <n v="0"/>
    <n v="0"/>
  </r>
  <r>
    <x v="2"/>
    <s v="0910 - OPERACOES ESPECIAIS: GESTAO DA PARTICIPACAO EM ORGANISMOS E ENTIDADES NACIONAIS E INTERNACIONAIS"/>
    <x v="932"/>
    <n v="4568119"/>
    <n v="264503.78000000003"/>
    <n v="264503.78000000003"/>
  </r>
  <r>
    <x v="2"/>
    <s v="0032 - PROGRAMA DE GESTAO E MANUTENCAO DO PODER EXECUTIVO"/>
    <x v="933"/>
    <n v="5000000"/>
    <n v="844485.24"/>
    <n v="0"/>
  </r>
  <r>
    <x v="2"/>
    <s v="3006 - TRANSPORTE TERRESTRE E TRANSITO"/>
    <x v="485"/>
    <n v="0"/>
    <n v="0"/>
    <n v="0"/>
  </r>
  <r>
    <x v="2"/>
    <s v="5031 - PROTECAO SOCIAL NO AMBITO DO SISTEMA UNICO DE ASSISTENCIA SOCIAL (SUAS)"/>
    <x v="603"/>
    <n v="0"/>
    <n v="0"/>
    <n v="0"/>
  </r>
  <r>
    <x v="2"/>
    <s v="5016 - SEGURANCA PUBLICA, COMBATE A CORRUPCAO, AO CRIME ORGANIZADO E AO CRIME VIOLENTO"/>
    <x v="934"/>
    <n v="0"/>
    <n v="0"/>
    <n v="0"/>
  </r>
  <r>
    <x v="2"/>
    <s v="3006 - TRANSPORTE TERRESTRE E TRANSITO"/>
    <x v="935"/>
    <n v="0"/>
    <n v="0"/>
    <n v="0"/>
  </r>
  <r>
    <x v="2"/>
    <s v="0903 - OPERACOES ESPECIAIS: TRANSFERENCIAS CONSTITUCIONAIS E AS DECORRENTES DE LEGISLACAO ESPECIFICA"/>
    <x v="623"/>
    <n v="57152697.539999999"/>
    <n v="57150156.340000004"/>
    <n v="57765388.719999999"/>
  </r>
  <r>
    <x v="2"/>
    <s v="2216 - POLITICA EXTERNA"/>
    <x v="849"/>
    <n v="0"/>
    <n v="231384"/>
    <n v="116314"/>
  </r>
  <r>
    <x v="2"/>
    <s v="3001 - ENERGIA ELETRICA"/>
    <x v="106"/>
    <n v="-128416"/>
    <n v="247939.11"/>
    <n v="216124.75"/>
  </r>
  <r>
    <x v="2"/>
    <s v="5013 - EDUCACAO SUPERIOR - GRADUACAO, POS-GRADUACAO, ENSINO, PESQUISA E EXTENSAO"/>
    <x v="95"/>
    <n v="0"/>
    <n v="0"/>
    <n v="0"/>
  </r>
  <r>
    <x v="2"/>
    <s v="5017 - ASSISTENCIA FARMACEUTICA NO SUS"/>
    <x v="735"/>
    <n v="210860824.27000001"/>
    <n v="204546408.63"/>
    <n v="139107408.63"/>
  </r>
  <r>
    <x v="2"/>
    <s v="0032 - PROGRAMA DE GESTAO E MANUTENCAO DO PODER EXECUTIVO"/>
    <x v="802"/>
    <n v="0"/>
    <n v="246583.79"/>
    <n v="249961.17"/>
  </r>
  <r>
    <x v="2"/>
    <s v="2068 - SANEAMENTO BASICO"/>
    <x v="936"/>
    <n v="0"/>
    <n v="0"/>
    <n v="0"/>
  </r>
  <r>
    <x v="2"/>
    <s v="0903 - OPERACOES ESPECIAIS: TRANSFERENCIAS CONSTITUCIONAIS E AS DECORRENTES DE LEGISLACAO ESPECIFICA"/>
    <x v="233"/>
    <n v="0"/>
    <n v="1426133265.0999999"/>
    <n v="1426133265.0999999"/>
  </r>
  <r>
    <x v="2"/>
    <s v="2111 - PROGRAMA DE GESTAO E MANUTENCAO DO MINISTERIO DO DESENVOLVIMENTO REGIONAL"/>
    <x v="52"/>
    <n v="0"/>
    <n v="0"/>
    <n v="0"/>
  </r>
  <r>
    <x v="2"/>
    <s v="1041 - CONSERVACAO E USO SUSTENTAVEL DA BIODIVERSIDADE E DOS RECURSOS NATURAIS"/>
    <x v="718"/>
    <n v="0"/>
    <n v="12497.58"/>
    <n v="12497.58"/>
  </r>
  <r>
    <x v="2"/>
    <s v="6012 - DEFESA NACIONAL"/>
    <x v="445"/>
    <n v="0"/>
    <n v="0"/>
    <n v="0"/>
  </r>
  <r>
    <x v="2"/>
    <s v="0902 - OPERACOES ESPECIAIS: FINANCIAMENTOS COM RETORNO"/>
    <x v="390"/>
    <n v="250000"/>
    <n v="210000"/>
    <n v="210000"/>
  </r>
  <r>
    <x v="2"/>
    <s v="2208 - TECNOLOGIAS APLICADAS, INOVACAO E DESENVOLVIMENTO SUSTENTAVEL"/>
    <x v="191"/>
    <n v="-87364.95"/>
    <n v="1723468.35"/>
    <n v="1694144.26"/>
  </r>
  <r>
    <x v="2"/>
    <s v="3006 - TRANSPORTE TERRESTRE E TRANSITO"/>
    <x v="263"/>
    <n v="3008794"/>
    <n v="0"/>
    <n v="0"/>
  </r>
  <r>
    <x v="2"/>
    <s v="2221 - RECURSOS HIDRICOS"/>
    <x v="167"/>
    <n v="6000000"/>
    <n v="1839299.39"/>
    <n v="15744.42"/>
  </r>
  <r>
    <x v="2"/>
    <s v="2208 - TECNOLOGIAS APLICADAS, INOVACAO E DESENVOLVIMENTO SUSTENTAVEL"/>
    <x v="823"/>
    <n v="0"/>
    <n v="0"/>
    <n v="0"/>
  </r>
  <r>
    <x v="2"/>
    <s v="2058 - DEFESA NACIONAL"/>
    <x v="25"/>
    <n v="0"/>
    <n v="0"/>
    <n v="0"/>
  </r>
  <r>
    <x v="2"/>
    <s v="2079 - DESENVOLVIMENTO DA INDUSTRIA, COMERCIO E SERVICOS"/>
    <x v="887"/>
    <n v="0"/>
    <n v="0"/>
    <n v="0"/>
  </r>
  <r>
    <x v="2"/>
    <s v="1031 - AGROPECUARIA SUSTENTAVEL"/>
    <x v="77"/>
    <n v="0"/>
    <n v="0"/>
    <n v="0"/>
  </r>
  <r>
    <x v="2"/>
    <s v="0910 - OPERACOES ESPECIAIS: GESTAO DA PARTICIPACAO EM ORGANISMOS E ENTIDADES NACIONAIS E INTERNACIONAIS"/>
    <x v="937"/>
    <n v="4339390"/>
    <n v="160530.62"/>
    <n v="160530.62"/>
  </r>
  <r>
    <x v="2"/>
    <s v="4002 - SEGURANCA INSTITUCIONAL"/>
    <x v="431"/>
    <n v="2025.66"/>
    <n v="4894.1899999999996"/>
    <n v="4894.1899999999996"/>
  </r>
  <r>
    <x v="2"/>
    <s v="2208 - TECNOLOGIAS APLICADAS, INOVACAO E DESENVOLVIMENTO SUSTENTAVEL"/>
    <x v="891"/>
    <n v="0"/>
    <n v="0"/>
    <n v="0"/>
  </r>
  <r>
    <x v="2"/>
    <s v="2080 - EDUCACAO DE QUALIDADE PARA TODOS"/>
    <x v="784"/>
    <n v="0"/>
    <n v="0"/>
    <n v="0"/>
  </r>
  <r>
    <x v="2"/>
    <s v="3006 - TRANSPORTE TERRESTRE E TRANSITO"/>
    <x v="497"/>
    <n v="250000"/>
    <n v="446678.43"/>
    <n v="446678.43"/>
  </r>
  <r>
    <x v="2"/>
    <s v="5021 - GESTAO E ORGANIZACAO DO SUS"/>
    <x v="245"/>
    <n v="0"/>
    <n v="0"/>
    <n v="800000"/>
  </r>
  <r>
    <x v="2"/>
    <s v="0909 - OPERACOES ESPECIAIS: OUTROS ENCARGOS ESPECIAIS"/>
    <x v="821"/>
    <n v="6984901.4500000002"/>
    <n v="6984901.4500000002"/>
    <n v="6984901.4500000002"/>
  </r>
  <r>
    <x v="2"/>
    <s v="3001 - ENERGIA ELETRICA"/>
    <x v="915"/>
    <n v="0"/>
    <n v="2832.91"/>
    <n v="2832.91"/>
  </r>
  <r>
    <x v="2"/>
    <s v="0032 - PROGRAMA DE GESTAO E MANUTENCAO DO PODER EXECUTIVO"/>
    <x v="78"/>
    <n v="430914.84"/>
    <n v="430914.84"/>
    <n v="430918.44"/>
  </r>
  <r>
    <x v="2"/>
    <s v="2081 - JUSTICA, CIDADANIA E SEGURANCA PUBLICA"/>
    <x v="308"/>
    <n v="0"/>
    <n v="0"/>
    <n v="0"/>
  </r>
  <r>
    <x v="2"/>
    <s v="3006 - TRANSPORTE TERRESTRE E TRANSITO"/>
    <x v="241"/>
    <n v="40000000"/>
    <n v="3414619.06"/>
    <n v="3477890.55"/>
  </r>
  <r>
    <x v="2"/>
    <s v="2015 - FORTALECIMENTO DO SISTEMA UNICO DE SAUDE (SUS)"/>
    <x v="479"/>
    <n v="0"/>
    <n v="0"/>
    <n v="0"/>
  </r>
  <r>
    <x v="2"/>
    <s v="2204 - BRASIL NA FRONTEIRA DO CONHECIMENTO"/>
    <x v="11"/>
    <n v="0"/>
    <n v="0"/>
    <n v="0"/>
  </r>
  <r>
    <x v="2"/>
    <s v="3006 - TRANSPORTE TERRESTRE E TRANSITO"/>
    <x v="938"/>
    <n v="0"/>
    <n v="0"/>
    <n v="0"/>
  </r>
  <r>
    <x v="2"/>
    <s v="3006 - TRANSPORTE TERRESTRE E TRANSITO"/>
    <x v="832"/>
    <n v="0"/>
    <n v="0"/>
    <n v="0"/>
  </r>
  <r>
    <x v="2"/>
    <s v="0903 - OPERACOES ESPECIAIS: TRANSFERENCIAS CONSTITUCIONAIS E AS DECORRENTES DE LEGISLACAO ESPECIFICA"/>
    <x v="43"/>
    <n v="0"/>
    <n v="9786898525.6299992"/>
    <n v="9786898525.6299992"/>
  </r>
  <r>
    <x v="2"/>
    <s v="0903 - OPERACOES ESPECIAIS: TRANSFERENCIAS CONSTITUCIONAIS E AS DECORRENTES DE LEGISLACAO ESPECIFICA"/>
    <x v="135"/>
    <n v="0"/>
    <n v="140474616.33000001"/>
    <n v="140474616.33000001"/>
  </r>
  <r>
    <x v="2"/>
    <s v="2217 - DESENVOLVIMENTO REGIONAL, TERRITORIAL E URBANO"/>
    <x v="287"/>
    <n v="8000"/>
    <n v="5857.67"/>
    <n v="1239.25"/>
  </r>
  <r>
    <x v="2"/>
    <s v="0910 - OPERACOES ESPECIAIS: GESTAO DA PARTICIPACAO EM ORGANISMOS E ENTIDADES NACIONAIS E INTERNACIONAIS"/>
    <x v="939"/>
    <n v="0"/>
    <n v="0"/>
    <n v="0"/>
  </r>
  <r>
    <x v="2"/>
    <s v="1031 - AGROPECUARIA SUSTENTAVEL"/>
    <x v="93"/>
    <n v="0"/>
    <n v="431605.22"/>
    <n v="431605.22"/>
  </r>
  <r>
    <x v="2"/>
    <s v="5031 - PROTECAO SOCIAL NO AMBITO DO SISTEMA UNICO DE ASSISTENCIA SOCIAL (SUAS)"/>
    <x v="377"/>
    <n v="313236476.44"/>
    <n v="312128655.62"/>
    <n v="312128655.62"/>
  </r>
  <r>
    <x v="2"/>
    <s v="2208 - TECNOLOGIAS APLICADAS, INOVACAO E DESENVOLVIMENTO SUSTENTAVEL"/>
    <x v="916"/>
    <n v="0"/>
    <n v="0"/>
    <n v="0"/>
  </r>
  <r>
    <x v="2"/>
    <s v="6015 - EDUCACAO INFANTIL"/>
    <x v="923"/>
    <n v="80586846.969999999"/>
    <n v="69635788.469999999"/>
    <n v="69253822.730000004"/>
  </r>
  <r>
    <x v="2"/>
    <s v="5011 - EDUCACAO BASICA DE QUALIDADE"/>
    <x v="386"/>
    <n v="114984325.19"/>
    <n v="102814910.72"/>
    <n v="102309441.56999999"/>
  </r>
  <r>
    <x v="2"/>
    <s v="5035 - PROMOCAO DE CIDADANIA POR MEIO DO AUXILIO BRASIL E DA ARTICULACAO DE POLITICAS PUBLICAS"/>
    <x v="921"/>
    <n v="0"/>
    <n v="0"/>
    <n v="0"/>
  </r>
  <r>
    <x v="2"/>
    <s v="0032 - PROGRAMA DE GESTAO E MANUTENCAO DO PODER EXECUTIVO"/>
    <x v="731"/>
    <n v="0"/>
    <n v="0"/>
    <n v="0"/>
  </r>
  <r>
    <x v="2"/>
    <s v="6012 - DEFESA NACIONAL"/>
    <x v="257"/>
    <n v="0"/>
    <n v="0"/>
    <n v="0"/>
  </r>
  <r>
    <x v="2"/>
    <s v="2040 - GESTAO DE RISCOS E DE DESASTRES"/>
    <x v="342"/>
    <n v="0"/>
    <n v="0"/>
    <n v="0"/>
  </r>
  <r>
    <x v="2"/>
    <s v="2027 - CULTURA: DIMENSAO ESSENCIAL DO DESENVOLVIMENTO"/>
    <x v="271"/>
    <n v="0"/>
    <n v="0"/>
    <n v="0"/>
  </r>
  <r>
    <x v="2"/>
    <s v="2058 - DEFESA NACIONAL"/>
    <x v="378"/>
    <n v="0"/>
    <n v="0"/>
    <n v="0"/>
  </r>
  <r>
    <x v="2"/>
    <s v="2054 - PLANEJAMENTO URBANO"/>
    <x v="545"/>
    <n v="0"/>
    <n v="0"/>
    <n v="0"/>
  </r>
  <r>
    <x v="2"/>
    <s v="6011 - COOPERACAO COM O DESENVOLVIMENTO NACIONAL"/>
    <x v="373"/>
    <n v="0"/>
    <n v="0"/>
    <n v="0"/>
  </r>
  <r>
    <x v="2"/>
    <s v="5017 - ASSISTENCIA FARMACEUTICA NO SUS"/>
    <x v="124"/>
    <n v="41910107.740000002"/>
    <n v="43269332.229999997"/>
    <n v="43269332.229999997"/>
  </r>
  <r>
    <x v="2"/>
    <s v="2204 - BRASIL NA FRONTEIRA DO CONHECIMENTO"/>
    <x v="117"/>
    <n v="0"/>
    <n v="0"/>
    <n v="0"/>
  </r>
  <r>
    <x v="2"/>
    <s v="0910 - OPERACOES ESPECIAIS: GESTAO DA PARTICIPACAO EM ORGANISMOS E ENTIDADES NACIONAIS E INTERNACIONAIS"/>
    <x v="940"/>
    <n v="8500000"/>
    <n v="8500000"/>
    <n v="0"/>
  </r>
  <r>
    <x v="2"/>
    <s v="0151 - PROTECAO DE TERRAS INDIGENAS, GESTAO TERRITORIAL E ETNODESENVOLVIMENTO"/>
    <x v="558"/>
    <n v="0"/>
    <n v="0"/>
    <n v="0"/>
  </r>
  <r>
    <x v="2"/>
    <s v="0910 - OPERACOES ESPECIAIS: GESTAO DA PARTICIPACAO EM ORGANISMOS E ENTIDADES NACIONAIS E INTERNACIONAIS"/>
    <x v="941"/>
    <n v="0"/>
    <n v="0"/>
    <n v="0"/>
  </r>
  <r>
    <x v="2"/>
    <s v="6012 - DEFESA NACIONAL"/>
    <x v="920"/>
    <n v="254545.86"/>
    <n v="75247.5"/>
    <n v="149033"/>
  </r>
  <r>
    <x v="2"/>
    <s v="0910 - OPERACOES ESPECIAIS: GESTAO DA PARTICIPACAO EM ORGANISMOS E ENTIDADES NACIONAIS E INTERNACIONAIS"/>
    <x v="942"/>
    <n v="63000"/>
    <n v="58944.67"/>
    <n v="58944.67"/>
  </r>
  <r>
    <x v="2"/>
    <s v="5020 - DESENVOLVIMENTO CIENTIFICO, TECNOLOGICO E PRODUTIVO EM SAUDE"/>
    <x v="4"/>
    <n v="578779.57999999996"/>
    <n v="578779.57999999996"/>
    <n v="482894.1"/>
  </r>
  <r>
    <x v="2"/>
    <s v="2213 - MODERNIZACAO TRABALHISTA E TRABALHO DIGNO"/>
    <x v="159"/>
    <n v="20236.63"/>
    <n v="85236.5"/>
    <n v="86568.73"/>
  </r>
  <r>
    <x v="2"/>
    <s v="0909 - OPERACOES ESPECIAIS: OUTROS ENCARGOS ESPECIAIS"/>
    <x v="943"/>
    <n v="29603.16"/>
    <n v="29603.16"/>
    <n v="29603.16"/>
  </r>
  <r>
    <x v="2"/>
    <s v="2058 - DEFESA NACIONAL"/>
    <x v="134"/>
    <n v="0"/>
    <n v="0"/>
    <n v="0"/>
  </r>
  <r>
    <x v="2"/>
    <s v="3006 - TRANSPORTE TERRESTRE E TRANSITO"/>
    <x v="844"/>
    <n v="0"/>
    <n v="0"/>
    <n v="0"/>
  </r>
  <r>
    <x v="2"/>
    <s v="2217 - DESENVOLVIMENTO REGIONAL, TERRITORIAL E URBANO"/>
    <x v="944"/>
    <n v="0"/>
    <n v="0"/>
    <n v="0"/>
  </r>
  <r>
    <x v="2"/>
    <s v="0032 - PROGRAMA DE GESTAO E MANUTENCAO DO PODER EXECUTIVO"/>
    <x v="945"/>
    <n v="749802.78"/>
    <n v="0"/>
    <n v="0"/>
  </r>
  <r>
    <x v="2"/>
    <s v="2217 - DESENVOLVIMENTO REGIONAL, TERRITORIAL E URBANO"/>
    <x v="222"/>
    <n v="20000"/>
    <n v="142.19999999999999"/>
    <n v="142.19999999999999"/>
  </r>
  <r>
    <x v="2"/>
    <s v="0905 - OPERACOES ESPECIAIS: SERVICO DA DIVIDA INTERNA (JUROS EAMORTIZACOES)"/>
    <x v="347"/>
    <n v="-2949513.5"/>
    <n v="5603140.9100000001"/>
    <n v="5603140.9100000001"/>
  </r>
  <r>
    <x v="2"/>
    <s v="5028 - INCLUSAO SOCIAL POR MEIO DO BOLSA FAMILIA E DA ARTICULACAO DE POLITICAS PUBLICAS"/>
    <x v="228"/>
    <n v="0"/>
    <n v="0"/>
    <n v="0"/>
  </r>
  <r>
    <x v="2"/>
    <s v="0032 - PROGRAMA DE GESTAO E MANUTENCAO DO PODER EXECUTIVO"/>
    <x v="946"/>
    <n v="2391601.31"/>
    <n v="0"/>
    <n v="0"/>
  </r>
  <r>
    <x v="2"/>
    <s v="5021 - GESTAO E ORGANIZACAO DO SUS"/>
    <x v="49"/>
    <n v="0"/>
    <n v="63980.4"/>
    <n v="0"/>
  </r>
  <r>
    <x v="2"/>
    <s v="2015 - FORTALECIMENTO DO SISTEMA UNICO DE SAUDE (SUS)"/>
    <x v="366"/>
    <n v="0"/>
    <n v="0"/>
    <n v="0"/>
  </r>
  <r>
    <x v="2"/>
    <s v="5013 - EDUCACAO SUPERIOR - GRADUACAO, POS-GRADUACAO, ENSINO, PESQUISA E EXTENSAO"/>
    <x v="408"/>
    <n v="-306454.87"/>
    <n v="35840.339999999997"/>
    <n v="58632.66"/>
  </r>
  <r>
    <x v="2"/>
    <s v="2204 - BRASIL NA FRONTEIRA DO CONHECIMENTO"/>
    <x v="29"/>
    <n v="260000"/>
    <n v="160202.39000000001"/>
    <n v="156270.21"/>
  </r>
  <r>
    <x v="2"/>
    <s v="5026 - ESPORTE"/>
    <x v="947"/>
    <n v="0"/>
    <n v="0"/>
    <n v="0"/>
  </r>
  <r>
    <x v="2"/>
    <s v="0032 - PROGRAMA DE GESTAO E MANUTENCAO DO PODER EXECUTIVO"/>
    <x v="435"/>
    <n v="49306.44"/>
    <n v="78360.009999999995"/>
    <n v="78360.009999999995"/>
  </r>
  <r>
    <x v="2"/>
    <s v="2222 - SANEAMENTO BASICO"/>
    <x v="206"/>
    <n v="0"/>
    <n v="0"/>
    <n v="0"/>
  </r>
  <r>
    <x v="2"/>
    <s v="3006 - TRANSPORTE TERRESTRE E TRANSITO"/>
    <x v="140"/>
    <n v="0"/>
    <n v="0"/>
    <n v="0"/>
  </r>
  <r>
    <x v="2"/>
    <s v="2208 - TECNOLOGIAS APLICADAS, INOVACAO E DESENVOLVIMENTO SUSTENTAVEL"/>
    <x v="373"/>
    <n v="0"/>
    <n v="0"/>
    <n v="0"/>
  </r>
  <r>
    <x v="2"/>
    <s v="3006 - TRANSPORTE TERRESTRE E TRANSITO"/>
    <x v="274"/>
    <n v="143600.85"/>
    <n v="8000"/>
    <n v="8000"/>
  </r>
  <r>
    <x v="2"/>
    <s v="5018 - ATENCAO ESPECIALIZADA A SAUDE"/>
    <x v="76"/>
    <n v="0"/>
    <n v="0"/>
    <n v="0"/>
  </r>
  <r>
    <x v="2"/>
    <s v="5016 - SEGURANCA PUBLICA, COMBATE A CORRUPCAO, AO CRIME ORGANIZADO E AO CRIME VIOLENTO"/>
    <x v="948"/>
    <n v="0"/>
    <n v="0"/>
    <n v="0"/>
  </r>
  <r>
    <x v="2"/>
    <s v="2068 - SANEAMENTO BASICO"/>
    <x v="395"/>
    <n v="0"/>
    <n v="0"/>
    <n v="0"/>
  </r>
  <r>
    <x v="2"/>
    <s v="3003 - PETROLEO, GAS, DERIVADOS E BIOCOMBUSTIVEIS"/>
    <x v="874"/>
    <n v="0"/>
    <n v="11871.69"/>
    <n v="11871.69"/>
  </r>
  <r>
    <x v="2"/>
    <s v="5034 - PROTECAO A VIDA, FORTALECIMENTO DA FAMILIA, PROMOCAO E DEFESA DOS DIREITOS HUMANOS PARA TODOS"/>
    <x v="911"/>
    <n v="5017724"/>
    <n v="0"/>
    <n v="0"/>
  </r>
  <r>
    <x v="2"/>
    <s v="2012 - FORTALECIMENTO E DINAMIZACAO DA AGRICULTURA FAMILIAR"/>
    <x v="569"/>
    <n v="0"/>
    <n v="0"/>
    <n v="0"/>
  </r>
  <r>
    <x v="2"/>
    <s v="2213 - MODERNIZACAO TRABALHISTA E TRABALHO DIGNO"/>
    <x v="353"/>
    <n v="0"/>
    <n v="0"/>
    <n v="0"/>
  </r>
  <r>
    <x v="2"/>
    <s v="2213 - MODERNIZACAO TRABALHISTA E TRABALHO DIGNO"/>
    <x v="201"/>
    <n v="3689264481"/>
    <n v="3689264481"/>
    <n v="3689264481"/>
  </r>
  <r>
    <x v="2"/>
    <s v="2221 - RECURSOS HIDRICOS"/>
    <x v="949"/>
    <n v="50000000"/>
    <n v="0"/>
    <n v="0"/>
  </r>
  <r>
    <x v="2"/>
    <s v="3006 - TRANSPORTE TERRESTRE E TRANSITO"/>
    <x v="510"/>
    <n v="0"/>
    <n v="189849.57"/>
    <n v="60764.66"/>
  </r>
  <r>
    <x v="2"/>
    <s v="0909 - OPERACOES ESPECIAIS: OUTROS ENCARGOS ESPECIAIS"/>
    <x v="950"/>
    <n v="0"/>
    <n v="0"/>
    <n v="0"/>
  </r>
  <r>
    <x v="2"/>
    <s v="0902 - OPERACOES ESPECIAIS: FINANCIAMENTOS COM RETORNO"/>
    <x v="161"/>
    <n v="0"/>
    <n v="9282443.1999999993"/>
    <n v="9282443.1999999993"/>
  </r>
  <r>
    <x v="2"/>
    <s v="2208 - TECNOLOGIAS APLICADAS, INOVACAO E DESENVOLVIMENTO SUSTENTAVEL"/>
    <x v="900"/>
    <n v="0"/>
    <n v="0"/>
    <n v="0"/>
  </r>
  <r>
    <x v="2"/>
    <s v="0903 - OPERACOES ESPECIAIS: TRANSFERENCIAS CONSTITUCIONAIS E AS DECORRENTES DE LEGISLACAO ESPECIFICA"/>
    <x v="2"/>
    <n v="0"/>
    <n v="4879854403.4700003"/>
    <n v="4879854403.4700003"/>
  </r>
  <r>
    <x v="2"/>
    <s v="0903 - OPERACOES ESPECIAIS: TRANSFERENCIAS CONSTITUCIONAIS E AS DECORRENTES DE LEGISLACAO ESPECIFICA"/>
    <x v="156"/>
    <n v="3155206532.1999998"/>
    <n v="3122605976.9299998"/>
    <n v="3122605976.9299998"/>
  </r>
  <r>
    <x v="2"/>
    <s v="2221 - RECURSOS HIDRICOS"/>
    <x v="262"/>
    <n v="0"/>
    <n v="0"/>
    <n v="0"/>
  </r>
  <r>
    <x v="2"/>
    <s v="3006 - TRANSPORTE TERRESTRE E TRANSITO"/>
    <x v="68"/>
    <n v="0"/>
    <n v="0"/>
    <n v="0"/>
  </r>
  <r>
    <x v="2"/>
    <s v="0032 - PROGRAMA DE GESTAO E MANUTENCAO DO PODER EXECUTIVO"/>
    <x v="425"/>
    <n v="0"/>
    <n v="0"/>
    <n v="0"/>
  </r>
  <r>
    <x v="2"/>
    <s v="5019 - ATENCAO PRIMARIA A SAUDE"/>
    <x v="668"/>
    <n v="0"/>
    <n v="100678863"/>
    <n v="100678863"/>
  </r>
  <r>
    <x v="2"/>
    <s v="2213 - MODERNIZACAO TRABALHISTA E TRABALHO DIGNO"/>
    <x v="315"/>
    <n v="0"/>
    <n v="0"/>
    <n v="0"/>
  </r>
  <r>
    <x v="2"/>
    <s v="6012 - DEFESA NACIONAL"/>
    <x v="951"/>
    <n v="2000000"/>
    <n v="0"/>
    <n v="0"/>
  </r>
  <r>
    <x v="2"/>
    <s v="2080 - EDUCACAO DE QUALIDADE PARA TODOS"/>
    <x v="188"/>
    <n v="0"/>
    <n v="0"/>
    <n v="0"/>
  </r>
  <r>
    <x v="2"/>
    <s v="2217 - DESENVOLVIMENTO REGIONAL, TERRITORIAL E URBANO"/>
    <x v="826"/>
    <n v="0"/>
    <n v="0"/>
    <n v="0"/>
  </r>
  <r>
    <x v="2"/>
    <s v="2015 - FORTALECIMENTO DO SISTEMA UNICO DE SAUDE (SUS)"/>
    <x v="219"/>
    <n v="0"/>
    <n v="0"/>
    <n v="0"/>
  </r>
  <r>
    <x v="2"/>
    <s v="0903 - OPERACOES ESPECIAIS: TRANSFERENCIAS CONSTITUCIONAIS E AS DECORRENTES DE LEGISLACAO ESPECIFICA"/>
    <x v="375"/>
    <n v="0"/>
    <n v="615784876.62"/>
    <n v="615784876.62"/>
  </r>
  <r>
    <x v="2"/>
    <s v="0903 - OPERACOES ESPECIAIS: TRANSFERENCIAS CONSTITUCIONAIS E AS DECORRENTES DE LEGISLACAO ESPECIFICA"/>
    <x v="253"/>
    <n v="559968449.40999997"/>
    <n v="575691669.40999997"/>
    <n v="574328668.41999996"/>
  </r>
  <r>
    <x v="2"/>
    <s v="2221 - RECURSOS HIDRICOS"/>
    <x v="663"/>
    <n v="74367713.879999995"/>
    <n v="1767455.99"/>
    <n v="20296.75"/>
  </r>
  <r>
    <x v="2"/>
    <s v="1041 - CONSERVACAO E USO SUSTENTAVEL DA BIODIVERSIDADE E DOS RECURSOS NATURAIS"/>
    <x v="177"/>
    <n v="204956.27"/>
    <n v="4695.88"/>
    <n v="4695.88"/>
  </r>
  <r>
    <x v="2"/>
    <s v="2217 - DESENVOLVIMENTO REGIONAL, TERRITORIAL E URBANO"/>
    <x v="403"/>
    <n v="0"/>
    <n v="0"/>
    <n v="0"/>
  </r>
  <r>
    <x v="2"/>
    <s v="5031 - PROTECAO SOCIAL NO AMBITO DO SISTEMA UNICO DE ASSISTENCIA SOCIAL (SUAS)"/>
    <x v="197"/>
    <n v="1526692.67"/>
    <n v="121019.5"/>
    <n v="121019.5"/>
  </r>
  <r>
    <x v="2"/>
    <s v="0910 - OPERACOES ESPECIAIS: GESTAO DA PARTICIPACAO EM ORGANISMOS E ENTIDADES NACIONAIS E INTERNACIONAIS"/>
    <x v="952"/>
    <n v="0"/>
    <n v="0"/>
    <n v="0"/>
  </r>
  <r>
    <x v="2"/>
    <s v="2208 - TECNOLOGIAS APLICADAS, INOVACAO E DESENVOLVIMENTO SUSTENTAVEL"/>
    <x v="804"/>
    <n v="2957564.72"/>
    <n v="0.16"/>
    <n v="0"/>
  </r>
  <r>
    <x v="2"/>
    <s v="3001 - ENERGIA ELETRICA"/>
    <x v="97"/>
    <n v="-160000"/>
    <n v="76641.42"/>
    <n v="77377.279999999999"/>
  </r>
  <r>
    <x v="2"/>
    <s v="2218 - GESTAO DE RISCOS E DE DESASTRES"/>
    <x v="912"/>
    <n v="0"/>
    <n v="8307.5499999999993"/>
    <n v="8307.5499999999993"/>
  </r>
  <r>
    <x v="2"/>
    <s v="3003 - PETROLEO, GAS, DERIVADOS E BIOCOMBUSTIVEIS"/>
    <x v="122"/>
    <n v="-174754.89"/>
    <n v="34400"/>
    <n v="524488.99"/>
  </r>
  <r>
    <x v="2"/>
    <s v="2210 - EMPREGABILIDADE"/>
    <x v="907"/>
    <n v="200000"/>
    <n v="0"/>
    <n v="0"/>
  </r>
  <r>
    <x v="2"/>
    <s v="5035 - PROMOCAO DE CIDADANIA POR MEIO DO AUXILIO BRASIL E DA ARTICULACAO DE POLITICAS PUBLICAS"/>
    <x v="299"/>
    <n v="0"/>
    <n v="0"/>
    <n v="0"/>
  </r>
  <r>
    <x v="2"/>
    <s v="5014 - ESTATISTICAS E AVALIACOES EDUCACIONAIS"/>
    <x v="132"/>
    <n v="637707.76"/>
    <n v="300925.08"/>
    <n v="269567.84999999998"/>
  </r>
  <r>
    <x v="2"/>
    <s v="3004 - AVIACAO CIVIL"/>
    <x v="85"/>
    <n v="0"/>
    <n v="0"/>
    <n v="0"/>
  </r>
  <r>
    <x v="2"/>
    <s v="2205 - CONECTA BRASIL"/>
    <x v="953"/>
    <n v="0"/>
    <n v="0"/>
    <n v="0"/>
  </r>
  <r>
    <x v="2"/>
    <s v="5017 - ASSISTENCIA FARMACEUTICA NO SUS"/>
    <x v="121"/>
    <n v="157524781.72999999"/>
    <n v="167131197.37"/>
    <n v="167131197.37"/>
  </r>
  <r>
    <x v="2"/>
    <s v="2080 - EDUCACAO DE QUALIDADE PARA TODOS"/>
    <x v="798"/>
    <n v="0"/>
    <n v="0"/>
    <n v="0"/>
  </r>
  <r>
    <x v="2"/>
    <s v="6012 - DEFESA NACIONAL"/>
    <x v="856"/>
    <n v="-40463584.409999996"/>
    <n v="0"/>
    <n v="0"/>
  </r>
  <r>
    <x v="2"/>
    <s v="0903 - OPERACOES ESPECIAIS: TRANSFERENCIAS CONSTITUCIONAIS E AS DECORRENTES DE LEGISLACAO ESPECIFICA"/>
    <x v="448"/>
    <n v="440800000"/>
    <n v="462187643.54000002"/>
    <n v="462187643.54000002"/>
  </r>
  <r>
    <x v="2"/>
    <s v="0903 - OPERACOES ESPECIAIS: TRANSFERENCIAS CONSTITUCIONAIS E AS DECORRENTES DE LEGISLACAO ESPECIFICA"/>
    <x v="587"/>
    <n v="0"/>
    <n v="323733194.72000003"/>
    <n v="323733194.72000003"/>
  </r>
  <r>
    <x v="2"/>
    <s v="6013 - OCEANOS, ZONA COSTEIRA E ANTARTICA"/>
    <x v="805"/>
    <n v="0"/>
    <n v="0"/>
    <n v="0"/>
  </r>
  <r>
    <x v="2"/>
    <s v="2208 - TECNOLOGIAS APLICADAS, INOVACAO E DESENVOLVIMENTO SUSTENTAVEL"/>
    <x v="801"/>
    <n v="1659385"/>
    <n v="0"/>
    <n v="0"/>
  </r>
  <r>
    <x v="2"/>
    <s v="2052 - PESCA E AQUICULTURA"/>
    <x v="30"/>
    <n v="0"/>
    <n v="0"/>
    <n v="0"/>
  </r>
  <r>
    <x v="2"/>
    <s v="2220 - MORADIA DIGNA"/>
    <x v="36"/>
    <n v="0"/>
    <n v="0"/>
    <n v="0"/>
  </r>
  <r>
    <x v="2"/>
    <s v="6012 - DEFESA NACIONAL"/>
    <x v="98"/>
    <n v="987008.41"/>
    <n v="44293.27"/>
    <n v="41150.51"/>
  </r>
  <r>
    <x v="2"/>
    <s v="5026 - ESPORTE"/>
    <x v="92"/>
    <n v="0"/>
    <n v="0"/>
    <n v="0"/>
  </r>
  <r>
    <x v="2"/>
    <s v="5021 - GESTAO E ORGANIZACAO DO SUS"/>
    <x v="326"/>
    <n v="1000000"/>
    <n v="0"/>
    <n v="0"/>
  </r>
  <r>
    <x v="2"/>
    <s v="5033 - SEGURANCA ALIMENTAR E NUTRICIONAL"/>
    <x v="910"/>
    <n v="0"/>
    <n v="0"/>
    <n v="0"/>
  </r>
  <r>
    <x v="2"/>
    <s v="2219 - MOBILIDADE URBANA"/>
    <x v="427"/>
    <n v="0"/>
    <n v="0"/>
    <n v="0"/>
  </r>
  <r>
    <x v="2"/>
    <s v="2208 - TECNOLOGIAS APLICADAS, INOVACAO E DESENVOLVIMENTO SUSTENTAVEL"/>
    <x v="33"/>
    <n v="2732537.26"/>
    <n v="0"/>
    <n v="0"/>
  </r>
  <r>
    <x v="2"/>
    <s v="2209 - BRASIL, NOSSO PROPOSITO"/>
    <x v="954"/>
    <n v="0"/>
    <n v="0"/>
    <n v="0"/>
  </r>
  <r>
    <x v="2"/>
    <s v="3006 - TRANSPORTE TERRESTRE E TRANSITO"/>
    <x v="411"/>
    <n v="0"/>
    <n v="0"/>
    <n v="0"/>
  </r>
  <r>
    <x v="2"/>
    <s v="0909 - OPERACOES ESPECIAIS: OUTROS ENCARGOS ESPECIAIS"/>
    <x v="288"/>
    <n v="-3671050"/>
    <n v="3210780"/>
    <n v="3512800"/>
  </r>
  <r>
    <x v="2"/>
    <s v="5021 - GESTAO E ORGANIZACAO DO SUS"/>
    <x v="211"/>
    <n v="-1294662.8500000001"/>
    <n v="867149.74"/>
    <n v="870708.57"/>
  </r>
  <r>
    <x v="2"/>
    <s v="6012 - DEFESA NACIONAL"/>
    <x v="544"/>
    <n v="0"/>
    <n v="0"/>
    <n v="0"/>
  </r>
  <r>
    <x v="2"/>
    <s v="2208 - TECNOLOGIAS APLICADAS, INOVACAO E DESENVOLVIMENTO SUSTENTAVEL"/>
    <x v="879"/>
    <n v="0"/>
    <n v="0"/>
    <n v="0"/>
  </r>
  <r>
    <x v="2"/>
    <s v="2134 - PROGRAMA DE GESTAO E MANUTENCAO DO MINISTERIO DA MULHER, DA FAMILIA E DOS DIREITOS HUMANOS"/>
    <x v="52"/>
    <n v="0"/>
    <n v="0"/>
    <n v="0"/>
  </r>
  <r>
    <x v="2"/>
    <s v="2015 - FORTALECIMENTO DO SISTEMA UNICO DE SAUDE (SUS)"/>
    <x v="121"/>
    <n v="0"/>
    <n v="0"/>
    <n v="0"/>
  </r>
  <r>
    <x v="2"/>
    <s v="2080 - EDUCACAO DE QUALIDADE PARA TODOS"/>
    <x v="762"/>
    <n v="0"/>
    <n v="0"/>
    <n v="0"/>
  </r>
  <r>
    <x v="2"/>
    <s v="2221 - RECURSOS HIDRICOS"/>
    <x v="486"/>
    <n v="1682942.03"/>
    <n v="74932.44"/>
    <n v="74932.44"/>
  </r>
  <r>
    <x v="2"/>
    <s v="2205 - CONECTA BRASIL"/>
    <x v="250"/>
    <n v="444459.14"/>
    <n v="713253.72"/>
    <n v="724425.5"/>
  </r>
  <r>
    <x v="2"/>
    <s v="3006 - TRANSPORTE TERRESTRE E TRANSITO"/>
    <x v="835"/>
    <n v="2653328"/>
    <n v="0"/>
    <n v="0"/>
  </r>
  <r>
    <x v="2"/>
    <s v="5018 - ATENCAO ESPECIALIZADA A SAUDE"/>
    <x v="857"/>
    <n v="0"/>
    <n v="11796.06"/>
    <n v="0"/>
  </r>
  <r>
    <x v="2"/>
    <s v="0901 - OPERACOES ESPECIAIS: CUMPRIMENTO DE SENTENCAS JUDICIAIS"/>
    <x v="244"/>
    <n v="140164136.50999999"/>
    <n v="46164136.509999998"/>
    <n v="46164136.509999998"/>
  </r>
  <r>
    <x v="2"/>
    <s v="5018 - ATENCAO ESPECIALIZADA A SAUDE"/>
    <x v="330"/>
    <n v="19007232.010000002"/>
    <n v="17691013.170000002"/>
    <n v="11445465.109999999"/>
  </r>
  <r>
    <x v="2"/>
    <s v="3006 - TRANSPORTE TERRESTRE E TRANSITO"/>
    <x v="531"/>
    <n v="0"/>
    <n v="0"/>
    <n v="0"/>
  </r>
  <r>
    <x v="2"/>
    <s v="3004 - AVIACAO CIVIL"/>
    <x v="955"/>
    <n v="0"/>
    <n v="0"/>
    <n v="0"/>
  </r>
  <r>
    <x v="2"/>
    <s v="3006 - TRANSPORTE TERRESTRE E TRANSITO"/>
    <x v="350"/>
    <n v="347155.61"/>
    <n v="0"/>
    <n v="0"/>
  </r>
  <r>
    <x v="2"/>
    <s v="6012 - DEFESA NACIONAL"/>
    <x v="313"/>
    <n v="0"/>
    <n v="0"/>
    <n v="0"/>
  </r>
  <r>
    <x v="2"/>
    <s v="1031 - AGROPECUARIA SUSTENTAVEL"/>
    <x v="602"/>
    <n v="710.9"/>
    <n v="409.71"/>
    <n v="409.71"/>
  </r>
  <r>
    <x v="2"/>
    <s v="1041 - CONSERVACAO E USO SUSTENTAVEL DA BIODIVERSIDADE E DOS RECURSOS NATURAIS"/>
    <x v="293"/>
    <n v="180704.01"/>
    <n v="0"/>
    <n v="0"/>
  </r>
  <r>
    <x v="2"/>
    <s v="3006 - TRANSPORTE TERRESTRE E TRANSITO"/>
    <x v="885"/>
    <n v="-11154.72"/>
    <n v="0"/>
    <n v="0"/>
  </r>
  <r>
    <x v="2"/>
    <s v="5016 - SEGURANCA PUBLICA, COMBATE A CORRUPCAO, AO CRIME ORGANIZADO E AO CRIME VIOLENTO"/>
    <x v="956"/>
    <n v="0"/>
    <n v="0"/>
    <n v="0"/>
  </r>
  <r>
    <x v="2"/>
    <s v="1031 - AGROPECUARIA SUSTENTAVEL"/>
    <x v="434"/>
    <n v="0"/>
    <n v="15000000"/>
    <n v="15000000"/>
  </r>
  <r>
    <x v="2"/>
    <s v="3002 - GEOLOGIA, MINERACAO E TRANSFORMACAO MINERAL"/>
    <x v="830"/>
    <n v="0"/>
    <n v="0"/>
    <n v="0"/>
  </r>
  <r>
    <x v="2"/>
    <s v="4002 - SEGURANCA INSTITUCIONAL"/>
    <x v="193"/>
    <n v="84071.46"/>
    <n v="103449.55"/>
    <n v="109596.29"/>
  </r>
  <r>
    <x v="2"/>
    <s v="2215 - POLITICA ECONOMICA E EQUILIBRIO FISCAL"/>
    <x v="586"/>
    <n v="-200000"/>
    <n v="0"/>
    <n v="0"/>
  </r>
  <r>
    <x v="2"/>
    <s v="3006 - TRANSPORTE TERRESTRE E TRANSITO"/>
    <x v="420"/>
    <n v="0"/>
    <n v="14583.02"/>
    <n v="40800.89"/>
  </r>
  <r>
    <x v="2"/>
    <s v="2206 - POLITICA NUCLEAR"/>
    <x v="10"/>
    <n v="-101853.8"/>
    <n v="3558947.13"/>
    <n v="5381175.7699999996"/>
  </r>
  <r>
    <x v="2"/>
    <s v="5018 - ATENCAO ESPECIALIZADA A SAUDE"/>
    <x v="502"/>
    <n v="32890286.379999999"/>
    <n v="2160127.83"/>
    <n v="2160127.83"/>
  </r>
  <r>
    <x v="2"/>
    <s v="5018 - ATENCAO ESPECIALIZADA A SAUDE"/>
    <x v="292"/>
    <n v="14070628.210000001"/>
    <n v="9685132.3200000003"/>
    <n v="7569110.4900000002"/>
  </r>
  <r>
    <x v="2"/>
    <s v="0032 - PROGRAMA DE GESTAO E MANUTENCAO DO PODER EXECUTIVO"/>
    <x v="653"/>
    <n v="32047720"/>
    <n v="31240992.5"/>
    <n v="46746306.850000001"/>
  </r>
  <r>
    <x v="2"/>
    <s v="5034 - PROTECAO A VIDA, FORTALECIMENTO DA FAMILIA, PROMOCAO E DEFESA DOS DIREITOS HUMANOS PARA TODOS"/>
    <x v="898"/>
    <n v="0"/>
    <n v="0"/>
    <n v="0"/>
  </r>
  <r>
    <x v="2"/>
    <s v="1040 - GOVERNANCA FUNDIARIA"/>
    <x v="957"/>
    <n v="0"/>
    <n v="0"/>
    <n v="0"/>
  </r>
  <r>
    <x v="2"/>
    <s v="2069 - SEGURANCA ALIMENTAR E NUTRICIONAL"/>
    <x v="564"/>
    <n v="0"/>
    <n v="0"/>
    <n v="0"/>
  </r>
  <r>
    <x v="2"/>
    <s v="2068 - SANEAMENTO BASICO"/>
    <x v="105"/>
    <n v="0"/>
    <n v="0"/>
    <n v="0"/>
  </r>
  <r>
    <x v="2"/>
    <s v="2211 - INSERCAO ECONOMICA INTERNACIONAL"/>
    <x v="158"/>
    <n v="0"/>
    <n v="6750520.3399999999"/>
    <n v="6750520.3399999999"/>
  </r>
  <r>
    <x v="2"/>
    <s v="5025 - CULTURA"/>
    <x v="524"/>
    <n v="0"/>
    <n v="0"/>
    <n v="0"/>
  </r>
  <r>
    <x v="2"/>
    <s v="0906 - OPERACOES ESPECIAIS: SERVICO DA DIVIDA EXTERNA (JUROS EAMORTIZACOES)"/>
    <x v="127"/>
    <n v="1196636024.8900001"/>
    <n v="1196636024.8900001"/>
    <n v="1196636024.8900001"/>
  </r>
  <r>
    <x v="2"/>
    <s v="3006 - TRANSPORTE TERRESTRE E TRANSITO"/>
    <x v="837"/>
    <n v="3500000"/>
    <n v="0"/>
    <n v="0"/>
  </r>
  <r>
    <x v="2"/>
    <s v="3006 - TRANSPORTE TERRESTRE E TRANSITO"/>
    <x v="872"/>
    <n v="0"/>
    <n v="0"/>
    <n v="0"/>
  </r>
  <r>
    <x v="2"/>
    <s v="0032 - PROGRAMA DE GESTAO E MANUTENCAO DO PODER EXECUTIVO"/>
    <x v="640"/>
    <n v="35154"/>
    <n v="0"/>
    <n v="0"/>
  </r>
  <r>
    <x v="2"/>
    <s v="2221 - RECURSOS HIDRICOS"/>
    <x v="204"/>
    <n v="1039178.76"/>
    <n v="21251.26"/>
    <n v="11507.63"/>
  </r>
  <r>
    <x v="2"/>
    <s v="3004 - AVIACAO CIVIL"/>
    <x v="813"/>
    <n v="0"/>
    <n v="0"/>
    <n v="0"/>
  </r>
  <r>
    <x v="2"/>
    <s v="1138 - DRENAGEM URBANA E CONTROLE DE EROSAO MARITIMA E FLUVIAL"/>
    <x v="467"/>
    <n v="0"/>
    <n v="0"/>
    <n v="0"/>
  </r>
  <r>
    <x v="2"/>
    <s v="2080 - EDUCACAO DE QUALIDADE PARA TODOS"/>
    <x v="436"/>
    <n v="0"/>
    <n v="0"/>
    <n v="0"/>
  </r>
  <r>
    <x v="2"/>
    <s v="2223 - A HORA DO TURISMO"/>
    <x v="854"/>
    <n v="0"/>
    <n v="0"/>
    <n v="0"/>
  </r>
  <r>
    <x v="2"/>
    <s v="0122 - SERVICOS URBANOS DE AGUA E ESGOTO"/>
    <x v="170"/>
    <n v="0"/>
    <n v="0"/>
    <n v="0"/>
  </r>
  <r>
    <x v="2"/>
    <s v="3001 - ENERGIA ELETRICA"/>
    <x v="613"/>
    <n v="-540000"/>
    <n v="0"/>
    <n v="125.55"/>
  </r>
  <r>
    <x v="2"/>
    <s v="2081 - JUSTICA, CIDADANIA E SEGURANCA PUBLICA"/>
    <x v="958"/>
    <n v="0"/>
    <n v="0"/>
    <n v="0"/>
  </r>
  <r>
    <x v="2"/>
    <s v="3006 - TRANSPORTE TERRESTRE E TRANSITO"/>
    <x v="133"/>
    <n v="0"/>
    <n v="0"/>
    <n v="0"/>
  </r>
  <r>
    <x v="2"/>
    <s v="6012 - DEFESA NACIONAL"/>
    <x v="337"/>
    <n v="1466287"/>
    <n v="0"/>
    <n v="0"/>
  </r>
  <r>
    <x v="2"/>
    <s v="0903 - OPERACOES ESPECIAIS: TRANSFERENCIAS CONSTITUCIONAIS E AS DECORRENTES DE LEGISLACAO ESPECIFICA"/>
    <x v="64"/>
    <n v="0"/>
    <n v="9351925139.5400009"/>
    <n v="9351925139.5400009"/>
  </r>
  <r>
    <x v="2"/>
    <s v="2215 - POLITICA ECONOMICA E EQUILIBRIO FISCAL"/>
    <x v="101"/>
    <n v="-3211733.43"/>
    <n v="850337.05"/>
    <n v="952818.73"/>
  </r>
  <r>
    <x v="2"/>
    <s v="2214 - NOVA PREVIDENCIA"/>
    <x v="546"/>
    <n v="0"/>
    <n v="0"/>
    <n v="0"/>
  </r>
  <r>
    <x v="2"/>
    <s v="2217 - DESENVOLVIMENTO REGIONAL, TERRITORIAL E URBANO"/>
    <x v="959"/>
    <n v="0"/>
    <n v="0"/>
    <n v="0"/>
  </r>
  <r>
    <x v="2"/>
    <s v="2080 - EDUCACAO DE QUALIDADE PARA TODOS"/>
    <x v="386"/>
    <n v="0"/>
    <n v="0"/>
    <n v="0"/>
  </r>
  <r>
    <x v="2"/>
    <s v="2205 - CONECTA BRASIL"/>
    <x v="34"/>
    <n v="0"/>
    <n v="0"/>
    <n v="0"/>
  </r>
  <r>
    <x v="2"/>
    <s v="2208 - TECNOLOGIAS APLICADAS, INOVACAO E DESENVOLVIMENTO SUSTENTAVEL"/>
    <x v="749"/>
    <n v="12778.17"/>
    <n v="12778.17"/>
    <n v="12778.17"/>
  </r>
  <r>
    <x v="2"/>
    <s v="5021 - GESTAO E ORGANIZACAO DO SUS"/>
    <x v="26"/>
    <n v="4763.92"/>
    <n v="25700"/>
    <n v="25700"/>
  </r>
  <r>
    <x v="2"/>
    <s v="5029 - PRODUCAO DE DADOS E CONHECIMENTO PARA O APRIMORAMENTO DE POLITICAS PUBLICAS"/>
    <x v="265"/>
    <n v="3617396"/>
    <n v="0"/>
    <n v="0"/>
  </r>
  <r>
    <x v="2"/>
    <s v="3006 - TRANSPORTE TERRESTRE E TRANSITO"/>
    <x v="582"/>
    <n v="0"/>
    <n v="0"/>
    <n v="0"/>
  </r>
  <r>
    <x v="2"/>
    <s v="0903 - OPERACOES ESPECIAIS: TRANSFERENCIAS CONSTITUCIONAIS E AS DECORRENTES DE LEGISLACAO ESPECIFICA"/>
    <x v="960"/>
    <n v="0"/>
    <n v="0"/>
    <n v="0"/>
  </r>
  <r>
    <x v="2"/>
    <s v="6012 - DEFESA NACIONAL"/>
    <x v="75"/>
    <n v="227144.2"/>
    <n v="33135.089999999997"/>
    <n v="42024.52"/>
  </r>
  <r>
    <x v="2"/>
    <s v="4003 - GARANTIA DA ESTABILIDADE MONETARIA E FINANCEIRA"/>
    <x v="625"/>
    <n v="2175514.89"/>
    <n v="1958294.33"/>
    <n v="1641527.98"/>
  </r>
  <r>
    <x v="2"/>
    <s v="0033 - PROGRAMA DE GESTAO E MANUTENCAO DO PODER JUDICIARIO"/>
    <x v="205"/>
    <n v="0"/>
    <n v="0"/>
    <n v="0"/>
  </r>
  <r>
    <x v="2"/>
    <s v="3006 - TRANSPORTE TERRESTRE E TRANSITO"/>
    <x v="961"/>
    <n v="0"/>
    <n v="0"/>
    <n v="0"/>
  </r>
  <r>
    <x v="2"/>
    <s v="2080 - EDUCACAO DE QUALIDADE PARA TODOS"/>
    <x v="401"/>
    <n v="0"/>
    <n v="0"/>
    <n v="0"/>
  </r>
  <r>
    <x v="2"/>
    <s v="3006 - TRANSPORTE TERRESTRE E TRANSITO"/>
    <x v="864"/>
    <n v="220000"/>
    <n v="0"/>
    <n v="0"/>
  </r>
  <r>
    <x v="2"/>
    <s v="5023 - VIGILANCIA EM SAUDE"/>
    <x v="284"/>
    <n v="0"/>
    <n v="0"/>
    <n v="0"/>
  </r>
  <r>
    <x v="2"/>
    <s v="5023 - VIGILANCIA EM SAUDE"/>
    <x v="917"/>
    <n v="0"/>
    <n v="61413978"/>
    <n v="61413978"/>
  </r>
  <r>
    <x v="2"/>
    <s v="0032 - PROGRAMA DE GESTAO E MANUTENCAO DO PODER EXECUTIVO"/>
    <x v="73"/>
    <n v="0"/>
    <n v="0"/>
    <n v="0"/>
  </r>
  <r>
    <x v="2"/>
    <s v="3006 - TRANSPORTE TERRESTRE E TRANSITO"/>
    <x v="309"/>
    <n v="0"/>
    <n v="0"/>
    <n v="0"/>
  </r>
  <r>
    <x v="2"/>
    <s v="5012 - EDUCACAO PROFISSIONAL E TECNOLOGICA"/>
    <x v="144"/>
    <n v="0"/>
    <n v="0"/>
    <n v="0"/>
  </r>
  <r>
    <x v="2"/>
    <s v="2217 - DESENVOLVIMENTO REGIONAL, TERRITORIAL E URBANO"/>
    <x v="116"/>
    <n v="0"/>
    <n v="0"/>
    <n v="0"/>
  </r>
  <r>
    <x v="2"/>
    <s v="2208 - TECNOLOGIAS APLICADAS, INOVACAO E DESENVOLVIMENTO SUSTENTAVEL"/>
    <x v="218"/>
    <n v="154677653.84999999"/>
    <n v="10405024.01"/>
    <n v="0"/>
  </r>
  <r>
    <x v="2"/>
    <s v="0910 - OPERACOES ESPECIAIS: GESTAO DA PARTICIPACAO EM ORGANISMOS E ENTIDADES NACIONAIS E INTERNACIONAIS"/>
    <x v="962"/>
    <n v="0"/>
    <n v="0"/>
    <n v="0"/>
  </r>
  <r>
    <x v="2"/>
    <s v="2221 - RECURSOS HIDRICOS"/>
    <x v="280"/>
    <n v="0"/>
    <n v="0"/>
    <n v="0"/>
  </r>
  <r>
    <x v="2"/>
    <s v="5013 - EDUCACAO SUPERIOR - GRADUACAO, POS-GRADUACAO, ENSINO, PESQUISA E EXTENSAO"/>
    <x v="58"/>
    <n v="33000000"/>
    <n v="2631833.67"/>
    <n v="2631833.67"/>
  </r>
  <r>
    <x v="2"/>
    <s v="2213 - MODERNIZACAO TRABALHISTA E TRABALHO DIGNO"/>
    <x v="648"/>
    <n v="0"/>
    <n v="0"/>
    <n v="0"/>
  </r>
  <r>
    <x v="2"/>
    <s v="1041 - CONSERVACAO E USO SUSTENTAVEL DA BIODIVERSIDADE E DOS RECURSOS NATURAIS"/>
    <x v="154"/>
    <n v="357906.24"/>
    <n v="158611.81"/>
    <n v="158611.81"/>
  </r>
  <r>
    <x v="2"/>
    <s v="6012 - DEFESA NACIONAL"/>
    <x v="340"/>
    <n v="11655.75"/>
    <n v="0"/>
    <n v="0"/>
  </r>
  <r>
    <x v="2"/>
    <s v="2015 - FORTALECIMENTO DO SISTEMA UNICO DE SAUDE (SUS)"/>
    <x v="866"/>
    <n v="0"/>
    <n v="0"/>
    <n v="0"/>
  </r>
  <r>
    <x v="2"/>
    <s v="2021 - CIENCIA, TECNOLOGIA E INOVACAO"/>
    <x v="900"/>
    <n v="0"/>
    <n v="0"/>
    <n v="0"/>
  </r>
  <r>
    <x v="2"/>
    <s v="3006 - TRANSPORTE TERRESTRE E TRANSITO"/>
    <x v="522"/>
    <n v="0"/>
    <n v="0"/>
    <n v="0"/>
  </r>
  <r>
    <x v="2"/>
    <s v="2206 - POLITICA NUCLEAR"/>
    <x v="198"/>
    <n v="0"/>
    <n v="0"/>
    <n v="0"/>
  </r>
  <r>
    <x v="2"/>
    <s v="0902 - OPERACOES ESPECIAIS: FINANCIAMENTOS COM RETORNO"/>
    <x v="290"/>
    <n v="0"/>
    <n v="257805764.52000001"/>
    <n v="257805764.52000001"/>
  </r>
  <r>
    <x v="2"/>
    <s v="0903 - OPERACOES ESPECIAIS: TRANSFERENCIAS CONSTITUCIONAIS E AS DECORRENTES DE LEGISLACAO ESPECIFICA"/>
    <x v="128"/>
    <n v="164799624.16"/>
    <n v="164726223.66"/>
    <n v="164139907.22"/>
  </r>
  <r>
    <x v="2"/>
    <s v="3006 - TRANSPORTE TERRESTRE E TRANSITO"/>
    <x v="537"/>
    <n v="53000000"/>
    <n v="279133.87"/>
    <n v="279133.87"/>
  </r>
  <r>
    <x v="2"/>
    <s v="3001 - ENERGIA ELETRICA"/>
    <x v="6"/>
    <n v="-100161.88"/>
    <n v="31859.71"/>
    <n v="33171.980000000003"/>
  </r>
  <r>
    <x v="2"/>
    <s v="2222 - SANEAMENTO BASICO"/>
    <x v="554"/>
    <n v="0"/>
    <n v="0"/>
    <n v="0"/>
  </r>
  <r>
    <x v="2"/>
    <s v="1128 - URBANIZACAO, REGULARIZACAO FUNDIARIA E INTEGRACAO DE ASSENTAMENTOS PRECARIOS"/>
    <x v="543"/>
    <n v="0"/>
    <n v="0"/>
    <n v="0"/>
  </r>
  <r>
    <x v="2"/>
    <s v="0902 - OPERACOES ESPECIAIS: FINANCIAMENTOS COM RETORNO"/>
    <x v="555"/>
    <n v="-3000000"/>
    <n v="156318298.94999999"/>
    <n v="156318298.94999999"/>
  </r>
  <r>
    <x v="2"/>
    <s v="0909 - OPERACOES ESPECIAIS: OUTROS ENCARGOS ESPECIAIS"/>
    <x v="765"/>
    <n v="654701990.40999997"/>
    <n v="89825990.409999996"/>
    <n v="89825990.409999996"/>
  </r>
  <r>
    <x v="2"/>
    <s v="2058 - DEFESA NACIONAL"/>
    <x v="130"/>
    <n v="0"/>
    <n v="0"/>
    <n v="0"/>
  </r>
  <r>
    <x v="2"/>
    <s v="3005 - TRANSPORTE AQUAVIARIO"/>
    <x v="963"/>
    <n v="93503391"/>
    <n v="0"/>
    <n v="0"/>
  </r>
  <r>
    <x v="2"/>
    <s v="1031 - AGROPECUARIA SUSTENTAVEL"/>
    <x v="387"/>
    <n v="0"/>
    <n v="0"/>
    <n v="0"/>
  </r>
  <r>
    <x v="2"/>
    <s v="5018 - ATENCAO ESPECIALIZADA A SAUDE"/>
    <x v="848"/>
    <n v="0"/>
    <n v="0"/>
    <n v="0"/>
  </r>
  <r>
    <x v="2"/>
    <s v="3006 - TRANSPORTE TERRESTRE E TRANSITO"/>
    <x v="334"/>
    <n v="9013307.6799999997"/>
    <n v="0"/>
    <n v="0"/>
  </r>
  <r>
    <x v="2"/>
    <s v="3001 - ENERGIA ELETRICA"/>
    <x v="240"/>
    <n v="523036.93"/>
    <n v="2313304.6800000002"/>
    <n v="2249207.85"/>
  </r>
  <r>
    <x v="2"/>
    <s v="2208 - TECNOLOGIAS APLICADAS, INOVACAO E DESENVOLVIMENTO SUSTENTAVEL"/>
    <x v="559"/>
    <n v="0"/>
    <n v="0"/>
    <n v="0"/>
  </r>
  <r>
    <x v="2"/>
    <s v="3006 - TRANSPORTE TERRESTRE E TRANSITO"/>
    <x v="225"/>
    <n v="5000000"/>
    <n v="0"/>
    <n v="0"/>
  </r>
  <r>
    <x v="2"/>
    <s v="3004 - AVIACAO CIVIL"/>
    <x v="31"/>
    <n v="0"/>
    <n v="0"/>
    <n v="0"/>
  </r>
  <r>
    <x v="2"/>
    <s v="2214 - NOVA PREVIDENCIA"/>
    <x v="506"/>
    <n v="600000"/>
    <n v="236829.62"/>
    <n v="320887.86"/>
  </r>
  <r>
    <x v="2"/>
    <s v="3006 - TRANSPORTE TERRESTRE E TRANSITO"/>
    <x v="418"/>
    <n v="1800000"/>
    <n v="0"/>
    <n v="0"/>
  </r>
  <r>
    <x v="2"/>
    <s v="6012 - DEFESA NACIONAL"/>
    <x v="881"/>
    <n v="181404.69"/>
    <n v="0"/>
    <n v="0"/>
  </r>
  <r>
    <x v="2"/>
    <s v="0909 - OPERACOES ESPECIAIS: OUTROS ENCARGOS ESPECIAIS"/>
    <x v="112"/>
    <n v="7131562.5"/>
    <n v="7131562.5"/>
    <n v="7131562.5"/>
  </r>
  <r>
    <x v="2"/>
    <s v="0905 - OPERACOES ESPECIAIS: SERVICO DA DIVIDA INTERNA (JUROS EAMORTIZACOES)"/>
    <x v="70"/>
    <n v="0"/>
    <n v="1446616.21"/>
    <n v="1446616.21"/>
  </r>
  <r>
    <x v="2"/>
    <s v="2015 - FORTALECIMENTO DO SISTEMA UNICO DE SAUDE (SUS)"/>
    <x v="825"/>
    <n v="0"/>
    <n v="0"/>
    <n v="0"/>
  </r>
  <r>
    <x v="2"/>
    <s v="2221 - RECURSOS HIDRICOS"/>
    <x v="807"/>
    <n v="0"/>
    <n v="0"/>
    <n v="0"/>
  </r>
  <r>
    <x v="2"/>
    <s v="2206 - POLITICA NUCLEAR"/>
    <x v="774"/>
    <n v="18525.03"/>
    <n v="1706046.85"/>
    <n v="1897206.16"/>
  </r>
  <r>
    <x v="2"/>
    <s v="5031 - PROTECAO SOCIAL NO AMBITO DO SISTEMA UNICO DE ASSISTENCIA SOCIAL (SUAS)"/>
    <x v="463"/>
    <n v="0"/>
    <n v="0"/>
    <n v="0"/>
  </r>
  <r>
    <x v="2"/>
    <s v="3006 - TRANSPORTE TERRESTRE E TRANSITO"/>
    <x v="332"/>
    <n v="1250000"/>
    <n v="5968958.6200000001"/>
    <n v="5893846.9299999997"/>
  </r>
  <r>
    <x v="2"/>
    <s v="5035 - PROMOCAO DE CIDADANIA POR MEIO DO AUXILIO BRASIL E DA ARTICULACAO DE POLITICAS PUBLICAS"/>
    <x v="462"/>
    <n v="708798.53"/>
    <n v="1298.26"/>
    <n v="1298.26"/>
  </r>
  <r>
    <x v="2"/>
    <s v="3006 - TRANSPORTE TERRESTRE E TRANSITO"/>
    <x v="964"/>
    <n v="220000"/>
    <n v="0"/>
    <n v="0"/>
  </r>
  <r>
    <x v="2"/>
    <s v="2222 - SANEAMENTO BASICO"/>
    <x v="12"/>
    <n v="0"/>
    <n v="0"/>
    <n v="0"/>
  </r>
  <r>
    <x v="2"/>
    <s v="5013 - EDUCACAO SUPERIOR - GRADUACAO, POS-GRADUACAO, ENSINO, PESQUISA E EXTENSAO"/>
    <x v="404"/>
    <n v="0"/>
    <n v="0"/>
    <n v="0"/>
  </r>
  <r>
    <x v="2"/>
    <s v="2015 - FORTALECIMENTO DO SISTEMA UNICO DE SAUDE (SUS)"/>
    <x v="124"/>
    <n v="0"/>
    <n v="0"/>
    <n v="0"/>
  </r>
  <r>
    <x v="2"/>
    <s v="0032 - PROGRAMA DE GESTAO E MANUTENCAO DO PODER EXECUTIVO"/>
    <x v="472"/>
    <n v="40000000"/>
    <n v="38609550"/>
    <n v="38716985.789999999"/>
  </r>
  <r>
    <x v="2"/>
    <s v="0032 - PROGRAMA DE GESTAO E MANUTENCAO DO PODER EXECUTIVO"/>
    <x v="532"/>
    <n v="1440.3"/>
    <n v="0"/>
    <n v="0"/>
  </r>
  <r>
    <x v="2"/>
    <s v="5026 - ESPORTE"/>
    <x v="300"/>
    <n v="0"/>
    <n v="0"/>
    <n v="0"/>
  </r>
  <r>
    <x v="2"/>
    <s v="3006 - TRANSPORTE TERRESTRE E TRANSITO"/>
    <x v="827"/>
    <n v="0"/>
    <n v="0"/>
    <n v="0"/>
  </r>
  <r>
    <x v="2"/>
    <s v="5017 - ASSISTENCIA FARMACEUTICA NO SUS"/>
    <x v="388"/>
    <n v="487251633.91000003"/>
    <n v="182413559.63999999"/>
    <n v="140038485.12"/>
  </r>
  <r>
    <x v="2"/>
    <s v="0032 - PROGRAMA DE GESTAO E MANUTENCAO DO PODER EXECUTIVO"/>
    <x v="689"/>
    <n v="0"/>
    <n v="1873125"/>
    <n v="1873125"/>
  </r>
  <r>
    <x v="2"/>
    <s v="2208 - TECNOLOGIAS APLICADAS, INOVACAO E DESENVOLVIMENTO SUSTENTAVEL"/>
    <x v="239"/>
    <n v="40000.5"/>
    <n v="12557.85"/>
    <n v="12557.85"/>
  </r>
  <r>
    <x v="2"/>
    <s v="5021 - GESTAO E ORGANIZACAO DO SUS"/>
    <x v="157"/>
    <n v="5910728.4400000004"/>
    <n v="5107296.26"/>
    <n v="2653.72"/>
  </r>
  <r>
    <x v="2"/>
    <s v="2223 - A HORA DO TURISMO"/>
    <x v="529"/>
    <n v="0"/>
    <n v="4810.25"/>
    <n v="4810.25"/>
  </r>
  <r>
    <x v="2"/>
    <s v="2217 - DESENVOLVIMENTO REGIONAL, TERRITORIAL E URBANO"/>
    <x v="839"/>
    <n v="0"/>
    <n v="0"/>
    <n v="0"/>
  </r>
  <r>
    <x v="2"/>
    <s v="0903 - OPERACOES ESPECIAIS: TRANSFERENCIAS CONSTITUCIONAIS E AS DECORRENTES DE LEGISLACAO ESPECIFICA"/>
    <x v="457"/>
    <n v="244009707.09"/>
    <n v="258218515.06"/>
    <n v="260915170.50999999"/>
  </r>
  <r>
    <x v="2"/>
    <s v="5016 - SEGURANCA PUBLICA, COMBATE A CORRUPCAO, AO CRIME ORGANIZADO E AO CRIME VIOLENTO"/>
    <x v="814"/>
    <n v="0"/>
    <n v="6505.33"/>
    <n v="6505.33"/>
  </r>
  <r>
    <x v="2"/>
    <s v="3006 - TRANSPORTE TERRESTRE E TRANSITO"/>
    <x v="671"/>
    <n v="0"/>
    <n v="0"/>
    <n v="0"/>
  </r>
  <r>
    <x v="2"/>
    <s v="5021 - GESTAO E ORGANIZACAO DO SUS"/>
    <x v="20"/>
    <n v="0"/>
    <n v="1201666.6599999999"/>
    <n v="1201666.6599999999"/>
  </r>
  <r>
    <x v="2"/>
    <s v="2109 - PROGRAMA DE GESTAO E MANUTENCAO DO MINISTERIO DA EDUCACAO"/>
    <x v="40"/>
    <n v="0"/>
    <n v="0"/>
    <n v="0"/>
  </r>
  <r>
    <x v="2"/>
    <s v="2058 - DEFESA NACIONAL"/>
    <x v="589"/>
    <n v="0"/>
    <n v="0"/>
    <n v="0"/>
  </r>
  <r>
    <x v="2"/>
    <s v="3006 - TRANSPORTE TERRESTRE E TRANSITO"/>
    <x v="162"/>
    <n v="500000"/>
    <n v="0"/>
    <n v="0"/>
  </r>
  <r>
    <x v="2"/>
    <s v="1031 - AGROPECUARIA SUSTENTAVEL"/>
    <x v="259"/>
    <n v="0"/>
    <n v="1810510.65"/>
    <n v="1810510.65"/>
  </r>
  <r>
    <x v="2"/>
    <s v="0909 - OPERACOES ESPECIAIS: OUTROS ENCARGOS ESPECIAIS"/>
    <x v="60"/>
    <n v="41694598.590000004"/>
    <n v="41736981.32"/>
    <n v="41736981.32"/>
  </r>
  <r>
    <x v="2"/>
    <s v="5021 - GESTAO E ORGANIZACAO DO SUS"/>
    <x v="695"/>
    <n v="0"/>
    <n v="97701.58"/>
    <n v="109117.59"/>
  </r>
  <r>
    <x v="2"/>
    <s v="2206 - POLITICA NUCLEAR"/>
    <x v="496"/>
    <n v="0"/>
    <n v="0"/>
    <n v="0"/>
  </r>
  <r>
    <x v="2"/>
    <s v="5018 - ATENCAO ESPECIALIZADA A SAUDE"/>
    <x v="965"/>
    <n v="0"/>
    <n v="0"/>
    <n v="0"/>
  </r>
  <r>
    <x v="2"/>
    <s v="5021 - GESTAO E ORGANIZACAO DO SUS"/>
    <x v="46"/>
    <n v="143902.14000000001"/>
    <n v="502433.76"/>
    <n v="1075125.1599999999"/>
  </r>
  <r>
    <x v="2"/>
    <s v="2208 - TECNOLOGIAS APLICADAS, INOVACAO E DESENVOLVIMENTO SUSTENTAVEL"/>
    <x v="179"/>
    <n v="358427.86"/>
    <n v="259862.26"/>
    <n v="230782.26"/>
  </r>
  <r>
    <x v="2"/>
    <s v="3006 - TRANSPORTE TERRESTRE E TRANSITO"/>
    <x v="539"/>
    <n v="8280747"/>
    <n v="229768.46"/>
    <n v="459112.45"/>
  </r>
  <r>
    <x v="2"/>
    <s v="6012 - DEFESA NACIONAL"/>
    <x v="878"/>
    <n v="0"/>
    <n v="0"/>
    <n v="0"/>
  </r>
  <r>
    <x v="2"/>
    <s v="2208 - TECNOLOGIAS APLICADAS, INOVACAO E DESENVOLVIMENTO SUSTENTAVEL"/>
    <x v="333"/>
    <n v="4545427.6900000004"/>
    <n v="52483"/>
    <n v="21083"/>
  </r>
  <r>
    <x v="2"/>
    <s v="2111 - PROGRAMA DE GESTAO E MANUTENCAO DO MINISTERIO DO DESENVOLVIMENTO REGIONAL"/>
    <x v="356"/>
    <n v="0"/>
    <n v="0"/>
    <n v="0"/>
  </r>
  <r>
    <x v="2"/>
    <s v="5035 - PROMOCAO DE CIDADANIA POR MEIO DO AUXILIO BRASIL E DA ARTICULACAO DE POLITICAS PUBLICAS"/>
    <x v="200"/>
    <n v="0"/>
    <n v="0"/>
    <n v="0"/>
  </r>
  <r>
    <x v="2"/>
    <s v="3006 - TRANSPORTE TERRESTRE E TRANSITO"/>
    <x v="405"/>
    <n v="18978844"/>
    <n v="0"/>
    <n v="0"/>
  </r>
  <r>
    <x v="2"/>
    <s v="3005 - TRANSPORTE AQUAVIARIO"/>
    <x v="890"/>
    <n v="5696973.4900000002"/>
    <n v="5696973.4900000002"/>
    <n v="5696973.4900000002"/>
  </r>
  <r>
    <x v="2"/>
    <s v="3006 - TRANSPORTE TERRESTRE E TRANSITO"/>
    <x v="808"/>
    <n v="29000000"/>
    <n v="251498.06"/>
    <n v="251498.06"/>
  </r>
  <r>
    <x v="2"/>
    <s v="3006 - TRANSPORTE TERRESTRE E TRANSITO"/>
    <x v="195"/>
    <n v="0"/>
    <n v="0"/>
    <n v="0"/>
  </r>
  <r>
    <x v="2"/>
    <s v="1041 - CONSERVACAO E USO SUSTENTAVEL DA BIODIVERSIDADE E DOS RECURSOS NATURAIS"/>
    <x v="19"/>
    <n v="0"/>
    <n v="0"/>
    <n v="0"/>
  </r>
  <r>
    <x v="2"/>
    <s v="5011 - EDUCACAO BASICA DE QUALIDADE"/>
    <x v="407"/>
    <n v="337756834.86000001"/>
    <n v="0"/>
    <n v="0"/>
  </r>
  <r>
    <x v="2"/>
    <s v="0910 - OPERACOES ESPECIAIS: GESTAO DA PARTICIPACAO EM ORGANISMOS E ENTIDADES NACIONAIS E INTERNACIONAIS"/>
    <x v="966"/>
    <n v="4215000"/>
    <n v="0"/>
    <n v="0"/>
  </r>
  <r>
    <x v="2"/>
    <s v="2213 - MODERNIZACAO TRABALHISTA E TRABALHO DIGNO"/>
    <x v="214"/>
    <n v="4249593943.5700002"/>
    <n v="4249593943.5700002"/>
    <n v="4249593943.5700002"/>
  </r>
  <r>
    <x v="2"/>
    <s v="5021 - GESTAO E ORGANIZACAO DO SUS"/>
    <x v="482"/>
    <n v="2170886.06"/>
    <n v="2167591.1800000002"/>
    <n v="2118339.6800000002"/>
  </r>
  <r>
    <x v="2"/>
    <s v="2217 - DESENVOLVIMENTO REGIONAL, TERRITORIAL E URBANO"/>
    <x v="783"/>
    <n v="164682172.91999999"/>
    <n v="0"/>
    <n v="0"/>
  </r>
  <r>
    <x v="2"/>
    <s v="6012 - DEFESA NACIONAL"/>
    <x v="220"/>
    <n v="17285152.050000001"/>
    <n v="14626920.609999999"/>
    <n v="15091034.24"/>
  </r>
  <r>
    <x v="2"/>
    <s v="3003 - PETROLEO, GAS, DERIVADOS E BIOCOMBUSTIVEIS"/>
    <x v="688"/>
    <n v="1932015.83"/>
    <n v="1458472.24"/>
    <n v="848723.56"/>
  </r>
  <r>
    <x v="2"/>
    <s v="3006 - TRANSPORTE TERRESTRE E TRANSITO"/>
    <x v="967"/>
    <n v="48979581"/>
    <n v="0"/>
    <n v="0"/>
  </r>
  <r>
    <x v="2"/>
    <s v="2068 - SANEAMENTO BASICO"/>
    <x v="343"/>
    <n v="0"/>
    <n v="0"/>
    <n v="0"/>
  </r>
  <r>
    <x v="2"/>
    <s v="2027 - CULTURA: DIMENSAO ESSENCIAL DO DESENVOLVIMENTO"/>
    <x v="488"/>
    <n v="0"/>
    <n v="0"/>
    <n v="0"/>
  </r>
  <r>
    <x v="2"/>
    <s v="5023 - VIGILANCIA EM SAUDE"/>
    <x v="226"/>
    <n v="0"/>
    <n v="0"/>
    <n v="0"/>
  </r>
  <r>
    <x v="2"/>
    <s v="3005 - TRANSPORTE AQUAVIARIO"/>
    <x v="367"/>
    <n v="5518415.29"/>
    <n v="0"/>
    <n v="0"/>
  </r>
  <r>
    <x v="2"/>
    <s v="0910 - OPERACOES ESPECIAIS: GESTAO DA PARTICIPACAO EM ORGANISMOS E ENTIDADES NACIONAIS E INTERNACIONAIS"/>
    <x v="968"/>
    <n v="5521439.1500000004"/>
    <n v="2956682.01"/>
    <n v="2956682.01"/>
  </r>
  <r>
    <x v="2"/>
    <s v="5020 - DESENVOLVIMENTO CIENTIFICO, TECNOLOGICO E PRODUTIVO EM SAUDE"/>
    <x v="54"/>
    <n v="4104824.44"/>
    <n v="3440000"/>
    <n v="3440000"/>
  </r>
  <r>
    <x v="2"/>
    <s v="2208 - TECNOLOGIAS APLICADAS, INOVACAO E DESENVOLVIMENTO SUSTENTAVEL"/>
    <x v="285"/>
    <n v="36645855.07"/>
    <n v="13159337.41"/>
    <n v="0"/>
  </r>
  <r>
    <x v="2"/>
    <s v="3006 - TRANSPORTE TERRESTRE E TRANSITO"/>
    <x v="860"/>
    <n v="1700000"/>
    <n v="0"/>
    <n v="0"/>
  </r>
  <r>
    <x v="2"/>
    <s v="0461 - PROMOCAO DA PESQUISA E DO DESENVOLVIMENTO CIENTIFICO E TECNOLOGICO"/>
    <x v="71"/>
    <n v="29155.61"/>
    <n v="29155.61"/>
    <n v="29155.61"/>
  </r>
  <r>
    <x v="2"/>
    <s v="0909 - OPERACOES ESPECIAIS: OUTROS ENCARGOS ESPECIAIS"/>
    <x v="306"/>
    <n v="0"/>
    <n v="800000000"/>
    <n v="800000000"/>
  </r>
  <r>
    <x v="2"/>
    <s v="2015 - FORTALECIMENTO DO SISTEMA UNICO DE SAUDE (SUS)"/>
    <x v="902"/>
    <n v="0"/>
    <n v="0"/>
    <n v="0"/>
  </r>
  <r>
    <x v="2"/>
    <s v="2015 - FORTALECIMENTO DO SISTEMA UNICO DE SAUDE (SUS)"/>
    <x v="234"/>
    <n v="0"/>
    <n v="0"/>
    <n v="0"/>
  </r>
  <r>
    <x v="2"/>
    <s v="2209 - BRASIL, NOSSO PROPOSITO"/>
    <x v="428"/>
    <n v="499903.71"/>
    <n v="69648.84"/>
    <n v="72514.89"/>
  </r>
  <r>
    <x v="2"/>
    <s v="2221 - RECURSOS HIDRICOS"/>
    <x v="235"/>
    <n v="43767.34"/>
    <n v="5043.3999999999996"/>
    <n v="4993"/>
  </r>
  <r>
    <x v="2"/>
    <s v="2221 - RECURSOS HIDRICOS"/>
    <x v="969"/>
    <n v="18992366"/>
    <n v="12331024.91"/>
    <n v="12331024.91"/>
  </r>
  <r>
    <x v="2"/>
    <s v="0031 - PROGRAMA DE GESTAO E MANUTENCAO DO MINISTERIO PUBLICO"/>
    <x v="812"/>
    <n v="0"/>
    <n v="0"/>
    <n v="0"/>
  </r>
  <r>
    <x v="2"/>
    <s v="5035 - PROMOCAO DE CIDADANIA POR MEIO DO AUXILIO BRASIL E DA ARTICULACAO DE POLITICAS PUBLICAS"/>
    <x v="550"/>
    <n v="0"/>
    <n v="13942864544"/>
    <n v="13945824644"/>
  </r>
  <r>
    <x v="2"/>
    <s v="2208 - TECNOLOGIAS APLICADAS, INOVACAO E DESENVOLVIMENTO SUSTENTAVEL"/>
    <x v="922"/>
    <n v="0"/>
    <n v="0"/>
    <n v="0"/>
  </r>
  <r>
    <x v="2"/>
    <s v="5019 - ATENCAO PRIMARIA A SAUDE"/>
    <x v="412"/>
    <n v="4221000"/>
    <n v="0"/>
    <n v="0"/>
  </r>
  <r>
    <x v="2"/>
    <s v="6012 - DEFESA NACIONAL"/>
    <x v="596"/>
    <n v="-163780.39000000001"/>
    <n v="172887.47"/>
    <n v="171939.01"/>
  </r>
  <r>
    <x v="2"/>
    <s v="6012 - DEFESA NACIONAL"/>
    <x v="683"/>
    <n v="1704369.53"/>
    <n v="50303.56"/>
    <n v="9533.6200000000008"/>
  </r>
  <r>
    <x v="2"/>
    <s v="6012 - DEFESA NACIONAL"/>
    <x v="508"/>
    <n v="2448930.7000000002"/>
    <n v="2083413.32"/>
    <n v="2232075.25"/>
  </r>
  <r>
    <x v="2"/>
    <s v="3006 - TRANSPORTE TERRESTRE E TRANSITO"/>
    <x v="892"/>
    <n v="0"/>
    <n v="0"/>
    <n v="0"/>
  </r>
  <r>
    <x v="2"/>
    <s v="0151 - PROTECAO DE TERRAS INDIGENAS, GESTAO TERRITORIAL E ETNODESENVOLVIMENTO"/>
    <x v="459"/>
    <n v="0"/>
    <n v="0"/>
    <n v="0"/>
  </r>
  <r>
    <x v="2"/>
    <s v="2015 - FORTALECIMENTO DO SISTEMA UNICO DE SAUDE (SUS)"/>
    <x v="970"/>
    <n v="0"/>
    <n v="0"/>
    <n v="0"/>
  </r>
  <r>
    <x v="2"/>
    <s v="1031 - AGROPECUARIA SUSTENTAVEL"/>
    <x v="138"/>
    <n v="850000"/>
    <n v="47887978.289999999"/>
    <n v="157460850.36000001"/>
  </r>
  <r>
    <x v="2"/>
    <s v="2221 - RECURSOS HIDRICOS"/>
    <x v="414"/>
    <n v="0"/>
    <n v="0"/>
    <n v="0"/>
  </r>
  <r>
    <x v="2"/>
    <s v="5018 - ATENCAO ESPECIALIZADA A SAUDE"/>
    <x v="825"/>
    <n v="0"/>
    <n v="0"/>
    <n v="0"/>
  </r>
  <r>
    <x v="2"/>
    <s v="1058 - MUDANCA DO CLIMA"/>
    <x v="567"/>
    <n v="376815.39"/>
    <n v="99403.04"/>
    <n v="99348.67"/>
  </r>
  <r>
    <x v="2"/>
    <s v="0903 - OPERACOES ESPECIAIS: TRANSFERENCIAS CONSTITUCIONAIS E AS DECORRENTES DE LEGISLACAO ESPECIFICA"/>
    <x v="380"/>
    <n v="0"/>
    <n v="4267931.41"/>
    <n v="4267931.41"/>
  </r>
  <r>
    <x v="2"/>
    <s v="0902 - OPERACOES ESPECIAIS: FINANCIAMENTOS COM RETORNO"/>
    <x v="44"/>
    <n v="1647664525.21"/>
    <n v="1647664525.21"/>
    <n v="1647664525.21"/>
  </r>
  <r>
    <x v="2"/>
    <s v="5020 - DESENVOLVIMENTO CIENTIFICO, TECNOLOGICO E PRODUTIVO EM SAUDE"/>
    <x v="515"/>
    <n v="0"/>
    <n v="0"/>
    <n v="0"/>
  </r>
  <r>
    <x v="2"/>
    <s v="2030 - EDUCACAO BASICA"/>
    <x v="859"/>
    <n v="0"/>
    <n v="0"/>
    <n v="0"/>
  </r>
  <r>
    <x v="2"/>
    <s v="0903 - OPERACOES ESPECIAIS: TRANSFERENCIAS CONSTITUCIONAIS E AS DECORRENTES DE LEGISLACAO ESPECIFICA"/>
    <x v="215"/>
    <n v="0"/>
    <n v="84077398.829999998"/>
    <n v="84077398.829999998"/>
  </r>
  <r>
    <x v="2"/>
    <s v="2220 - MORADIA DIGNA"/>
    <x v="822"/>
    <n v="203524935.21000001"/>
    <n v="0"/>
    <n v="0"/>
  </r>
  <r>
    <x v="2"/>
    <s v="5019 - ATENCAO PRIMARIA A SAUDE"/>
    <x v="316"/>
    <n v="0"/>
    <n v="0"/>
    <n v="0"/>
  </r>
  <r>
    <x v="2"/>
    <s v="1043 - QUALIDADE AMBIENTAL URBANA"/>
    <x v="72"/>
    <n v="100000"/>
    <n v="0"/>
    <n v="0"/>
  </r>
  <r>
    <x v="2"/>
    <s v="0032 - PROGRAMA DE GESTAO E MANUTENCAO DO PODER EXECUTIVO"/>
    <x v="538"/>
    <n v="100000"/>
    <n v="4702.09"/>
    <n v="4702.09"/>
  </r>
  <r>
    <x v="2"/>
    <s v="2076 - DESENVOLVIMENTO E PROMOCAO DO TURISMO"/>
    <x v="13"/>
    <n v="0"/>
    <n v="0"/>
    <n v="0"/>
  </r>
  <r>
    <x v="2"/>
    <s v="2207 - PROGRAMA ESPACIAL BRASILEIRO"/>
    <x v="381"/>
    <n v="11113378.75"/>
    <n v="235130.08"/>
    <n v="81981.210000000006"/>
  </r>
  <r>
    <x v="2"/>
    <s v="2212 - MELHORIA DO AMBIENTE DE NEGOCIOS E DA PRODUTIVIDADE"/>
    <x v="99"/>
    <n v="184824.58"/>
    <n v="1474.58"/>
    <n v="1474.58"/>
  </r>
  <r>
    <x v="2"/>
    <s v="0903 - OPERACOES ESPECIAIS: TRANSFERENCIAS CONSTITUCIONAIS E AS DECORRENTES DE LEGISLACAO ESPECIFICA"/>
    <x v="298"/>
    <n v="0"/>
    <n v="27405027.969999999"/>
    <n v="27405027.969999999"/>
  </r>
  <r>
    <x v="2"/>
    <s v="5026 - ESPORTE"/>
    <x v="971"/>
    <n v="0"/>
    <n v="0"/>
    <n v="0"/>
  </r>
  <r>
    <x v="2"/>
    <s v="2215 - POLITICA ECONOMICA E EQUILIBRIO FISCAL"/>
    <x v="364"/>
    <n v="369463.83"/>
    <n v="68131.039999999994"/>
    <n v="68131.039999999994"/>
  </r>
  <r>
    <x v="2"/>
    <s v="3006 - TRANSPORTE TERRESTRE E TRANSITO"/>
    <x v="450"/>
    <n v="25888428.079999998"/>
    <n v="184940.15"/>
    <n v="184940.15"/>
  </r>
  <r>
    <x v="2"/>
    <s v="5021 - GESTAO E ORGANIZACAO DO SUS"/>
    <x v="477"/>
    <n v="0"/>
    <n v="22397.42"/>
    <n v="22397.42"/>
  </r>
  <r>
    <x v="2"/>
    <s v="2204 - BRASIL NA FRONTEIRA DO CONHECIMENTO"/>
    <x v="519"/>
    <n v="90336.15"/>
    <n v="49691.48"/>
    <n v="49691.48"/>
  </r>
  <r>
    <x v="2"/>
    <s v="0032 - PROGRAMA DE GESTAO E MANUTENCAO DO PODER EXECUTIVO"/>
    <x v="897"/>
    <n v="80000"/>
    <n v="0"/>
    <n v="0"/>
  </r>
  <r>
    <x v="2"/>
    <s v="2204 - BRASIL NA FRONTEIRA DO CONHECIMENTO"/>
    <x v="598"/>
    <n v="133514515.37"/>
    <n v="22226487.390000001"/>
    <n v="53150526.299999997"/>
  </r>
  <r>
    <x v="2"/>
    <s v="0910 - OPERACOES ESPECIAIS: GESTAO DA PARTICIPACAO EM ORGANISMOS E ENTIDADES NACIONAIS E INTERNACIONAIS"/>
    <x v="972"/>
    <n v="0"/>
    <n v="0"/>
    <n v="0"/>
  </r>
  <r>
    <x v="2"/>
    <s v="6012 - DEFESA NACIONAL"/>
    <x v="254"/>
    <n v="200424427.65000001"/>
    <n v="7813.55"/>
    <n v="7813.55"/>
  </r>
  <r>
    <x v="2"/>
    <s v="0032 - PROGRAMA DE GESTAO E MANUTENCAO DO PODER EXECUTIVO"/>
    <x v="541"/>
    <n v="0"/>
    <n v="0"/>
    <n v="0"/>
  </r>
  <r>
    <x v="2"/>
    <s v="0901 - OPERACOES ESPECIAIS: CUMPRIMENTO DE SENTENCAS JUDICIAIS"/>
    <x v="973"/>
    <n v="0"/>
    <n v="0"/>
    <n v="0"/>
  </r>
  <r>
    <x v="2"/>
    <s v="2214 - NOVA PREVIDENCIA"/>
    <x v="3"/>
    <n v="0"/>
    <n v="16542422.529999999"/>
    <n v="26011361.809999999"/>
  </r>
  <r>
    <x v="2"/>
    <s v="2015 - FORTALECIMENTO DO SISTEMA UNICO DE SAUDE (SUS)"/>
    <x v="817"/>
    <n v="0"/>
    <n v="0"/>
    <n v="0"/>
  </r>
  <r>
    <x v="2"/>
    <s v="1031 - AGROPECUARIA SUSTENTAVEL"/>
    <x v="48"/>
    <n v="0"/>
    <n v="0"/>
    <n v="0"/>
  </r>
  <r>
    <x v="2"/>
    <s v="2080 - EDUCACAO DE QUALIDADE PARA TODOS"/>
    <x v="258"/>
    <n v="0"/>
    <n v="0"/>
    <n v="0"/>
  </r>
  <r>
    <x v="2"/>
    <s v="2015 - FORTALECIMENTO DO SISTEMA UNICO DE SAUDE (SUS)"/>
    <x v="771"/>
    <n v="0"/>
    <n v="0"/>
    <n v="0"/>
  </r>
  <r>
    <x v="2"/>
    <s v="2106 - PROGRAMA DE GESTAO E MANUTENCAO DO MINISTERIO DA CIENCIA, TECNOLOGIA, INOVACOES E COMUNICACOES"/>
    <x v="52"/>
    <n v="0"/>
    <n v="0"/>
    <n v="0"/>
  </r>
  <r>
    <x v="2"/>
    <s v="2203 - PESQUISA E INOVACAO AGROPECUARIA"/>
    <x v="974"/>
    <n v="0"/>
    <n v="0"/>
    <n v="0"/>
  </r>
  <r>
    <x v="2"/>
    <s v="6012 - DEFESA NACIONAL"/>
    <x v="210"/>
    <n v="0"/>
    <n v="0"/>
    <n v="0"/>
  </r>
  <r>
    <x v="2"/>
    <s v="0032 - PROGRAMA DE GESTAO E MANUTENCAO DO PODER EXECUTIVO"/>
    <x v="91"/>
    <n v="4559618.95"/>
    <n v="5292689.25"/>
    <n v="5292677.82"/>
  </r>
  <r>
    <x v="2"/>
    <s v="6012 - DEFESA NACIONAL"/>
    <x v="378"/>
    <n v="217947.77"/>
    <n v="22890.53"/>
    <n v="20497.02"/>
  </r>
  <r>
    <x v="2"/>
    <s v="1031 - AGROPECUARIA SUSTENTAVEL"/>
    <x v="231"/>
    <n v="0"/>
    <n v="0"/>
    <n v="0"/>
  </r>
  <r>
    <x v="2"/>
    <s v="5033 - SEGURANCA ALIMENTAR E NUTRICIONAL"/>
    <x v="370"/>
    <n v="4139.12"/>
    <n v="4139.12"/>
    <n v="4139.12"/>
  </r>
  <r>
    <x v="2"/>
    <s v="3006 - TRANSPORTE TERRESTRE E TRANSITO"/>
    <x v="975"/>
    <n v="440000"/>
    <n v="32873.879999999997"/>
    <n v="32873.879999999997"/>
  </r>
  <r>
    <x v="2"/>
    <s v="2222 - SANEAMENTO BASICO"/>
    <x v="706"/>
    <n v="81516.479999999996"/>
    <n v="66492.52"/>
    <n v="63603.87"/>
  </r>
  <r>
    <x v="2"/>
    <s v="5021 - GESTAO E ORGANIZACAO DO SUS"/>
    <x v="829"/>
    <n v="0"/>
    <n v="0"/>
    <n v="0"/>
  </r>
  <r>
    <x v="2"/>
    <s v="3006 - TRANSPORTE TERRESTRE E TRANSITO"/>
    <x v="27"/>
    <n v="3208993"/>
    <n v="0"/>
    <n v="0"/>
  </r>
  <r>
    <x v="2"/>
    <s v="0901 - OPERACOES ESPECIAIS: CUMPRIMENTO DE SENTENCAS JUDICIAIS"/>
    <x v="882"/>
    <n v="0"/>
    <n v="0"/>
    <n v="0"/>
  </r>
  <r>
    <x v="2"/>
    <s v="5020 - DESENVOLVIMENTO CIENTIFICO, TECNOLOGICO E PRODUTIVO EM SAUDE"/>
    <x v="268"/>
    <n v="0"/>
    <n v="0"/>
    <n v="0"/>
  </r>
  <r>
    <x v="2"/>
    <s v="2015 - FORTALECIMENTO DO SISTEMA UNICO DE SAUDE (SUS)"/>
    <x v="374"/>
    <n v="0"/>
    <n v="0"/>
    <n v="0"/>
  </r>
  <r>
    <x v="2"/>
    <s v="0903 - OPERACOES ESPECIAIS: TRANSFERENCIAS CONSTITUCIONAIS E AS DECORRENTES DE LEGISLACAO ESPECIFICA"/>
    <x v="670"/>
    <n v="43193513.609999999"/>
    <n v="43131344.979999997"/>
    <n v="42694279.729999997"/>
  </r>
  <r>
    <x v="2"/>
    <s v="3001 - ENERGIA ELETRICA"/>
    <x v="16"/>
    <n v="237278"/>
    <n v="580185.04"/>
    <n v="570911.56000000006"/>
  </r>
  <r>
    <x v="2"/>
    <s v="1041 - CONSERVACAO E USO SUSTENTAVEL DA BIODIVERSIDADE E DOS RECURSOS NATURAIS"/>
    <x v="164"/>
    <n v="1029220"/>
    <n v="383969.87"/>
    <n v="927592.95"/>
  </r>
  <r>
    <x v="2"/>
    <s v="0910 - OPERACOES ESPECIAIS: GESTAO DA PARTICIPACAO EM ORGANISMOS E ENTIDADES NACIONAIS E INTERNACIONAIS"/>
    <x v="976"/>
    <n v="60000000"/>
    <n v="57948916.25"/>
    <n v="57948916.25"/>
  </r>
  <r>
    <x v="2"/>
    <s v="2221 - RECURSOS HIDRICOS"/>
    <x v="615"/>
    <n v="116617.4"/>
    <n v="14629.26"/>
    <n v="3577.66"/>
  </r>
  <r>
    <x v="2"/>
    <s v="1041 - CONSERVACAO E USO SUSTENTAVEL DA BIODIVERSIDADE E DOS RECURSOS NATURAIS"/>
    <x v="977"/>
    <n v="100000"/>
    <n v="2294.98"/>
    <n v="2294.98"/>
  </r>
  <r>
    <x v="2"/>
    <s v="3001 - ENERGIA ELETRICA"/>
    <x v="868"/>
    <n v="0"/>
    <n v="7485.92"/>
    <n v="6846.7"/>
  </r>
  <r>
    <x v="2"/>
    <s v="3006 - TRANSPORTE TERRESTRE E TRANSITO"/>
    <x v="601"/>
    <n v="362627.53"/>
    <n v="0"/>
    <n v="0"/>
  </r>
  <r>
    <x v="2"/>
    <s v="2205 - CONECTA BRASIL"/>
    <x v="80"/>
    <n v="-53152636.939999998"/>
    <n v="6700066.3200000003"/>
    <n v="3708985.41"/>
  </r>
  <r>
    <x v="2"/>
    <s v="0905 - OPERACOES ESPECIAIS: SERVICO DA DIVIDA INTERNA (JUROS EAMORTIZACOES)"/>
    <x v="0"/>
    <n v="2328147962.9899998"/>
    <n v="8458018485.79"/>
    <n v="8458018485.79"/>
  </r>
  <r>
    <x v="2"/>
    <s v="2080 - EDUCACAO DE QUALIDADE PARA TODOS"/>
    <x v="865"/>
    <n v="0"/>
    <n v="0"/>
    <n v="0"/>
  </r>
  <r>
    <x v="2"/>
    <s v="2215 - POLITICA ECONOMICA E EQUILIBRIO FISCAL"/>
    <x v="597"/>
    <n v="5645946.8799999999"/>
    <n v="373413.04"/>
    <n v="373413.04"/>
  </r>
  <r>
    <x v="2"/>
    <s v="5028 - INCLUSAO SOCIAL POR MEIO DO BOLSA FAMILIA E DA ARTICULACAO DE POLITICAS PUBLICAS"/>
    <x v="152"/>
    <n v="0"/>
    <n v="0"/>
    <n v="0"/>
  </r>
  <r>
    <x v="2"/>
    <s v="3006 - TRANSPORTE TERRESTRE E TRANSITO"/>
    <x v="841"/>
    <n v="4686456"/>
    <n v="0"/>
    <n v="0"/>
  </r>
  <r>
    <x v="2"/>
    <s v="0903 - OPERACOES ESPECIAIS: TRANSFERENCIAS CONSTITUCIONAIS E AS DECORRENTES DE LEGISLACAO ESPECIFICA"/>
    <x v="82"/>
    <n v="0"/>
    <n v="332230841.32999998"/>
    <n v="332230841.32999998"/>
  </r>
  <r>
    <x v="2"/>
    <s v="6012 - DEFESA NACIONAL"/>
    <x v="978"/>
    <n v="120896.03"/>
    <n v="0"/>
    <n v="0"/>
  </r>
  <r>
    <x v="2"/>
    <s v="0032 - PROGRAMA DE GESTAO E MANUTENCAO DO PODER EXECUTIVO"/>
    <x v="357"/>
    <n v="589503692.5"/>
    <n v="2374037305.3299999"/>
    <n v="2400447398.8400002"/>
  </r>
  <r>
    <x v="2"/>
    <s v="6014 - PREVENCAO E CONTROLE DO DESMATAMENTO E DOS INCENDIOS NOS BIOMAS"/>
    <x v="185"/>
    <n v="194372.98"/>
    <n v="8089081.9500000002"/>
    <n v="8033165.4699999997"/>
  </r>
  <r>
    <x v="2"/>
    <s v="5015 - JUSTICA"/>
    <x v="714"/>
    <n v="-5986534.8399999999"/>
    <n v="1670749.91"/>
    <n v="1567283.93"/>
  </r>
  <r>
    <x v="2"/>
    <s v="3006 - TRANSPORTE TERRESTRE E TRANSITO"/>
    <x v="481"/>
    <n v="-36382203.579999998"/>
    <n v="175011.76"/>
    <n v="16538.62"/>
  </r>
  <r>
    <x v="2"/>
    <s v="1031 - AGROPECUARIA SUSTENTAVEL"/>
    <x v="614"/>
    <n v="0"/>
    <n v="0"/>
    <n v="0"/>
  </r>
  <r>
    <x v="2"/>
    <s v="3001 - ENERGIA ELETRICA"/>
    <x v="304"/>
    <n v="-150000"/>
    <n v="596132.80000000005"/>
    <n v="592299.19999999995"/>
  </r>
  <r>
    <x v="2"/>
    <s v="2118 - PROGRAMA DE GESTAO E MANUTENCAO DO MINISTERIO DAS RELACOES EXTERIORES"/>
    <x v="52"/>
    <n v="0"/>
    <n v="0"/>
    <n v="0"/>
  </r>
  <r>
    <x v="2"/>
    <s v="2206 - POLITICA NUCLEAR"/>
    <x v="687"/>
    <n v="0"/>
    <n v="107871.06"/>
    <n v="97528.29"/>
  </r>
  <r>
    <x v="2"/>
    <s v="2221 - RECURSOS HIDRICOS"/>
    <x v="913"/>
    <n v="0"/>
    <n v="876.85"/>
    <n v="876.85"/>
  </r>
  <r>
    <x v="2"/>
    <s v="1031 - AGROPECUARIA SUSTENTAVEL"/>
    <x v="899"/>
    <n v="101013.34"/>
    <n v="100507.41"/>
    <n v="100507.41"/>
  </r>
  <r>
    <x v="2"/>
    <s v="5031 - PROTECAO SOCIAL NO AMBITO DO SISTEMA UNICO DE ASSISTENCIA SOCIAL (SUAS)"/>
    <x v="251"/>
    <n v="183118.36"/>
    <n v="206139.56"/>
    <n v="189146.13"/>
  </r>
  <r>
    <x v="2"/>
    <s v="6011 - COOPERACAO COM O DESENVOLVIMENTO NACIONAL"/>
    <x v="852"/>
    <n v="315400"/>
    <n v="272792"/>
    <n v="272792"/>
  </r>
  <r>
    <x v="2"/>
    <s v="2015 - FORTALECIMENTO DO SISTEMA UNICO DE SAUDE (SUS)"/>
    <x v="909"/>
    <n v="0"/>
    <n v="0"/>
    <n v="0"/>
  </r>
  <r>
    <x v="2"/>
    <s v="2212 - MELHORIA DO AMBIENTE DE NEGOCIOS E DA PRODUTIVIDADE"/>
    <x v="979"/>
    <n v="150000"/>
    <n v="0"/>
    <n v="0"/>
  </r>
  <r>
    <x v="2"/>
    <s v="3006 - TRANSPORTE TERRESTRE E TRANSITO"/>
    <x v="980"/>
    <n v="2000000"/>
    <n v="0"/>
    <n v="0"/>
  </r>
  <r>
    <x v="2"/>
    <s v="1031 - AGROPECUARIA SUSTENTAVEL"/>
    <x v="468"/>
    <n v="46897.23"/>
    <n v="43857.18"/>
    <n v="43857.18"/>
  </r>
  <r>
    <x v="2"/>
    <s v="5026 - ESPORTE"/>
    <x v="533"/>
    <n v="-2097959.09"/>
    <n v="0"/>
    <n v="0"/>
  </r>
  <r>
    <x v="2"/>
    <s v="5031 - PROTECAO SOCIAL NO AMBITO DO SISTEMA UNICO DE ASSISTENCIA SOCIAL (SUAS)"/>
    <x v="302"/>
    <n v="3263209.76"/>
    <n v="0"/>
    <n v="0"/>
  </r>
  <r>
    <x v="2"/>
    <s v="5020 - DESENVOLVIMENTO CIENTIFICO, TECNOLOGICO E PRODUTIVO EM SAUDE"/>
    <x v="612"/>
    <n v="1294880"/>
    <n v="1294880"/>
    <n v="0"/>
  </r>
  <r>
    <x v="2"/>
    <s v="4001 - COMUNICACAO PUBLICA E DIVULGACAO DE ATOS E MATERIAS DO GOVERNO FEDERAL"/>
    <x v="35"/>
    <n v="9151774.6500000004"/>
    <n v="9814736.4299999997"/>
    <n v="9261941.0299999993"/>
  </r>
  <r>
    <x v="2"/>
    <s v="5023 - VIGILANCIA EM SAUDE"/>
    <x v="102"/>
    <n v="0"/>
    <n v="0"/>
    <n v="0"/>
  </r>
  <r>
    <x v="2"/>
    <s v="2210 - EMPREGABILIDADE"/>
    <x v="803"/>
    <n v="150000"/>
    <n v="0"/>
    <n v="0"/>
  </r>
  <r>
    <x v="2"/>
    <s v="3006 - TRANSPORTE TERRESTRE E TRANSITO"/>
    <x v="242"/>
    <n v="0"/>
    <n v="0"/>
    <n v="0"/>
  </r>
  <r>
    <x v="2"/>
    <s v="1031 - AGROPECUARIA SUSTENTAVEL"/>
    <x v="981"/>
    <n v="0"/>
    <n v="0"/>
    <n v="0"/>
  </r>
  <r>
    <x v="2"/>
    <s v="0910 - OPERACOES ESPECIAIS: GESTAO DA PARTICIPACAO EM ORGANISMOS E ENTIDADES NACIONAIS E INTERNACIONAIS"/>
    <x v="982"/>
    <n v="2807000"/>
    <n v="2490368.2599999998"/>
    <n v="2490368.2599999998"/>
  </r>
  <r>
    <x v="2"/>
    <s v="6015 - EDUCACAO INFANTIL"/>
    <x v="983"/>
    <n v="0"/>
    <n v="0"/>
    <n v="0"/>
  </r>
  <r>
    <x v="2"/>
    <s v="2040 - GESTAO DE RISCOS E DE DESASTRES"/>
    <x v="467"/>
    <n v="0"/>
    <n v="0"/>
    <n v="0"/>
  </r>
  <r>
    <x v="2"/>
    <s v="0032 - PROGRAMA DE GESTAO E MANUTENCAO DO PODER EXECUTIVO"/>
    <x v="984"/>
    <n v="176565.86"/>
    <n v="0"/>
    <n v="0"/>
  </r>
  <r>
    <x v="2"/>
    <s v="3006 - TRANSPORTE TERRESTRE E TRANSITO"/>
    <x v="883"/>
    <n v="0"/>
    <n v="0"/>
    <n v="0"/>
  </r>
  <r>
    <x v="2"/>
    <s v="2221 - RECURSOS HIDRICOS"/>
    <x v="876"/>
    <n v="254.59"/>
    <n v="254.59"/>
    <n v="254.59"/>
  </r>
  <r>
    <x v="2"/>
    <s v="2221 - RECURSOS HIDRICOS"/>
    <x v="149"/>
    <n v="22738399.850000001"/>
    <n v="4255843.3499999996"/>
    <n v="722922"/>
  </r>
  <r>
    <x v="2"/>
    <s v="1031 - AGROPECUARIA SUSTENTAVEL"/>
    <x v="569"/>
    <n v="203862.2"/>
    <n v="0"/>
    <n v="0"/>
  </r>
  <r>
    <x v="2"/>
    <s v="2211 - INSERCAO ECONOMICA INTERNACIONAL"/>
    <x v="182"/>
    <n v="0"/>
    <n v="0"/>
    <n v="0"/>
  </r>
  <r>
    <x v="2"/>
    <s v="2212 - MELHORIA DO AMBIENTE DE NEGOCIOS E DA PRODUTIVIDADE"/>
    <x v="767"/>
    <n v="959892.49"/>
    <n v="706698.45"/>
    <n v="707450.59"/>
  </r>
  <r>
    <x v="2"/>
    <s v="0032 - PROGRAMA DE GESTAO E MANUTENCAO DO PODER EXECUTIVO"/>
    <x v="493"/>
    <n v="73774476.640000001"/>
    <n v="74621087.260000005"/>
    <n v="70717991.590000004"/>
  </r>
  <r>
    <x v="2"/>
    <s v="2217 - DESENVOLVIMENTO REGIONAL, TERRITORIAL E URBANO"/>
    <x v="406"/>
    <n v="76855.13"/>
    <n v="42027.58"/>
    <n v="30004.05"/>
  </r>
  <r>
    <x v="2"/>
    <s v="0033 - PROGRAMA DE GESTAO E MANUTENCAO DO PODER JUDICIARIO"/>
    <x v="297"/>
    <n v="136173.18"/>
    <n v="109225.63"/>
    <n v="1400"/>
  </r>
  <r>
    <x v="2"/>
    <s v="3004 - AVIACAO CIVIL"/>
    <x v="379"/>
    <n v="17781502"/>
    <n v="437852.31"/>
    <n v="0"/>
  </r>
  <r>
    <x v="2"/>
    <s v="2035 - ESPORTE, CIDADANIA E DESENVOLVIMENTO"/>
    <x v="985"/>
    <n v="0"/>
    <n v="0"/>
    <n v="0"/>
  </r>
  <r>
    <x v="2"/>
    <s v="3006 - TRANSPORTE TERRESTRE E TRANSITO"/>
    <x v="666"/>
    <n v="629874.06000000006"/>
    <n v="8072958.1600000001"/>
    <n v="5129413.4800000004"/>
  </r>
  <r>
    <x v="2"/>
    <s v="2206 - POLITICA NUCLEAR"/>
    <x v="659"/>
    <n v="0"/>
    <n v="0"/>
    <n v="0"/>
  </r>
  <r>
    <x v="2"/>
    <s v="5015 - JUSTICA"/>
    <x v="317"/>
    <n v="84733.1"/>
    <n v="19563.25"/>
    <n v="19563.25"/>
  </r>
  <r>
    <x v="2"/>
    <s v="2222 - SANEAMENTO BASICO"/>
    <x v="904"/>
    <n v="51545.66"/>
    <n v="45497.37"/>
    <n v="2193.8000000000002"/>
  </r>
  <r>
    <x v="2"/>
    <s v="5016 - SEGURANCA PUBLICA, COMBATE A CORRUPCAO, AO CRIME ORGANIZADO E AO CRIME VIOLENTO"/>
    <x v="79"/>
    <n v="999999"/>
    <n v="0"/>
    <n v="0"/>
  </r>
  <r>
    <x v="2"/>
    <s v="2115 - PROGRAMA DE GESTAO E MANUTENCAO DO MINISTERIO DA SAUDE"/>
    <x v="52"/>
    <n v="0"/>
    <n v="0"/>
    <n v="0"/>
  </r>
  <r>
    <x v="2"/>
    <s v="5021 - GESTAO E ORGANIZACAO DO SUS"/>
    <x v="560"/>
    <n v="22441273.829999998"/>
    <n v="5463489.21"/>
    <n v="1933675.68"/>
  </r>
  <r>
    <x v="2"/>
    <s v="2221 - RECURSOS HIDRICOS"/>
    <x v="645"/>
    <n v="332850.75"/>
    <n v="165843.9"/>
    <n v="4698.8999999999996"/>
  </r>
  <r>
    <x v="2"/>
    <s v="2066 - REFORMA AGRARIA E GOVERNANCA FUNDIARIA"/>
    <x v="231"/>
    <n v="0"/>
    <n v="0"/>
    <n v="0"/>
  </r>
  <r>
    <x v="2"/>
    <s v="2206 - POLITICA NUCLEAR"/>
    <x v="594"/>
    <n v="0"/>
    <n v="0"/>
    <n v="0"/>
  </r>
  <r>
    <x v="2"/>
    <s v="6012 - DEFESA NACIONAL"/>
    <x v="279"/>
    <n v="16942.599999999999"/>
    <n v="21771.26"/>
    <n v="22602.51"/>
  </r>
  <r>
    <x v="2"/>
    <s v="6012 - DEFESA NACIONAL"/>
    <x v="563"/>
    <n v="0"/>
    <n v="4318.8999999999996"/>
    <n v="4318.8999999999996"/>
  </r>
  <r>
    <x v="2"/>
    <s v="2217 - DESENVOLVIMENTO REGIONAL, TERRITORIAL E URBANO"/>
    <x v="196"/>
    <n v="0"/>
    <n v="0"/>
    <n v="0"/>
  </r>
  <r>
    <x v="2"/>
    <s v="1041 - CONSERVACAO E USO SUSTENTAVEL DA BIODIVERSIDADE E DOS RECURSOS NATURAIS"/>
    <x v="744"/>
    <n v="122453.31"/>
    <n v="100117.07"/>
    <n v="59595.39"/>
  </r>
  <r>
    <x v="2"/>
    <s v="6012 - DEFESA NACIONAL"/>
    <x v="130"/>
    <n v="1128271.21"/>
    <n v="38016.42"/>
    <n v="33832.68"/>
  </r>
  <r>
    <x v="2"/>
    <s v="2204 - BRASIL NA FRONTEIRA DO CONHECIMENTO"/>
    <x v="208"/>
    <n v="39832029.030000001"/>
    <n v="5818177.0300000003"/>
    <n v="3204527.03"/>
  </r>
  <r>
    <x v="2"/>
    <s v="2027 - CULTURA: DIMENSAO ESSENCIAL DO DESENVOLVIMENTO"/>
    <x v="986"/>
    <n v="0"/>
    <n v="0"/>
    <n v="0"/>
  </r>
  <r>
    <x v="2"/>
    <s v="2215 - POLITICA ECONOMICA E EQUILIBRIO FISCAL"/>
    <x v="96"/>
    <n v="-83920.6"/>
    <n v="39716.65"/>
    <n v="39716.65"/>
  </r>
  <r>
    <x v="2"/>
    <s v="2206 - POLITICA NUCLEAR"/>
    <x v="627"/>
    <n v="21504"/>
    <n v="3584"/>
    <n v="3584"/>
  </r>
  <r>
    <x v="2"/>
    <s v="2015 - FORTALECIMENTO DO SISTEMA UNICO DE SAUDE (SUS)"/>
    <x v="226"/>
    <n v="0"/>
    <n v="0"/>
    <n v="0"/>
  </r>
  <r>
    <x v="2"/>
    <s v="2206 - POLITICA NUCLEAR"/>
    <x v="429"/>
    <n v="2922175.52"/>
    <n v="5421468.7999999998"/>
    <n v="4114592.07"/>
  </r>
  <r>
    <x v="2"/>
    <s v="5034 - PROTECAO A VIDA, FORTALECIMENTO DA FAMILIA, PROMOCAO E DEFESA DOS DIREITOS HUMANOS PARA TODOS"/>
    <x v="455"/>
    <n v="0"/>
    <n v="0"/>
    <n v="0"/>
  </r>
  <r>
    <x v="2"/>
    <s v="0032 - PROGRAMA DE GESTAO E MANUTENCAO DO PODER EXECUTIVO"/>
    <x v="341"/>
    <n v="344489.11"/>
    <n v="257059.5"/>
    <n v="124957.67"/>
  </r>
  <r>
    <x v="2"/>
    <s v="1031 - AGROPECUARIA SUSTENTAVEL"/>
    <x v="474"/>
    <n v="-1888.94"/>
    <n v="-5435.7"/>
    <n v="-5435.7"/>
  </r>
  <r>
    <x v="2"/>
    <s v="5016 - SEGURANCA PUBLICA, COMBATE A CORRUPCAO, AO CRIME ORGANIZADO E AO CRIME VIOLENTO"/>
    <x v="636"/>
    <n v="1305791.44"/>
    <n v="1110941.44"/>
    <n v="1110941.44"/>
  </r>
  <r>
    <x v="2"/>
    <s v="4003 - GARANTIA DA ESTABILIDADE MONETARIA E FINANCEIRA"/>
    <x v="358"/>
    <n v="152962.64000000001"/>
    <n v="106416.8"/>
    <n v="106416.8"/>
  </r>
  <r>
    <x v="2"/>
    <s v="2027 - CULTURA: DIMENSAO ESSENCIAL DO DESENVOLVIMENTO"/>
    <x v="753"/>
    <n v="0"/>
    <n v="0"/>
    <n v="0"/>
  </r>
  <r>
    <x v="2"/>
    <s v="0617 - PROTECAO E PROMOCAO DOS DIREITOS DOS POVOS INDIGENAS"/>
    <x v="819"/>
    <n v="0"/>
    <n v="0"/>
    <n v="0"/>
  </r>
  <r>
    <x v="2"/>
    <s v="2217 - DESENVOLVIMENTO REGIONAL, TERRITORIAL E URBANO"/>
    <x v="322"/>
    <n v="38000"/>
    <n v="15900.59"/>
    <n v="15322.19"/>
  </r>
  <r>
    <x v="2"/>
    <s v="6012 - DEFESA NACIONAL"/>
    <x v="8"/>
    <n v="0"/>
    <n v="0"/>
    <n v="0"/>
  </r>
  <r>
    <x v="2"/>
    <s v="0910 - OPERACOES ESPECIAIS: GESTAO DA PARTICIPACAO EM ORGANISMOS E ENTIDADES NACIONAIS E INTERNACIONAIS"/>
    <x v="987"/>
    <n v="6000000"/>
    <n v="5658546.7999999998"/>
    <n v="5658546.7999999998"/>
  </r>
  <r>
    <x v="2"/>
    <s v="3006 - TRANSPORTE TERRESTRE E TRANSITO"/>
    <x v="166"/>
    <n v="12700053"/>
    <n v="0"/>
    <n v="0"/>
  </r>
  <r>
    <x v="2"/>
    <s v="5028 - INCLUSAO SOCIAL POR MEIO DO BOLSA FAMILIA E DA ARTICULACAO DE POLITICAS PUBLICAS"/>
    <x v="227"/>
    <n v="0"/>
    <n v="0"/>
    <n v="0"/>
  </r>
  <r>
    <x v="2"/>
    <s v="0033 - PROGRAMA DE GESTAO E MANUTENCAO DO PODER JUDICIARIO"/>
    <x v="415"/>
    <n v="100000"/>
    <n v="100000"/>
    <n v="0"/>
  </r>
  <r>
    <x v="2"/>
    <s v="6013 - OCEANOS, ZONA COSTEIRA E ANTARTICA"/>
    <x v="413"/>
    <n v="193099.27"/>
    <n v="13784.65"/>
    <n v="27916.15"/>
  </r>
  <r>
    <x v="2"/>
    <s v="0032 - PROGRAMA DE GESTAO E MANUTENCAO DO PODER EXECUTIVO"/>
    <x v="90"/>
    <n v="9299671"/>
    <n v="1218323.17"/>
    <n v="1216045.71"/>
  </r>
  <r>
    <x v="2"/>
    <s v="5016 - SEGURANCA PUBLICA, COMBATE A CORRUPCAO, AO CRIME ORGANIZADO E AO CRIME VIOLENTO"/>
    <x v="469"/>
    <n v="1627880.86"/>
    <n v="11150554.640000001"/>
    <n v="11206551.76"/>
  </r>
  <r>
    <x v="2"/>
    <s v="5013 - EDUCACAO SUPERIOR - GRADUACAO, POS-GRADUACAO, ENSINO, PESQUISA E EXTENSAO"/>
    <x v="400"/>
    <n v="50988694.579999998"/>
    <n v="55812005.170000002"/>
    <n v="55812005.170000002"/>
  </r>
  <r>
    <x v="2"/>
    <s v="0032 - PROGRAMA DE GESTAO E MANUTENCAO DO PODER EXECUTIVO"/>
    <x v="577"/>
    <n v="0"/>
    <n v="0"/>
    <n v="0"/>
  </r>
  <r>
    <x v="2"/>
    <s v="2049 - MORADIA DIGNA"/>
    <x v="36"/>
    <n v="0"/>
    <n v="0"/>
    <n v="0"/>
  </r>
  <r>
    <x v="2"/>
    <s v="2222 - SANEAMENTO BASICO"/>
    <x v="331"/>
    <n v="0"/>
    <n v="0"/>
    <n v="0"/>
  </r>
  <r>
    <x v="2"/>
    <s v="5026 - ESPORTE"/>
    <x v="633"/>
    <n v="551046.5"/>
    <n v="551046.5"/>
    <n v="551046.5"/>
  </r>
  <r>
    <x v="2"/>
    <s v="5026 - ESPORTE"/>
    <x v="988"/>
    <n v="530327"/>
    <n v="530327"/>
    <n v="530327"/>
  </r>
  <r>
    <x v="2"/>
    <s v="0903 - OPERACOES ESPECIAIS: TRANSFERENCIAS CONSTITUCIONAIS E AS DECORRENTES DE LEGISLACAO ESPECIFICA"/>
    <x v="654"/>
    <n v="85817242.689999998"/>
    <n v="85591630.670000002"/>
    <n v="85644372.650000006"/>
  </r>
  <r>
    <x v="2"/>
    <s v="2212 - MELHORIA DO AMBIENTE DE NEGOCIOS E DA PRODUTIVIDADE"/>
    <x v="329"/>
    <n v="24500934.649999999"/>
    <n v="24365294.969999999"/>
    <n v="24365294.969999999"/>
  </r>
  <r>
    <x v="2"/>
    <s v="2214 - NOVA PREVIDENCIA"/>
    <x v="371"/>
    <n v="0"/>
    <n v="482277542.39999998"/>
    <n v="504950197.66000003"/>
  </r>
  <r>
    <x v="2"/>
    <s v="0910 - OPERACOES ESPECIAIS: GESTAO DA PARTICIPACAO EM ORGANISMOS E ENTIDADES NACIONAIS E INTERNACIONAIS"/>
    <x v="989"/>
    <n v="3980000"/>
    <n v="3327939.07"/>
    <n v="3327939.07"/>
  </r>
  <r>
    <x v="2"/>
    <s v="5013 - EDUCACAO SUPERIOR - GRADUACAO, POS-GRADUACAO, ENSINO, PESQUISA E EXTENSAO"/>
    <x v="163"/>
    <n v="22000000"/>
    <n v="11394759.039999999"/>
    <n v="11394759.039999999"/>
  </r>
  <r>
    <x v="2"/>
    <s v="0909 - OPERACOES ESPECIAIS: OUTROS ENCARGOS ESPECIAIS"/>
    <x v="440"/>
    <n v="157380127.47999999"/>
    <n v="94918693.379999995"/>
    <n v="59714547.740000002"/>
  </r>
  <r>
    <x v="2"/>
    <s v="2212 - MELHORIA DO AMBIENTE DE NEGOCIOS E DA PRODUTIVIDADE"/>
    <x v="238"/>
    <n v="2562362.2599999998"/>
    <n v="696663.58"/>
    <n v="666844.46"/>
  </r>
  <r>
    <x v="2"/>
    <s v="5031 - PROTECAO SOCIAL NO AMBITO DO SISTEMA UNICO DE ASSISTENCIA SOCIAL (SUAS)"/>
    <x v="307"/>
    <n v="59235208.189999998"/>
    <n v="57981788.740000002"/>
    <n v="56954425.049999997"/>
  </r>
  <r>
    <x v="2"/>
    <s v="2211 - INSERCAO ECONOMICA INTERNACIONAL"/>
    <x v="147"/>
    <n v="872000"/>
    <n v="47841.35"/>
    <n v="37160.620000000003"/>
  </r>
  <r>
    <x v="2"/>
    <s v="0903 - OPERACOES ESPECIAIS: TRANSFERENCIAS CONSTITUCIONAIS E AS DECORRENTES DE LEGISLACAO ESPECIFICA"/>
    <x v="628"/>
    <n v="14975280.42"/>
    <n v="14931829.32"/>
    <n v="14897394.699999999"/>
  </r>
  <r>
    <x v="2"/>
    <s v="0032 - PROGRAMA DE GESTAO E MANUTENCAO DO PODER EXECUTIVO"/>
    <x v="295"/>
    <n v="12925509.42"/>
    <n v="35555.07"/>
    <n v="49495.71"/>
  </r>
  <r>
    <x v="2"/>
    <s v="1041 - CONSERVACAO E USO SUSTENTAVEL DA BIODIVERSIDADE E DOS RECURSOS NATURAIS"/>
    <x v="176"/>
    <n v="109166.67"/>
    <n v="0"/>
    <n v="0"/>
  </r>
  <r>
    <x v="2"/>
    <s v="3006 - TRANSPORTE TERRESTRE E TRANSITO"/>
    <x v="111"/>
    <n v="50000000"/>
    <n v="191960.64"/>
    <n v="184471.79"/>
  </r>
  <r>
    <x v="2"/>
    <s v="5025 - CULTURA"/>
    <x v="990"/>
    <n v="0"/>
    <n v="0"/>
    <n v="0"/>
  </r>
  <r>
    <x v="2"/>
    <s v="2222 - SANEAMENTO BASICO"/>
    <x v="797"/>
    <n v="211000"/>
    <n v="128892.51"/>
    <n v="128892.51"/>
  </r>
  <r>
    <x v="2"/>
    <s v="2214 - NOVA PREVIDENCIA"/>
    <x v="187"/>
    <n v="12312623.630000001"/>
    <n v="2693269.68"/>
    <n v="2490269.86"/>
  </r>
  <r>
    <x v="2"/>
    <s v="0032 - PROGRAMA DE GESTAO E MANUTENCAO DO PODER EXECUTIVO"/>
    <x v="779"/>
    <n v="217527.35"/>
    <n v="49174.63"/>
    <n v="33702.61"/>
  </r>
  <r>
    <x v="2"/>
    <s v="3006 - TRANSPORTE TERRESTRE E TRANSITO"/>
    <x v="125"/>
    <n v="450000"/>
    <n v="1083780.22"/>
    <n v="0"/>
  </r>
  <r>
    <x v="2"/>
    <s v="6013 - OCEANOS, ZONA COSTEIRA E ANTARTICA"/>
    <x v="778"/>
    <n v="44627.9"/>
    <n v="16087.44"/>
    <n v="11683.37"/>
  </r>
  <r>
    <x v="2"/>
    <s v="5025 - CULTURA"/>
    <x v="271"/>
    <n v="723094.43"/>
    <n v="396665.17"/>
    <n v="232601.97"/>
  </r>
  <r>
    <x v="2"/>
    <s v="1031 - AGROPECUARIA SUSTENTAVEL"/>
    <x v="512"/>
    <n v="403149.74"/>
    <n v="635325.09"/>
    <n v="571225.93999999994"/>
  </r>
  <r>
    <x v="2"/>
    <s v="1031 - AGROPECUARIA SUSTENTAVEL"/>
    <x v="192"/>
    <n v="0"/>
    <n v="0"/>
    <n v="0"/>
  </r>
  <r>
    <x v="2"/>
    <s v="5023 - VIGILANCIA EM SAUDE"/>
    <x v="247"/>
    <n v="205571646.63999999"/>
    <n v="44901663.740000002"/>
    <n v="481530.55"/>
  </r>
  <r>
    <x v="2"/>
    <s v="5013 - EDUCACAO SUPERIOR - GRADUACAO, POS-GRADUACAO, ENSINO, PESQUISA E EXTENSAO"/>
    <x v="123"/>
    <n v="9939853"/>
    <n v="20859600"/>
    <n v="20859600"/>
  </r>
  <r>
    <x v="2"/>
    <s v="2216 - POLITICA EXTERNA"/>
    <x v="991"/>
    <n v="17808.330000000002"/>
    <n v="15879.91"/>
    <n v="15879.91"/>
  </r>
  <r>
    <x v="2"/>
    <s v="0032 - PROGRAMA DE GESTAO E MANUTENCAO DO PODER EXECUTIVO"/>
    <x v="178"/>
    <n v="0"/>
    <n v="0"/>
    <n v="0"/>
  </r>
  <r>
    <x v="2"/>
    <s v="2080 - EDUCACAO DE QUALIDADE PARA TODOS"/>
    <x v="184"/>
    <n v="0"/>
    <n v="0"/>
    <n v="0"/>
  </r>
  <r>
    <x v="2"/>
    <s v="4005 - PROTECAO JURIDICA DA UNIAO"/>
    <x v="992"/>
    <n v="0"/>
    <n v="0"/>
    <n v="0"/>
  </r>
  <r>
    <x v="2"/>
    <s v="0910 - OPERACOES ESPECIAIS: GESTAO DA PARTICIPACAO EM ORGANISMOS E ENTIDADES NACIONAIS E INTERNACIONAIS"/>
    <x v="993"/>
    <n v="0"/>
    <n v="0"/>
    <n v="0"/>
  </r>
  <r>
    <x v="2"/>
    <s v="0122 - SERVICOS URBANOS DE AGUA E ESGOTO"/>
    <x v="395"/>
    <n v="0"/>
    <n v="0"/>
    <n v="0"/>
  </r>
  <r>
    <x v="2"/>
    <s v="2221 - RECURSOS HIDRICOS"/>
    <x v="203"/>
    <n v="0"/>
    <n v="0"/>
    <n v="0"/>
  </r>
  <r>
    <x v="2"/>
    <s v="6012 - DEFESA NACIONAL"/>
    <x v="391"/>
    <n v="52865.06"/>
    <n v="203568.7"/>
    <n v="175736.87"/>
  </r>
  <r>
    <x v="2"/>
    <s v="0033 - PROGRAMA DE GESTAO E MANUTENCAO DO PODER JUDICIARIO"/>
    <x v="376"/>
    <n v="8755.4599999999991"/>
    <n v="8755.4599999999991"/>
    <n v="8755.4599999999991"/>
  </r>
  <r>
    <x v="2"/>
    <s v="3006 - TRANSPORTE TERRESTRE E TRANSITO"/>
    <x v="994"/>
    <n v="960685.44"/>
    <n v="0"/>
    <n v="0"/>
  </r>
  <r>
    <x v="2"/>
    <s v="6012 - DEFESA NACIONAL"/>
    <x v="38"/>
    <n v="0"/>
    <n v="0"/>
    <n v="0"/>
  </r>
  <r>
    <x v="2"/>
    <s v="6012 - DEFESA NACIONAL"/>
    <x v="471"/>
    <n v="-462433.3"/>
    <n v="42726.6"/>
    <n v="42726.6"/>
  </r>
  <r>
    <x v="2"/>
    <s v="0034 - PROGRAMA DE GESTAO E MANUTENCAO DO PODER LEGISLATIVO"/>
    <x v="696"/>
    <n v="504"/>
    <n v="67907.990000000005"/>
    <n v="63162.7"/>
  </r>
  <r>
    <x v="2"/>
    <s v="2015 - FORTALECIMENTO DO SISTEMA UNICO DE SAUDE (SUS)"/>
    <x v="502"/>
    <n v="0"/>
    <n v="0"/>
    <n v="0"/>
  </r>
  <r>
    <x v="2"/>
    <s v="6012 - DEFESA NACIONAL"/>
    <x v="995"/>
    <n v="0"/>
    <n v="0"/>
    <n v="0"/>
  </r>
  <r>
    <x v="2"/>
    <s v="3005 - TRANSPORTE AQUAVIARIO"/>
    <x v="155"/>
    <n v="0"/>
    <n v="0"/>
    <n v="0"/>
  </r>
  <r>
    <x v="2"/>
    <s v="0032 - PROGRAMA DE GESTAO E MANUTENCAO DO PODER EXECUTIVO"/>
    <x v="446"/>
    <n v="35052545.939999998"/>
    <n v="0"/>
    <n v="0"/>
  </r>
  <r>
    <x v="2"/>
    <s v="2217 - DESENVOLVIMENTO REGIONAL, TERRITORIAL E URBANO"/>
    <x v="527"/>
    <n v="3993204.43"/>
    <n v="6870709.0199999996"/>
    <n v="165914.09"/>
  </r>
  <r>
    <x v="2"/>
    <s v="6012 - DEFESA NACIONAL"/>
    <x v="243"/>
    <n v="2174944.7000000002"/>
    <n v="953378.84"/>
    <n v="987122.61"/>
  </r>
  <r>
    <x v="2"/>
    <s v="0031 - PROGRAMA DE GESTAO E MANUTENCAO DO MINISTERIO PUBLICO"/>
    <x v="67"/>
    <n v="0"/>
    <n v="16167.29"/>
    <n v="16167.29"/>
  </r>
  <r>
    <x v="2"/>
    <s v="3005 - TRANSPORTE AQUAVIARIO"/>
    <x v="212"/>
    <n v="2356799.15"/>
    <n v="314382.99"/>
    <n v="307047.25"/>
  </r>
  <r>
    <x v="2"/>
    <s v="3004 - AVIACAO CIVIL"/>
    <x v="996"/>
    <n v="1000000"/>
    <n v="0"/>
    <n v="0"/>
  </r>
  <r>
    <x v="2"/>
    <s v="2068 - SANEAMENTO BASICO"/>
    <x v="170"/>
    <n v="0"/>
    <n v="0"/>
    <n v="0"/>
  </r>
  <r>
    <x v="2"/>
    <s v="0032 - PROGRAMA DE GESTAO E MANUTENCAO DO PODER EXECUTIVO"/>
    <x v="237"/>
    <n v="-3022186.9"/>
    <n v="4583107.28"/>
    <n v="4680559.76"/>
  </r>
  <r>
    <x v="2"/>
    <s v="0911 - OPERACOES ESPECIAIS - REMUNERACAO DE AGENTES FINANCEIROS"/>
    <x v="650"/>
    <n v="81618493.400000006"/>
    <n v="76166704.409999996"/>
    <n v="76179237.230000004"/>
  </r>
  <r>
    <x v="2"/>
    <s v="5011 - EDUCACAO BASICA DE QUALIDADE"/>
    <x v="432"/>
    <n v="87861985"/>
    <n v="73747133"/>
    <n v="69071077.620000005"/>
  </r>
  <r>
    <x v="2"/>
    <s v="2080 - EDUCACAO DE QUALIDADE PARA TODOS"/>
    <x v="365"/>
    <n v="0"/>
    <n v="0"/>
    <n v="0"/>
  </r>
  <r>
    <x v="2"/>
    <s v="1031 - AGROPECUARIA SUSTENTAVEL"/>
    <x v="622"/>
    <n v="142148.19"/>
    <n v="24191.78"/>
    <n v="25074.54"/>
  </r>
  <r>
    <x v="2"/>
    <s v="2080 - EDUCACAO DE QUALIDADE PARA TODOS"/>
    <x v="752"/>
    <n v="0"/>
    <n v="0"/>
    <n v="0"/>
  </r>
  <r>
    <x v="2"/>
    <s v="3006 - TRANSPORTE TERRESTRE E TRANSITO"/>
    <x v="997"/>
    <n v="330000"/>
    <n v="0"/>
    <n v="0"/>
  </r>
  <r>
    <x v="2"/>
    <s v="4003 - GARANTIA DA ESTABILIDADE MONETARIA E FINANCEIRA"/>
    <x v="728"/>
    <n v="5207496.6100000003"/>
    <n v="9083418.2799999993"/>
    <n v="8044002.9400000004"/>
  </r>
  <r>
    <x v="2"/>
    <s v="5023 - VIGILANCIA EM SAUDE"/>
    <x v="509"/>
    <n v="-59445.09"/>
    <n v="2174232.39"/>
    <n v="2138580.8199999998"/>
  </r>
  <r>
    <x v="2"/>
    <s v="5021 - GESTAO E ORGANIZACAO DO SUS"/>
    <x v="480"/>
    <n v="80799.009999999995"/>
    <n v="52083.58"/>
    <n v="52083.58"/>
  </r>
  <r>
    <x v="2"/>
    <s v="6012 - DEFESA NACIONAL"/>
    <x v="321"/>
    <n v="3086282.75"/>
    <n v="6029827.4400000004"/>
    <n v="6029827.4400000004"/>
  </r>
  <r>
    <x v="2"/>
    <s v="2222 - SANEAMENTO BASICO"/>
    <x v="449"/>
    <n v="0"/>
    <n v="0"/>
    <n v="0"/>
  </r>
  <r>
    <x v="2"/>
    <s v="2212 - MELHORIA DO AMBIENTE DE NEGOCIOS E DA PRODUTIVIDADE"/>
    <x v="903"/>
    <n v="270000"/>
    <n v="1293.1099999999999"/>
    <n v="290.92"/>
  </r>
  <r>
    <x v="2"/>
    <s v="0032 - PROGRAMA DE GESTAO E MANUTENCAO DO PODER EXECUTIVO"/>
    <x v="505"/>
    <n v="176493429.16"/>
    <n v="69895029.340000004"/>
    <n v="74280114.950000003"/>
  </r>
  <r>
    <x v="2"/>
    <s v="5013 - EDUCACAO SUPERIOR - GRADUACAO, POS-GRADUACAO, ENSINO, PESQUISA E EXTENSAO"/>
    <x v="850"/>
    <n v="0"/>
    <n v="0"/>
    <n v="0"/>
  </r>
  <r>
    <x v="2"/>
    <s v="5026 - ESPORTE"/>
    <x v="223"/>
    <n v="0"/>
    <n v="0"/>
    <n v="0"/>
  </r>
  <r>
    <x v="2"/>
    <s v="5023 - VIGILANCIA EM SAUDE"/>
    <x v="234"/>
    <n v="15724793"/>
    <n v="226848"/>
    <n v="0"/>
  </r>
  <r>
    <x v="2"/>
    <s v="5016 - SEGURANCA PUBLICA, COMBATE A CORRUPCAO, AO CRIME ORGANIZADO E AO CRIME VIOLENTO"/>
    <x v="642"/>
    <n v="19800072.989999998"/>
    <n v="19322688.91"/>
    <n v="16429650.93"/>
  </r>
  <r>
    <x v="2"/>
    <s v="2040 - GESTAO DE RISCOS E DE DESASTRES"/>
    <x v="786"/>
    <n v="0"/>
    <n v="0"/>
    <n v="0"/>
  </r>
  <r>
    <x v="2"/>
    <s v="2223 - A HORA DO TURISMO"/>
    <x v="528"/>
    <n v="0"/>
    <n v="0"/>
    <n v="0"/>
  </r>
  <r>
    <x v="2"/>
    <s v="2204 - BRASIL NA FRONTEIRA DO CONHECIMENTO"/>
    <x v="540"/>
    <n v="0"/>
    <n v="0"/>
    <n v="0"/>
  </r>
  <r>
    <x v="2"/>
    <s v="0903 - OPERACOES ESPECIAIS: TRANSFERENCIAS CONSTITUCIONAIS E AS DECORRENTES DE LEGISLACAO ESPECIFICA"/>
    <x v="368"/>
    <n v="5378662.46"/>
    <n v="18299138.690000001"/>
    <n v="17845960.850000001"/>
  </r>
  <r>
    <x v="2"/>
    <s v="5034 - PROTECAO A VIDA, FORTALECIMENTO DA FAMILIA, PROMOCAO E DEFESA DOS DIREITOS HUMANOS PARA TODOS"/>
    <x v="305"/>
    <n v="0"/>
    <n v="590709.59"/>
    <n v="590709.59"/>
  </r>
  <r>
    <x v="2"/>
    <s v="2208 - TECNOLOGIAS APLICADAS, INOVACAO E DESENVOLVIMENTO SUSTENTAVEL"/>
    <x v="189"/>
    <n v="0"/>
    <n v="0"/>
    <n v="0"/>
  </r>
  <r>
    <x v="2"/>
    <s v="6011 - COOPERACAO COM O DESENVOLVIMENTO NACIONAL"/>
    <x v="721"/>
    <n v="32221"/>
    <n v="7614.59"/>
    <n v="7614.59"/>
  </r>
  <r>
    <x v="2"/>
    <s v="2206 - POLITICA NUCLEAR"/>
    <x v="708"/>
    <n v="339656.9"/>
    <n v="239679.44"/>
    <n v="241179.44"/>
  </r>
  <r>
    <x v="2"/>
    <s v="5016 - SEGURANCA PUBLICA, COMBATE A CORRUPCAO, AO CRIME ORGANIZADO E AO CRIME VIOLENTO"/>
    <x v="516"/>
    <n v="1675758.38"/>
    <n v="1123631.1100000001"/>
    <n v="1029379.25"/>
  </r>
  <r>
    <x v="2"/>
    <s v="2208 - TECNOLOGIAS APLICADAS, INOVACAO E DESENVOLVIMENTO SUSTENTAVEL"/>
    <x v="260"/>
    <n v="28881860.390000001"/>
    <n v="12399684.73"/>
    <n v="328271.40999999997"/>
  </r>
  <r>
    <x v="2"/>
    <s v="5024 - ATENCAO INTEGRAL A PRIMEIRA INFANCIA"/>
    <x v="998"/>
    <n v="33699060.109999999"/>
    <n v="33699060.109999999"/>
    <n v="33699060.109999999"/>
  </r>
  <r>
    <x v="2"/>
    <s v="5013 - EDUCACAO SUPERIOR - GRADUACAO, POS-GRADUACAO, ENSINO, PESQUISA E EXTENSAO"/>
    <x v="394"/>
    <n v="0"/>
    <n v="0"/>
    <n v="0"/>
  </r>
  <r>
    <x v="2"/>
    <s v="2049 - MORADIA DIGNA"/>
    <x v="999"/>
    <n v="0"/>
    <n v="0"/>
    <n v="0"/>
  </r>
  <r>
    <x v="2"/>
    <s v="2221 - RECURSOS HIDRICOS"/>
    <x v="845"/>
    <n v="11262188.890000001"/>
    <n v="0"/>
    <n v="0"/>
  </r>
  <r>
    <x v="2"/>
    <s v="2081 - JUSTICA, CIDADANIA E SEGURANCA PUBLICA"/>
    <x v="1000"/>
    <n v="0"/>
    <n v="0"/>
    <n v="0"/>
  </r>
  <r>
    <x v="2"/>
    <s v="5034 - PROTECAO A VIDA, FORTALECIMENTO DA FAMILIA, PROMOCAO E DEFESA DOS DIREITOS HUMANOS PARA TODOS"/>
    <x v="338"/>
    <n v="5826138.6699999999"/>
    <n v="53136.18"/>
    <n v="53136.18"/>
  </r>
  <r>
    <x v="2"/>
    <s v="2221 - RECURSOS HIDRICOS"/>
    <x v="339"/>
    <n v="0"/>
    <n v="27077.63"/>
    <n v="5250.05"/>
  </r>
  <r>
    <x v="2"/>
    <s v="5021 - GESTAO E ORGANIZACAO DO SUS"/>
    <x v="855"/>
    <n v="0"/>
    <n v="0"/>
    <n v="0"/>
  </r>
  <r>
    <x v="2"/>
    <s v="1058 - MUDANCA DO CLIMA"/>
    <x v="738"/>
    <n v="12824.74"/>
    <n v="0"/>
    <n v="0"/>
  </r>
  <r>
    <x v="2"/>
    <s v="3006 - TRANSPORTE TERRESTRE E TRANSITO"/>
    <x v="838"/>
    <n v="15000000"/>
    <n v="0"/>
    <n v="0"/>
  </r>
  <r>
    <x v="2"/>
    <s v="5017 - ASSISTENCIA FARMACEUTICA NO SUS"/>
    <x v="374"/>
    <n v="911730006.08000004"/>
    <n v="964856516.67999995"/>
    <n v="694624758.84000003"/>
  </r>
  <r>
    <x v="2"/>
    <s v="5013 - EDUCACAO SUPERIOR - GRADUACAO, POS-GRADUACAO, ENSINO, PESQUISA E EXTENSAO"/>
    <x v="571"/>
    <n v="26800"/>
    <n v="23634.21"/>
    <n v="23634.21"/>
  </r>
  <r>
    <x v="2"/>
    <s v="6014 - PREVENCAO E CONTROLE DO DESMATAMENTO E DOS INCENDIOS NOS BIOMAS"/>
    <x v="620"/>
    <n v="77790.11"/>
    <n v="5645.71"/>
    <n v="4419.6000000000004"/>
  </r>
  <r>
    <x v="2"/>
    <s v="3004 - AVIACAO CIVIL"/>
    <x v="151"/>
    <n v="6444094.9000000004"/>
    <n v="459960.29"/>
    <n v="459960.29"/>
  </r>
  <r>
    <x v="2"/>
    <s v="1031 - AGROPECUARIA SUSTENTAVEL"/>
    <x v="323"/>
    <n v="5000"/>
    <n v="319606378.12"/>
    <n v="319606378.12"/>
  </r>
  <r>
    <x v="2"/>
    <s v="5033 - SEGURANCA ALIMENTAR E NUTRICIONAL"/>
    <x v="564"/>
    <n v="0"/>
    <n v="0"/>
    <n v="0"/>
  </r>
  <r>
    <x v="2"/>
    <s v="2214 - NOVA PREVIDENCIA"/>
    <x v="372"/>
    <n v="1043135.43"/>
    <n v="371704.07"/>
    <n v="347737.46"/>
  </r>
  <r>
    <x v="2"/>
    <s v="3001 - ENERGIA ELETRICA"/>
    <x v="581"/>
    <n v="2000"/>
    <n v="2664116.52"/>
    <n v="2664116.52"/>
  </r>
  <r>
    <x v="2"/>
    <s v="5029 - PRODUCAO DE DADOS E CONHECIMENTO PARA O APRIMORAMENTO DE POLITICAS PUBLICAS"/>
    <x v="320"/>
    <n v="550000"/>
    <n v="118320.93"/>
    <n v="118320.93"/>
  </r>
  <r>
    <x v="2"/>
    <s v="2221 - RECURSOS HIDRICOS"/>
    <x v="880"/>
    <n v="0"/>
    <n v="0"/>
    <n v="0"/>
  </r>
  <r>
    <x v="2"/>
    <s v="5027 - INCLUSAO PRODUTIVA DE PESSOAS EM SITUACAO DE VULNERABILIDADE SOCIAL"/>
    <x v="311"/>
    <n v="0"/>
    <n v="0"/>
    <n v="0"/>
  </r>
  <r>
    <x v="2"/>
    <s v="3002 - GEOLOGIA, MINERACAO E TRANSFORMACAO MINERAL"/>
    <x v="607"/>
    <n v="2502218.92"/>
    <n v="1445699.21"/>
    <n v="837663.51"/>
  </r>
  <r>
    <x v="2"/>
    <s v="0909 - OPERACOES ESPECIAIS: OUTROS ENCARGOS ESPECIAIS"/>
    <x v="246"/>
    <n v="168619.92"/>
    <n v="151663.45000000001"/>
    <n v="151663.45000000001"/>
  </r>
  <r>
    <x v="2"/>
    <s v="0032 - PROGRAMA DE GESTAO E MANUTENCAO DO PODER EXECUTIVO"/>
    <x v="1001"/>
    <n v="0"/>
    <n v="0"/>
    <n v="0"/>
  </r>
  <r>
    <x v="2"/>
    <s v="5025 - CULTURA"/>
    <x v="118"/>
    <n v="0"/>
    <n v="0"/>
    <n v="0"/>
  </r>
  <r>
    <x v="2"/>
    <s v="3002 - GEOLOGIA, MINERACAO E TRANSFORMACAO MINERAL"/>
    <x v="710"/>
    <n v="-1632384.9"/>
    <n v="907476.98"/>
    <n v="811711.73"/>
  </r>
  <r>
    <x v="2"/>
    <s v="3006 - TRANSPORTE TERRESTRE E TRANSITO"/>
    <x v="421"/>
    <n v="29600"/>
    <n v="2166523.5699999998"/>
    <n v="2060233.08"/>
  </r>
  <r>
    <x v="2"/>
    <s v="0032 - PROGRAMA DE GESTAO E MANUTENCAO DO PODER EXECUTIVO"/>
    <x v="745"/>
    <n v="0"/>
    <n v="2294494473.9099998"/>
    <n v="2294494473.9099998"/>
  </r>
  <r>
    <x v="2"/>
    <s v="1041 - CONSERVACAO E USO SUSTENTAVEL DA BIODIVERSIDADE E DOS RECURSOS NATURAIS"/>
    <x v="604"/>
    <n v="599278.29"/>
    <n v="221630.36"/>
    <n v="139469.73000000001"/>
  </r>
  <r>
    <x v="2"/>
    <s v="2216 - POLITICA EXTERNA"/>
    <x v="51"/>
    <n v="117813.15"/>
    <n v="88886.23"/>
    <n v="62243.48"/>
  </r>
  <r>
    <x v="2"/>
    <s v="5020 - DESENVOLVIMENTO CIENTIFICO, TECNOLOGICO E PRODUTIVO EM SAUDE"/>
    <x v="503"/>
    <n v="4309771.3899999997"/>
    <n v="4300271.5"/>
    <n v="8269278.8899999997"/>
  </r>
  <r>
    <x v="2"/>
    <s v="3006 - TRANSPORTE TERRESTRE E TRANSITO"/>
    <x v="914"/>
    <n v="13000000"/>
    <n v="0"/>
    <n v="0"/>
  </r>
  <r>
    <x v="2"/>
    <s v="3006 - TRANSPORTE TERRESTRE E TRANSITO"/>
    <x v="894"/>
    <n v="220000"/>
    <n v="0"/>
    <n v="0"/>
  </r>
  <r>
    <x v="2"/>
    <s v="3006 - TRANSPORTE TERRESTRE E TRANSITO"/>
    <x v="416"/>
    <n v="5440113"/>
    <n v="6144915.2199999997"/>
    <n v="6144915.2199999997"/>
  </r>
  <r>
    <x v="2"/>
    <s v="5023 - VIGILANCIA EM SAUDE"/>
    <x v="207"/>
    <n v="357556656.61000001"/>
    <n v="745640987.62"/>
    <n v="652217044.72000003"/>
  </r>
  <r>
    <x v="2"/>
    <s v="1031 - AGROPECUARIA SUSTENTAVEL"/>
    <x v="461"/>
    <n v="176054.28"/>
    <n v="21847.64"/>
    <n v="28799.57"/>
  </r>
  <r>
    <x v="2"/>
    <s v="5033 - SEGURANCA ALIMENTAR E NUTRICIONAL"/>
    <x v="325"/>
    <n v="0"/>
    <n v="0"/>
    <n v="0"/>
  </r>
  <r>
    <x v="2"/>
    <s v="2216 - POLITICA EXTERNA"/>
    <x v="289"/>
    <n v="-1992212.72"/>
    <n v="289712.63"/>
    <n v="288048.21999999997"/>
  </r>
  <r>
    <x v="2"/>
    <s v="0032 - PROGRAMA DE GESTAO E MANUTENCAO DO PODER EXECUTIVO"/>
    <x v="422"/>
    <n v="89226.04"/>
    <n v="0"/>
    <n v="0"/>
  </r>
  <r>
    <x v="2"/>
    <s v="2015 - FORTALECIMENTO DO SISTEMA UNICO DE SAUDE (SUS)"/>
    <x v="515"/>
    <n v="0"/>
    <n v="0"/>
    <n v="0"/>
  </r>
  <r>
    <x v="2"/>
    <s v="5014 - ESTATISTICAS E AVALIACOES EDUCACIONAIS"/>
    <x v="32"/>
    <n v="411878.12"/>
    <n v="317412"/>
    <n v="317412"/>
  </r>
  <r>
    <x v="2"/>
    <s v="5023 - VIGILANCIA EM SAUDE"/>
    <x v="145"/>
    <n v="320575836"/>
    <n v="318990000"/>
    <n v="318990000"/>
  </r>
  <r>
    <x v="2"/>
    <s v="2217 - DESENVOLVIMENTO REGIONAL, TERRITORIAL E URBANO"/>
    <x v="610"/>
    <n v="0"/>
    <n v="0"/>
    <n v="0"/>
  </r>
  <r>
    <x v="2"/>
    <s v="2207 - PROGRAMA ESPACIAL BRASILEIRO"/>
    <x v="45"/>
    <n v="15982.15"/>
    <n v="0"/>
    <n v="0"/>
  </r>
  <r>
    <x v="2"/>
    <s v="2080 - EDUCACAO DE QUALIDADE PARA TODOS"/>
    <x v="682"/>
    <n v="0"/>
    <n v="0"/>
    <n v="0"/>
  </r>
  <r>
    <x v="2"/>
    <s v="0909 - OPERACOES ESPECIAIS: OUTROS ENCARGOS ESPECIAIS"/>
    <x v="1002"/>
    <n v="0"/>
    <n v="0"/>
    <n v="0"/>
  </r>
  <r>
    <x v="2"/>
    <s v="3006 - TRANSPORTE TERRESTRE E TRANSITO"/>
    <x v="651"/>
    <n v="0"/>
    <n v="0"/>
    <n v="0"/>
  </r>
  <r>
    <x v="2"/>
    <s v="2214 - NOVA PREVIDENCIA"/>
    <x v="345"/>
    <n v="-9976108.5800000001"/>
    <n v="0"/>
    <n v="3454572.25"/>
  </r>
  <r>
    <x v="2"/>
    <s v="2217 - DESENVOLVIMENTO REGIONAL, TERRITORIAL E URBANO"/>
    <x v="382"/>
    <n v="0"/>
    <n v="0"/>
    <n v="0"/>
  </r>
  <r>
    <x v="2"/>
    <s v="5020 - DESENVOLVIMENTO CIENTIFICO, TECNOLOGICO E PRODUTIVO EM SAUDE"/>
    <x v="909"/>
    <n v="7463681.9699999997"/>
    <n v="0"/>
    <n v="0"/>
  </r>
  <r>
    <x v="2"/>
    <s v="2218 - GESTAO DE RISCOS E DE DESASTRES"/>
    <x v="536"/>
    <n v="2293693.4"/>
    <n v="567830.67000000004"/>
    <n v="567830.67000000004"/>
  </r>
  <r>
    <x v="2"/>
    <s v="2212 - MELHORIA DO AMBIENTE DE NEGOCIOS E DA PRODUTIVIDADE"/>
    <x v="37"/>
    <n v="298913.71999999997"/>
    <n v="0"/>
    <n v="0"/>
  </r>
  <r>
    <x v="2"/>
    <s v="3002 - GEOLOGIA, MINERACAO E TRANSFORMACAO MINERAL"/>
    <x v="790"/>
    <n v="47282.66"/>
    <n v="99213.6"/>
    <n v="39699.120000000003"/>
  </r>
  <r>
    <x v="2"/>
    <s v="2029 - DESENVOLVIMENTO REGIONAL E TERRITORIAL"/>
    <x v="632"/>
    <n v="0"/>
    <n v="0"/>
    <n v="0"/>
  </r>
  <r>
    <x v="2"/>
    <s v="0909 - OPERACOES ESPECIAIS: OUTROS ENCARGOS ESPECIAIS"/>
    <x v="556"/>
    <n v="3535374.24"/>
    <n v="819307.68"/>
    <n v="1182583.1299999999"/>
  </r>
  <r>
    <x v="2"/>
    <s v="2216 - POLITICA EXTERNA"/>
    <x v="734"/>
    <n v="218287.59"/>
    <n v="338225.19"/>
    <n v="338225.19"/>
  </r>
  <r>
    <x v="2"/>
    <s v="4004 - TRANSPARENCIA, INTEGRIDADE E COMBATE A CORRUPCAO"/>
    <x v="715"/>
    <n v="14798296.710000001"/>
    <n v="8335479.0099999998"/>
    <n v="7519295.5499999998"/>
  </r>
  <r>
    <x v="2"/>
    <s v="0910 - OPERACOES ESPECIAIS: GESTAO DA PARTICIPACAO EM ORGANISMOS E ENTIDADES NACIONAIS E INTERNACIONAIS"/>
    <x v="1003"/>
    <n v="3829657"/>
    <n v="783800.63"/>
    <n v="783800.63"/>
  </r>
  <r>
    <x v="2"/>
    <s v="0909 - OPERACOES ESPECIAIS: OUTROS ENCARGOS ESPECIAIS"/>
    <x v="346"/>
    <n v="0"/>
    <n v="0"/>
    <n v="0"/>
  </r>
  <r>
    <x v="2"/>
    <s v="1043 - QUALIDADE AMBIENTAL URBANA"/>
    <x v="109"/>
    <n v="100761.28"/>
    <n v="303.82"/>
    <n v="303.82"/>
  </r>
  <r>
    <x v="2"/>
    <s v="2080 - EDUCACAO DE QUALIDADE PARA TODOS"/>
    <x v="1004"/>
    <n v="0"/>
    <n v="0"/>
    <n v="0"/>
  </r>
  <r>
    <x v="2"/>
    <s v="3002 - GEOLOGIA, MINERACAO E TRANSFORMACAO MINERAL"/>
    <x v="641"/>
    <n v="492834.56"/>
    <n v="600191.18000000005"/>
    <n v="383391.42"/>
  </r>
  <r>
    <x v="2"/>
    <s v="2223 - A HORA DO TURISMO"/>
    <x v="217"/>
    <n v="76236.73"/>
    <n v="112418.4"/>
    <n v="112418.4"/>
  </r>
  <r>
    <x v="2"/>
    <s v="0151 - PROTECAO DE TERRAS INDIGENAS, GESTAO TERRITORIAL E ETNODESENVOLVIMENTO"/>
    <x v="1005"/>
    <n v="1203.28"/>
    <n v="0"/>
    <n v="0"/>
  </r>
  <r>
    <x v="2"/>
    <s v="1031 - AGROPECUARIA SUSTENTAVEL"/>
    <x v="608"/>
    <n v="509092.46"/>
    <n v="3743.33"/>
    <n v="0"/>
  </r>
  <r>
    <x v="2"/>
    <s v="5013 - EDUCACAO SUPERIOR - GRADUACAO, POS-GRADUACAO, ENSINO, PESQUISA E EXTENSAO"/>
    <x v="401"/>
    <n v="0"/>
    <n v="0"/>
    <n v="0"/>
  </r>
  <r>
    <x v="2"/>
    <s v="2214 - NOVA PREVIDENCIA"/>
    <x v="592"/>
    <n v="1392970.07"/>
    <n v="2367258.2400000002"/>
    <n v="2370549.96"/>
  </r>
  <r>
    <x v="2"/>
    <s v="5028 - INCLUSAO SOCIAL POR MEIO DO BOLSA FAMILIA E DA ARTICULACAO DE POLITICAS PUBLICAS"/>
    <x v="462"/>
    <n v="0"/>
    <n v="0"/>
    <n v="0"/>
  </r>
  <r>
    <x v="2"/>
    <s v="3002 - GEOLOGIA, MINERACAO E TRANSFORMACAO MINERAL"/>
    <x v="665"/>
    <n v="695809.11"/>
    <n v="810815.71"/>
    <n v="557272.85"/>
  </r>
  <r>
    <x v="2"/>
    <s v="2015 - FORTALECIMENTO DO SISTEMA UNICO DE SAUDE (SUS)"/>
    <x v="316"/>
    <n v="0"/>
    <n v="0"/>
    <n v="0"/>
  </r>
  <r>
    <x v="2"/>
    <s v="6011 - COOPERACAO COM O DESENVOLVIMENTO NACIONAL"/>
    <x v="656"/>
    <n v="483737.14"/>
    <n v="1884973.07"/>
    <n v="1694012.38"/>
  </r>
  <r>
    <x v="2"/>
    <s v="5025 - CULTURA"/>
    <x v="753"/>
    <n v="1505040.15"/>
    <n v="1304047.26"/>
    <n v="724047.26"/>
  </r>
  <r>
    <x v="2"/>
    <s v="5021 - GESTAO E ORGANIZACAO DO SUS"/>
    <x v="724"/>
    <n v="80500"/>
    <n v="49676.75"/>
    <n v="43596.24"/>
  </r>
  <r>
    <x v="2"/>
    <s v="5017 - ASSISTENCIA FARMACEUTICA NO SUS"/>
    <x v="836"/>
    <n v="12636000"/>
    <n v="2778492"/>
    <n v="2778492"/>
  </r>
  <r>
    <x v="2"/>
    <s v="0901 - OPERACOES ESPECIAIS: CUMPRIMENTO DE SENTENCAS JUDICIAIS"/>
    <x v="606"/>
    <n v="87244802.709999993"/>
    <n v="38881352.359999999"/>
    <n v="38881352.359999999"/>
  </r>
  <r>
    <x v="2"/>
    <s v="0909 - OPERACOES ESPECIAIS: OUTROS ENCARGOS ESPECIAIS"/>
    <x v="616"/>
    <n v="13579402.74"/>
    <n v="28339981.920000002"/>
    <n v="28503827.379999999"/>
  </r>
  <r>
    <x v="2"/>
    <s v="0032 - PROGRAMA DE GESTAO E MANUTENCAO DO PODER EXECUTIVO"/>
    <x v="481"/>
    <n v="13886063.390000001"/>
    <n v="7610208.9500000002"/>
    <n v="5695040.2199999997"/>
  </r>
  <r>
    <x v="2"/>
    <s v="5021 - GESTAO E ORGANIZACAO DO SUS"/>
    <x v="593"/>
    <n v="6808000"/>
    <n v="5543445.6600000001"/>
    <n v="17409765.02"/>
  </r>
  <r>
    <x v="2"/>
    <s v="5020 - DESENVOLVIMENTO CIENTIFICO, TECNOLOGICO E PRODUTIVO EM SAUDE"/>
    <x v="61"/>
    <n v="74276.08"/>
    <n v="0"/>
    <n v="0"/>
  </r>
  <r>
    <x v="2"/>
    <s v="1031 - AGROPECUARIA SUSTENTAVEL"/>
    <x v="713"/>
    <n v="16656.75"/>
    <n v="2759.16"/>
    <n v="2499.9"/>
  </r>
  <r>
    <x v="2"/>
    <s v="6012 - DEFESA NACIONAL"/>
    <x v="199"/>
    <n v="0"/>
    <n v="0"/>
    <n v="0"/>
  </r>
  <r>
    <x v="2"/>
    <s v="6012 - DEFESA NACIONAL"/>
    <x v="521"/>
    <n v="6769948.1299999999"/>
    <n v="86785.919999999998"/>
    <n v="72707.08"/>
  </r>
  <r>
    <x v="2"/>
    <s v="0032 - PROGRAMA DE GESTAO E MANUTENCAO DO PODER EXECUTIVO"/>
    <x v="681"/>
    <n v="171845962.88"/>
    <n v="1825.73"/>
    <n v="1825.73"/>
  </r>
  <r>
    <x v="2"/>
    <s v="5015 - JUSTICA"/>
    <x v="221"/>
    <n v="2336724.69"/>
    <n v="2479600.52"/>
    <n v="2235987.09"/>
  </r>
  <r>
    <x v="2"/>
    <s v="0032 - PROGRAMA DE GESTAO E MANUTENCAO DO PODER EXECUTIVO"/>
    <x v="383"/>
    <n v="546359008.94000006"/>
    <n v="2686467521"/>
    <n v="2481296362.6900001"/>
  </r>
  <r>
    <x v="2"/>
    <s v="2221 - RECURSOS HIDRICOS"/>
    <x v="1006"/>
    <n v="50000000"/>
    <n v="0"/>
    <n v="0"/>
  </r>
  <r>
    <x v="2"/>
    <s v="5017 - ASSISTENCIA FARMACEUTICA NO SUS"/>
    <x v="219"/>
    <n v="120532082.97"/>
    <n v="104197742.11"/>
    <n v="104197742.11"/>
  </r>
  <r>
    <x v="2"/>
    <s v="0032 - PROGRAMA DE GESTAO E MANUTENCAO DO PODER EXECUTIVO"/>
    <x v="433"/>
    <n v="107876.24"/>
    <n v="0"/>
    <n v="0"/>
  </r>
  <r>
    <x v="2"/>
    <s v="5025 - CULTURA"/>
    <x v="488"/>
    <n v="505913.26"/>
    <n v="68513.350000000006"/>
    <n v="98340.79"/>
  </r>
  <r>
    <x v="2"/>
    <s v="0032 - PROGRAMA DE GESTAO E MANUTENCAO DO PODER EXECUTIVO"/>
    <x v="489"/>
    <n v="52082505.93"/>
    <n v="80609528.969999999"/>
    <n v="96841612.170000002"/>
  </r>
  <r>
    <x v="2"/>
    <s v="6012 - DEFESA NACIONAL"/>
    <x v="65"/>
    <n v="727252.09"/>
    <n v="138078.79999999999"/>
    <n v="67929.570000000007"/>
  </r>
  <r>
    <x v="2"/>
    <s v="5031 - PROTECAO SOCIAL NO AMBITO DO SISTEMA UNICO DE ASSISTENCIA SOCIAL (SUAS)"/>
    <x v="572"/>
    <n v="430000"/>
    <n v="3218578249.8400002"/>
    <n v="3188101168.8299999"/>
  </r>
  <r>
    <x v="2"/>
    <s v="0032 - PROGRAMA DE GESTAO E MANUTENCAO DO PODER EXECUTIVO"/>
    <x v="679"/>
    <n v="0"/>
    <n v="357882.57"/>
    <n v="337105.21"/>
  </r>
  <r>
    <x v="2"/>
    <s v="5023 - VIGILANCIA EM SAUDE"/>
    <x v="115"/>
    <n v="202937086.52000001"/>
    <n v="296376451.86000001"/>
    <n v="296376451.86000001"/>
  </r>
  <r>
    <x v="2"/>
    <s v="2204 - BRASIL NA FRONTEIRA DO CONHECIMENTO"/>
    <x v="183"/>
    <n v="164306316.13"/>
    <n v="109453590.15000001"/>
    <n v="84730201.659999996"/>
  </r>
  <r>
    <x v="2"/>
    <s v="5019 - ATENCAO PRIMARIA A SAUDE"/>
    <x v="86"/>
    <n v="2094000"/>
    <n v="2094000"/>
    <n v="2094000"/>
  </r>
  <r>
    <x v="2"/>
    <s v="2201 - BRASIL MODERNIZA"/>
    <x v="209"/>
    <n v="6890619.5700000003"/>
    <n v="511603.91"/>
    <n v="511603.91"/>
  </r>
  <r>
    <x v="2"/>
    <s v="5016 - SEGURANCA PUBLICA, COMBATE A CORRUPCAO, AO CRIME ORGANIZADO E AO CRIME VIOLENTO"/>
    <x v="926"/>
    <n v="0"/>
    <n v="0"/>
    <n v="0"/>
  </r>
  <r>
    <x v="2"/>
    <s v="5018 - ATENCAO ESPECIALIZADA A SAUDE"/>
    <x v="318"/>
    <n v="0"/>
    <n v="0"/>
    <n v="0"/>
  </r>
  <r>
    <x v="2"/>
    <s v="5019 - ATENCAO PRIMARIA A SAUDE"/>
    <x v="402"/>
    <n v="652489488"/>
    <n v="652489488"/>
    <n v="652489488"/>
  </r>
  <r>
    <x v="2"/>
    <s v="4002 - SEGURANCA INSTITUCIONAL"/>
    <x v="438"/>
    <n v="1610909.78"/>
    <n v="3888313.07"/>
    <n v="3899047.82"/>
  </r>
  <r>
    <x v="2"/>
    <s v="0032 - PROGRAMA DE GESTAO E MANUTENCAO DO PODER EXECUTIVO"/>
    <x v="729"/>
    <n v="21090469.399999999"/>
    <n v="1962438880.47"/>
    <n v="1932398216.3800001"/>
  </r>
  <r>
    <x v="2"/>
    <s v="0032 - PROGRAMA DE GESTAO E MANUTENCAO DO PODER EXECUTIVO"/>
    <x v="691"/>
    <n v="25000"/>
    <n v="41602.14"/>
    <n v="23101.54"/>
  </r>
  <r>
    <x v="2"/>
    <s v="2204 - BRASIL NA FRONTEIRA DO CONHECIMENTO"/>
    <x v="680"/>
    <n v="1966865.57"/>
    <n v="1319101.96"/>
    <n v="1242611.04"/>
  </r>
  <r>
    <x v="2"/>
    <s v="5031 - PROTECAO SOCIAL NO AMBITO DO SISTEMA UNICO DE ASSISTENCIA SOCIAL (SUAS)"/>
    <x v="772"/>
    <n v="0"/>
    <n v="128292.66"/>
    <n v="128993.47"/>
  </r>
  <r>
    <x v="2"/>
    <s v="0032 - PROGRAMA DE GESTAO E MANUTENCAO DO PODER EXECUTIVO"/>
    <x v="363"/>
    <n v="-47000"/>
    <n v="0"/>
    <n v="9425.77"/>
  </r>
  <r>
    <x v="2"/>
    <s v="2080 - EDUCACAO DE QUALIDADE PARA TODOS"/>
    <x v="454"/>
    <n v="0"/>
    <n v="0"/>
    <n v="0"/>
  </r>
  <r>
    <x v="2"/>
    <s v="0032 - PROGRAMA DE GESTAO E MANUTENCAO DO PODER EXECUTIVO"/>
    <x v="224"/>
    <n v="6275164.6600000001"/>
    <n v="609670.94999999995"/>
    <n v="593651.06999999995"/>
  </r>
  <r>
    <x v="2"/>
    <s v="2207 - PROGRAMA ESPACIAL BRASILEIRO"/>
    <x v="39"/>
    <n v="0"/>
    <n v="0"/>
    <n v="0"/>
  </r>
  <r>
    <x v="2"/>
    <s v="5026 - ESPORTE"/>
    <x v="794"/>
    <n v="0"/>
    <n v="0"/>
    <n v="0"/>
  </r>
  <r>
    <x v="2"/>
    <s v="5014 - ESTATISTICAS E AVALIACOES EDUCACIONAIS"/>
    <x v="755"/>
    <n v="184936988.47"/>
    <n v="2904083.4"/>
    <n v="2946075.31"/>
  </r>
  <r>
    <x v="2"/>
    <s v="3006 - TRANSPORTE TERRESTRE E TRANSITO"/>
    <x v="359"/>
    <n v="96370000"/>
    <n v="0"/>
    <n v="0"/>
  </r>
  <r>
    <x v="2"/>
    <s v="2221 - RECURSOS HIDRICOS"/>
    <x v="232"/>
    <n v="11508411.32"/>
    <n v="421783.99"/>
    <n v="14391.59"/>
  </r>
  <r>
    <x v="2"/>
    <s v="2218 - GESTAO DE RISCOS E DE DESASTRES"/>
    <x v="643"/>
    <n v="327143.62"/>
    <n v="276019.42"/>
    <n v="226903.88"/>
  </r>
  <r>
    <x v="2"/>
    <s v="2206 - POLITICA NUCLEAR"/>
    <x v="664"/>
    <n v="120000"/>
    <n v="61593.24"/>
    <n v="71655.19"/>
  </r>
  <r>
    <x v="2"/>
    <s v="6012 - DEFESA NACIONAL"/>
    <x v="500"/>
    <n v="-595765.54"/>
    <n v="68874.720000000001"/>
    <n v="32612569.09"/>
  </r>
  <r>
    <x v="2"/>
    <s v="0617 - PROTECAO E PROMOCAO DOS DIREITOS DOS POVOS INDIGENAS"/>
    <x v="373"/>
    <n v="0"/>
    <n v="0"/>
    <n v="0"/>
  </r>
  <r>
    <x v="2"/>
    <s v="2208 - TECNOLOGIAS APLICADAS, INOVACAO E DESENVOLVIMENTO SUSTENTAVEL"/>
    <x v="820"/>
    <n v="0"/>
    <n v="0"/>
    <n v="0"/>
  </r>
  <r>
    <x v="2"/>
    <s v="2221 - RECURSOS HIDRICOS"/>
    <x v="1007"/>
    <n v="50000000"/>
    <n v="0"/>
    <n v="0"/>
  </r>
  <r>
    <x v="2"/>
    <s v="3006 - TRANSPORTE TERRESTRE E TRANSITO"/>
    <x v="360"/>
    <n v="2750000"/>
    <n v="0"/>
    <n v="0"/>
  </r>
  <r>
    <x v="2"/>
    <s v="0151 - PROTECAO DE TERRAS INDIGENAS, GESTAO TERRITORIAL E ETNODESENVOLVIMENTO"/>
    <x v="1008"/>
    <n v="139662.68"/>
    <n v="2392.63"/>
    <n v="2392.63"/>
  </r>
  <r>
    <x v="2"/>
    <s v="2214 - NOVA PREVIDENCIA"/>
    <x v="740"/>
    <n v="-993701.64"/>
    <n v="112577.85"/>
    <n v="130337.81"/>
  </r>
  <r>
    <x v="2"/>
    <s v="2202 - DEFESA AGROPECUARIA"/>
    <x v="103"/>
    <n v="40810.660000000003"/>
    <n v="26024.21"/>
    <n v="26024.21"/>
  </r>
  <r>
    <x v="2"/>
    <s v="2208 - TECNOLOGIAS APLICADAS, INOVACAO E DESENVOLVIMENTO SUSTENTAVEL"/>
    <x v="675"/>
    <n v="558567"/>
    <n v="139298.13"/>
    <n v="133135.29999999999"/>
  </r>
  <r>
    <x v="2"/>
    <s v="3006 - TRANSPORTE TERRESTRE E TRANSITO"/>
    <x v="69"/>
    <n v="30000"/>
    <n v="12036103.43"/>
    <n v="10887055.16"/>
  </r>
  <r>
    <x v="2"/>
    <s v="2027 - CULTURA: DIMENSAO ESSENCIAL DO DESENVOLVIMENTO"/>
    <x v="118"/>
    <n v="0"/>
    <n v="0"/>
    <n v="0"/>
  </r>
  <r>
    <x v="2"/>
    <s v="4005 - PROTECAO JURIDICA DA UNIAO"/>
    <x v="647"/>
    <n v="29933523.059999999"/>
    <n v="30097845.940000001"/>
    <n v="28351676.41"/>
  </r>
  <r>
    <x v="2"/>
    <s v="5016 - SEGURANCA PUBLICA, COMBATE A CORRUPCAO, AO CRIME ORGANIZADO E AO CRIME VIOLENTO"/>
    <x v="754"/>
    <n v="0"/>
    <n v="0"/>
    <n v="0"/>
  </r>
  <r>
    <x v="2"/>
    <s v="5011 - EDUCACAO BASICA DE QUALIDADE"/>
    <x v="875"/>
    <n v="0"/>
    <n v="0"/>
    <n v="0"/>
  </r>
  <r>
    <x v="2"/>
    <s v="6011 - COOPERACAO COM O DESENVOLVIMENTO NACIONAL"/>
    <x v="55"/>
    <n v="144950.20000000001"/>
    <n v="0"/>
    <n v="0"/>
  </r>
  <r>
    <x v="2"/>
    <s v="5020 - DESENVOLVIMENTO CIENTIFICO, TECNOLOGICO E PRODUTIVO EM SAUDE"/>
    <x v="672"/>
    <n v="2770320.69"/>
    <n v="1870386.04"/>
    <n v="1636987.04"/>
  </r>
  <r>
    <x v="2"/>
    <s v="5016 - SEGURANCA PUBLICA, COMBATE A CORRUPCAO, AO CRIME ORGANIZADO E AO CRIME VIOLENTO"/>
    <x v="439"/>
    <n v="290985.23"/>
    <n v="0"/>
    <n v="2316.84"/>
  </r>
  <r>
    <x v="2"/>
    <s v="5016 - SEGURANCA PUBLICA, COMBATE A CORRUPCAO, AO CRIME ORGANIZADO E AO CRIME VIOLENTO"/>
    <x v="574"/>
    <n v="140475732.83000001"/>
    <n v="24227408.640000001"/>
    <n v="20935474.41"/>
  </r>
  <r>
    <x v="2"/>
    <s v="2217 - DESENVOLVIMENTO REGIONAL, TERRITORIAL E URBANO"/>
    <x v="906"/>
    <n v="0"/>
    <n v="0"/>
    <n v="0"/>
  </r>
  <r>
    <x v="2"/>
    <s v="1040 - GOVERNANCA FUNDIARIA"/>
    <x v="281"/>
    <n v="55998.15"/>
    <n v="9506.82"/>
    <n v="9506.82"/>
  </r>
  <r>
    <x v="2"/>
    <s v="5011 - EDUCACAO BASICA DE QUALIDADE"/>
    <x v="436"/>
    <n v="9822.6"/>
    <n v="1326701.8700000001"/>
    <n v="1077507.83"/>
  </r>
  <r>
    <x v="2"/>
    <s v="5034 - PROTECAO A VIDA, FORTALECIMENTO DA FAMILIA, PROMOCAO E DEFESA DOS DIREITOS HUMANOS PARA TODOS"/>
    <x v="700"/>
    <n v="1243500"/>
    <n v="158405.72"/>
    <n v="137585.71"/>
  </r>
  <r>
    <x v="2"/>
    <s v="2080 - EDUCACAO DE QUALIDADE PARA TODOS"/>
    <x v="501"/>
    <n v="0"/>
    <n v="0"/>
    <n v="0"/>
  </r>
  <r>
    <x v="2"/>
    <s v="2217 - DESENVOLVIMENTO REGIONAL, TERRITORIAL E URBANO"/>
    <x v="545"/>
    <n v="0"/>
    <n v="0"/>
    <n v="0"/>
  </r>
  <r>
    <x v="2"/>
    <s v="6012 - DEFESA NACIONAL"/>
    <x v="566"/>
    <n v="92698889.980000004"/>
    <n v="72360.69"/>
    <n v="70027.490000000005"/>
  </r>
  <r>
    <x v="2"/>
    <s v="1031 - AGROPECUARIA SUSTENTAVEL"/>
    <x v="452"/>
    <n v="1048070.91"/>
    <n v="36431.53"/>
    <n v="0"/>
  </r>
  <r>
    <x v="2"/>
    <s v="2207 - PROGRAMA ESPACIAL BRASILEIRO"/>
    <x v="190"/>
    <n v="0"/>
    <n v="0"/>
    <n v="0"/>
  </r>
  <r>
    <x v="2"/>
    <s v="5026 - ESPORTE"/>
    <x v="57"/>
    <n v="1000"/>
    <n v="0"/>
    <n v="0"/>
  </r>
  <r>
    <x v="2"/>
    <s v="5034 - PROTECAO A VIDA, FORTALECIMENTO DA FAMILIA, PROMOCAO E DEFESA DOS DIREITOS HUMANOS PARA TODOS"/>
    <x v="393"/>
    <n v="606650.77"/>
    <n v="195401.76"/>
    <n v="197759.2"/>
  </r>
  <r>
    <x v="2"/>
    <s v="2080 - EDUCACAO DE QUALIDADE PARA TODOS"/>
    <x v="769"/>
    <n v="0"/>
    <n v="0"/>
    <n v="0"/>
  </r>
  <r>
    <x v="2"/>
    <s v="3006 - TRANSPORTE TERRESTRE E TRANSITO"/>
    <x v="635"/>
    <n v="8500216"/>
    <n v="0"/>
    <n v="0"/>
  </r>
  <r>
    <x v="2"/>
    <s v="6012 - DEFESA NACIONAL"/>
    <x v="134"/>
    <n v="0"/>
    <n v="0"/>
    <n v="0"/>
  </r>
  <r>
    <x v="2"/>
    <s v="2208 - TECNOLOGIAS APLICADAS, INOVACAO E DESENVOLVIMENTO SUSTENTAVEL"/>
    <x v="5"/>
    <n v="20312789.73"/>
    <n v="20312789.73"/>
    <n v="20312789.73"/>
  </r>
  <r>
    <x v="2"/>
    <s v="1040 - GOVERNANCA FUNDIARIA"/>
    <x v="905"/>
    <n v="74870.600000000006"/>
    <n v="9620.0400000000009"/>
    <n v="9620.0400000000009"/>
  </r>
  <r>
    <x v="2"/>
    <s v="1040 - GOVERNANCA FUNDIARIA"/>
    <x v="737"/>
    <n v="1643529.68"/>
    <n v="575226.09"/>
    <n v="577085.88"/>
  </r>
  <r>
    <x v="2"/>
    <s v="5033 - SEGURANCA ALIMENTAR E NUTRICIONAL"/>
    <x v="557"/>
    <n v="123112.61"/>
    <n v="4514587.6100000003"/>
    <n v="4514587.6100000003"/>
  </r>
  <r>
    <x v="2"/>
    <s v="3004 - AVIACAO CIVIL"/>
    <x v="595"/>
    <n v="-2853539.32"/>
    <n v="2472430.2400000002"/>
    <n v="2595530.7999999998"/>
  </r>
  <r>
    <x v="2"/>
    <s v="3006 - TRANSPORTE TERRESTRE E TRANSITO"/>
    <x v="530"/>
    <n v="6184524.5199999996"/>
    <n v="990925"/>
    <n v="990925"/>
  </r>
  <r>
    <x v="2"/>
    <s v="2204 - BRASIL NA FRONTEIRA DO CONHECIMENTO"/>
    <x v="674"/>
    <n v="0"/>
    <n v="0"/>
    <n v="0"/>
  </r>
  <r>
    <x v="2"/>
    <s v="6012 - DEFESA NACIONAL"/>
    <x v="886"/>
    <n v="206048"/>
    <n v="0"/>
    <n v="0"/>
  </r>
  <r>
    <x v="2"/>
    <s v="6012 - DEFESA NACIONAL"/>
    <x v="442"/>
    <n v="257639.98"/>
    <n v="47387.67"/>
    <n v="66212.899999999994"/>
  </r>
  <r>
    <x v="2"/>
    <s v="5021 - GESTAO E ORGANIZACAO DO SUS"/>
    <x v="94"/>
    <n v="685461.53"/>
    <n v="685461.53"/>
    <n v="685716.56"/>
  </r>
  <r>
    <x v="2"/>
    <s v="2221 - RECURSOS HIDRICOS"/>
    <x v="484"/>
    <n v="39744622.490000002"/>
    <n v="42440.14"/>
    <n v="39262.54"/>
  </r>
  <r>
    <x v="2"/>
    <s v="6016 - EDUCACAO ESPECIAL"/>
    <x v="249"/>
    <n v="-2389191.48"/>
    <n v="2866598.04"/>
    <n v="2255201.31"/>
  </r>
  <r>
    <x v="2"/>
    <s v="2223 - A HORA DO TURISMO"/>
    <x v="13"/>
    <n v="247250"/>
    <n v="3500"/>
    <n v="3500"/>
  </r>
  <r>
    <x v="2"/>
    <s v="5031 - PROTECAO SOCIAL NO AMBITO DO SISTEMA UNICO DE ASSISTENCIA SOCIAL (SUAS)"/>
    <x v="514"/>
    <n v="1560052.42"/>
    <n v="3997285505.9499998"/>
    <n v="3928964374.3800001"/>
  </r>
  <r>
    <x v="2"/>
    <s v="0907 - OPERACOES ESPECIAIS: REFINANCIAMENTO DA DIVIDA INTERNA"/>
    <x v="328"/>
    <n v="154000000000"/>
    <n v="213709734956.48001"/>
    <n v="213709734956.48001"/>
  </r>
  <r>
    <x v="2"/>
    <s v="6012 - DEFESA NACIONAL"/>
    <x v="525"/>
    <n v="1148992.1100000001"/>
    <n v="137773.48000000001"/>
    <n v="37672.71"/>
  </r>
  <r>
    <x v="2"/>
    <s v="2218 - GESTAO DE RISCOS E DE DESASTRES"/>
    <x v="716"/>
    <n v="205341.72"/>
    <n v="130363.15"/>
    <n v="114852.71"/>
  </r>
  <r>
    <x v="2"/>
    <s v="5020 - DESENVOLVIMENTO CIENTIFICO, TECNOLOGICO E PRODUTIVO EM SAUDE"/>
    <x v="817"/>
    <n v="4992901"/>
    <n v="666.71"/>
    <n v="666.71"/>
  </r>
  <r>
    <x v="2"/>
    <s v="0151 - PROTECAO DE TERRAS INDIGENAS, GESTAO TERRITORIAL E ETNODESENVOLVIMENTO"/>
    <x v="919"/>
    <n v="0"/>
    <n v="0"/>
    <n v="0"/>
  </r>
  <r>
    <x v="2"/>
    <s v="2223 - A HORA DO TURISMO"/>
    <x v="419"/>
    <n v="397320"/>
    <n v="5610.84"/>
    <n v="5610.84"/>
  </r>
  <r>
    <x v="2"/>
    <s v="0910 - OPERACOES ESPECIAIS: GESTAO DA PARTICIPACAO EM ORGANISMOS E ENTIDADES NACIONAIS E INTERNACIONAIS"/>
    <x v="1009"/>
    <n v="0"/>
    <n v="0"/>
    <n v="0"/>
  </r>
  <r>
    <x v="2"/>
    <s v="2221 - RECURSOS HIDRICOS"/>
    <x v="1010"/>
    <n v="80000"/>
    <n v="0"/>
    <n v="0"/>
  </r>
  <r>
    <x v="2"/>
    <s v="0910 - OPERACOES ESPECIAIS: GESTAO DA PARTICIPACAO EM ORGANISMOS E ENTIDADES NACIONAIS E INTERNACIONAIS"/>
    <x v="369"/>
    <n v="2494526.44"/>
    <n v="4361214.74"/>
    <n v="4345164.74"/>
  </r>
  <r>
    <x v="2"/>
    <s v="0032 - PROGRAMA DE GESTAO E MANUTENCAO DO PODER EXECUTIVO"/>
    <x v="570"/>
    <n v="17853877.890000001"/>
    <n v="9247528.6099999994"/>
    <n v="9059816.3699999992"/>
  </r>
  <r>
    <x v="2"/>
    <s v="6012 - DEFESA NACIONAL"/>
    <x v="589"/>
    <n v="35257.64"/>
    <n v="39035.93"/>
    <n v="77856.179999999993"/>
  </r>
  <r>
    <x v="2"/>
    <s v="2221 - RECURSOS HIDRICOS"/>
    <x v="573"/>
    <n v="0"/>
    <n v="10480.5"/>
    <n v="10480.5"/>
  </r>
  <r>
    <x v="2"/>
    <s v="6013 - OCEANOS, ZONA COSTEIRA E ANTARTICA"/>
    <x v="764"/>
    <n v="389318.44"/>
    <n v="231296.58"/>
    <n v="76686.05"/>
  </r>
  <r>
    <x v="2"/>
    <s v="3002 - GEOLOGIA, MINERACAO E TRANSFORMACAO MINERAL"/>
    <x v="748"/>
    <n v="176054.63"/>
    <n v="182035.66"/>
    <n v="214035.57"/>
  </r>
  <r>
    <x v="2"/>
    <s v="3006 - TRANSPORTE TERRESTRE E TRANSITO"/>
    <x v="453"/>
    <n v="29821660.010000002"/>
    <n v="1110627.68"/>
    <n v="1106587.73"/>
  </r>
  <r>
    <x v="2"/>
    <s v="2215 - POLITICA ECONOMICA E EQUILIBRIO FISCAL"/>
    <x v="264"/>
    <n v="-8010000"/>
    <n v="1636518.66"/>
    <n v="1636518.66"/>
  </r>
  <r>
    <x v="2"/>
    <s v="6012 - DEFESA NACIONAL"/>
    <x v="726"/>
    <n v="26372276.859999999"/>
    <n v="4985324.09"/>
    <n v="4691753.62"/>
  </r>
  <r>
    <x v="2"/>
    <s v="2205 - CONECTA BRASIL"/>
    <x v="686"/>
    <n v="1447685.68"/>
    <n v="1347994.74"/>
    <n v="1355398.11"/>
  </r>
  <r>
    <x v="2"/>
    <s v="2217 - DESENVOLVIMENTO REGIONAL, TERRITORIAL E URBANO"/>
    <x v="757"/>
    <n v="0"/>
    <n v="0"/>
    <n v="0"/>
  </r>
  <r>
    <x v="2"/>
    <s v="5012 - EDUCACAO PROFISSIONAL E TECNOLOGICA"/>
    <x v="657"/>
    <n v="14500"/>
    <n v="13500"/>
    <n v="13500"/>
  </r>
  <r>
    <x v="2"/>
    <s v="5017 - ASSISTENCIA FARMACEUTICA NO SUS"/>
    <x v="229"/>
    <n v="88726260.769999996"/>
    <n v="68873632.170000002"/>
    <n v="73485270.670000002"/>
  </r>
  <r>
    <x v="2"/>
    <s v="6012 - DEFESA NACIONAL"/>
    <x v="870"/>
    <n v="8768896.4499999993"/>
    <n v="2118541.9"/>
    <n v="5639.24"/>
  </r>
  <r>
    <x v="2"/>
    <s v="2084 - RECURSOS HIDRICOS"/>
    <x v="22"/>
    <n v="0"/>
    <n v="0"/>
    <n v="0"/>
  </r>
  <r>
    <x v="2"/>
    <s v="2201 - BRASIL MODERNIZA"/>
    <x v="520"/>
    <n v="-402572.82"/>
    <n v="319068.15000000002"/>
    <n v="314099.77"/>
  </r>
  <r>
    <x v="2"/>
    <s v="3003 - PETROLEO, GAS, DERIVADOS E BIOCOMBUSTIVEIS"/>
    <x v="704"/>
    <n v="1437567.93"/>
    <n v="1716572.81"/>
    <n v="1686207.46"/>
  </r>
  <r>
    <x v="2"/>
    <s v="6012 - DEFESA NACIONAL"/>
    <x v="777"/>
    <n v="29307.61"/>
    <n v="323822.33"/>
    <n v="344069.75"/>
  </r>
  <r>
    <x v="2"/>
    <s v="5018 - ATENCAO ESPECIALIZADA A SAUDE"/>
    <x v="83"/>
    <n v="37053281.799999997"/>
    <n v="34998566.240000002"/>
    <n v="33275030.690000001"/>
  </r>
  <r>
    <x v="2"/>
    <s v="5013 - EDUCACAO SUPERIOR - GRADUACAO, POS-GRADUACAO, ENSINO, PESQUISA E EXTENSAO"/>
    <x v="409"/>
    <n v="4841469.84"/>
    <n v="4835697.2"/>
    <n v="4841684"/>
  </r>
  <r>
    <x v="2"/>
    <s v="5016 - SEGURANCA PUBLICA, COMBATE A CORRUPCAO, AO CRIME ORGANIZADO E AO CRIME VIOLENTO"/>
    <x v="785"/>
    <n v="26256158.68"/>
    <n v="20129667.260000002"/>
    <n v="20245589.789999999"/>
  </r>
  <r>
    <x v="2"/>
    <s v="6012 - DEFESA NACIONAL"/>
    <x v="518"/>
    <n v="0"/>
    <n v="0"/>
    <n v="0"/>
  </r>
  <r>
    <x v="2"/>
    <s v="6014 - PREVENCAO E CONTROLE DO DESMATAMENTO E DOS INCENDIOS NOS BIOMAS"/>
    <x v="698"/>
    <n v="26111915.800000001"/>
    <n v="8284834.0199999996"/>
    <n v="10561957.08"/>
  </r>
  <r>
    <x v="2"/>
    <s v="5020 - DESENVOLVIMENTO CIENTIFICO, TECNOLOGICO E PRODUTIVO EM SAUDE"/>
    <x v="136"/>
    <n v="11946834.49"/>
    <n v="14172179.92"/>
    <n v="12588281.939999999"/>
  </r>
  <r>
    <x v="2"/>
    <s v="5022 - PROTECAO, PROMOCAO E RECUPERACAO DA SAUDE INDIGENA"/>
    <x v="742"/>
    <n v="17433645.609999999"/>
    <n v="3682842.12"/>
    <n v="3274725.83"/>
  </r>
  <r>
    <x v="2"/>
    <s v="1040 - GOVERNANCA FUNDIARIA"/>
    <x v="585"/>
    <n v="66246.740000000005"/>
    <n v="13212.87"/>
    <n v="13212.87"/>
  </r>
  <r>
    <x v="2"/>
    <s v="0032 - PROGRAMA DE GESTAO E MANUTENCAO DO PODER EXECUTIVO"/>
    <x v="722"/>
    <n v="3996661.34"/>
    <n v="346293.3"/>
    <n v="362310.84"/>
  </r>
  <r>
    <x v="2"/>
    <s v="3006 - TRANSPORTE TERRESTRE E TRANSITO"/>
    <x v="367"/>
    <n v="244867446.25"/>
    <n v="129978441.48999999"/>
    <n v="125022189.81"/>
  </r>
  <r>
    <x v="2"/>
    <s v="6012 - DEFESA NACIONAL"/>
    <x v="273"/>
    <n v="-22334.03"/>
    <n v="91980.33"/>
    <n v="87516.17"/>
  </r>
  <r>
    <x v="2"/>
    <s v="2216 - POLITICA EXTERNA"/>
    <x v="889"/>
    <n v="0"/>
    <n v="0"/>
    <n v="0"/>
  </r>
  <r>
    <x v="2"/>
    <s v="2205 - CONECTA BRASIL"/>
    <x v="398"/>
    <n v="0"/>
    <n v="0"/>
    <n v="0"/>
  </r>
  <r>
    <x v="2"/>
    <s v="3005 - TRANSPORTE AQUAVIARIO"/>
    <x v="443"/>
    <n v="1208584.1000000001"/>
    <n v="625725.02"/>
    <n v="499150.71"/>
  </r>
  <r>
    <x v="2"/>
    <s v="5013 - EDUCACAO SUPERIOR - GRADUACAO, POS-GRADUACAO, ENSINO, PESQUISA E EXTENSAO"/>
    <x v="793"/>
    <n v="70140881.010000005"/>
    <n v="66648099.759999998"/>
    <n v="65723352.060000002"/>
  </r>
  <r>
    <x v="2"/>
    <s v="6012 - DEFESA NACIONAL"/>
    <x v="591"/>
    <n v="24192"/>
    <n v="0"/>
    <n v="0"/>
  </r>
  <r>
    <x v="2"/>
    <s v="2221 - RECURSOS HIDRICOS"/>
    <x v="424"/>
    <n v="486192.77"/>
    <n v="369746.07"/>
    <n v="292693.12"/>
  </r>
  <r>
    <x v="2"/>
    <s v="3006 - TRANSPORTE TERRESTRE E TRANSITO"/>
    <x v="277"/>
    <n v="94541.89"/>
    <n v="20739.09"/>
    <n v="11219.66"/>
  </r>
  <r>
    <x v="2"/>
    <s v="2021 - CIENCIA, TECNOLOGIA E INOVACAO"/>
    <x v="183"/>
    <n v="0"/>
    <n v="0"/>
    <n v="0"/>
  </r>
  <r>
    <x v="2"/>
    <s v="2208 - TECNOLOGIAS APLICADAS, INOVACAO E DESENVOLVIMENTO SUSTENTAVEL"/>
    <x v="87"/>
    <n v="16886771.43"/>
    <n v="1900.79"/>
    <n v="1900.79"/>
  </r>
  <r>
    <x v="2"/>
    <s v="2214 - NOVA PREVIDENCIA"/>
    <x v="667"/>
    <n v="6969014.5499999998"/>
    <n v="64256570884.379997"/>
    <n v="63992957331.25"/>
  </r>
  <r>
    <x v="2"/>
    <s v="2202 - DEFESA AGROPECUARIA"/>
    <x v="720"/>
    <n v="1144469.52"/>
    <n v="683172.81"/>
    <n v="620712.34"/>
  </r>
  <r>
    <x v="2"/>
    <s v="2021 - CIENCIA, TECNOLOGIA E INOVACAO"/>
    <x v="11"/>
    <n v="0"/>
    <n v="0"/>
    <n v="0"/>
  </r>
  <r>
    <x v="2"/>
    <s v="6011 - COOPERACAO COM O DESENVOLVIMENTO NACIONAL"/>
    <x v="733"/>
    <n v="10392730.960000001"/>
    <n v="6713138.79"/>
    <n v="3788742.49"/>
  </r>
  <r>
    <x v="2"/>
    <s v="1040 - GOVERNANCA FUNDIARIA"/>
    <x v="236"/>
    <n v="0"/>
    <n v="0"/>
    <n v="0"/>
  </r>
  <r>
    <x v="2"/>
    <s v="6012 - DEFESA NACIONAL"/>
    <x v="278"/>
    <n v="292208.74"/>
    <n v="180153.25"/>
    <n v="180764.24"/>
  </r>
  <r>
    <x v="2"/>
    <s v="5021 - GESTAO E ORGANIZACAO DO SUS"/>
    <x v="475"/>
    <n v="1273891.6599999999"/>
    <n v="3046427.08"/>
    <n v="2978728.43"/>
  </r>
  <r>
    <x v="2"/>
    <s v="6012 - DEFESA NACIONAL"/>
    <x v="551"/>
    <n v="145184.12"/>
    <n v="306112.69"/>
    <n v="306112.69"/>
  </r>
  <r>
    <x v="2"/>
    <s v="0033 - PROGRAMA DE GESTAO E MANUTENCAO DO PODER JUDICIARIO"/>
    <x v="335"/>
    <n v="0"/>
    <n v="0"/>
    <n v="0"/>
  </r>
  <r>
    <x v="2"/>
    <s v="2203 - PESQUISA E INOVACAO AGROPECUARIA"/>
    <x v="270"/>
    <n v="17820368.07"/>
    <n v="11507109.359999999"/>
    <n v="10407565.41"/>
  </r>
  <r>
    <x v="2"/>
    <s v="5018 - ATENCAO ESPECIALIZADA A SAUDE"/>
    <x v="283"/>
    <n v="1090000"/>
    <n v="1090000"/>
    <n v="1090000"/>
  </r>
  <r>
    <x v="2"/>
    <s v="2205 - CONECTA BRASIL"/>
    <x v="148"/>
    <n v="-38974505.140000001"/>
    <n v="10464192.029999999"/>
    <n v="6939348.1900000004"/>
  </r>
  <r>
    <x v="2"/>
    <s v="5025 - CULTURA"/>
    <x v="1011"/>
    <n v="0"/>
    <n v="0"/>
    <n v="0"/>
  </r>
  <r>
    <x v="2"/>
    <s v="0032 - PROGRAMA DE GESTAO E MANUTENCAO DO PODER EXECUTIVO"/>
    <x v="678"/>
    <n v="92518699.109999999"/>
    <n v="106376602.48"/>
    <n v="118837020.45999999"/>
  </r>
  <r>
    <x v="2"/>
    <s v="2215 - POLITICA ECONOMICA E EQUILIBRIO FISCAL"/>
    <x v="661"/>
    <n v="71221699.579999998"/>
    <n v="11884940.449999999"/>
    <n v="11875096.369999999"/>
  </r>
  <r>
    <x v="2"/>
    <s v="2201 - BRASIL MODERNIZA"/>
    <x v="451"/>
    <n v="1807519.25"/>
    <n v="1395973.31"/>
    <n v="1367498.16"/>
  </r>
  <r>
    <x v="2"/>
    <s v="2214 - NOVA PREVIDENCIA"/>
    <x v="617"/>
    <n v="10179994.42"/>
    <n v="2942238"/>
    <n v="2866394.47"/>
  </r>
  <r>
    <x v="2"/>
    <s v="1041 - CONSERVACAO E USO SUSTENTAVEL DA BIODIVERSIDADE E DOS RECURSOS NATURAIS"/>
    <x v="568"/>
    <n v="975406.22"/>
    <n v="543029.49"/>
    <n v="490294.98"/>
  </r>
  <r>
    <x v="2"/>
    <s v="6012 - DEFESA NACIONAL"/>
    <x v="652"/>
    <n v="45392900.240000002"/>
    <n v="14947021.369999999"/>
    <n v="12264638.75"/>
  </r>
  <r>
    <x v="2"/>
    <s v="0903 - OPERACOES ESPECIAIS: TRANSFERENCIAS CONSTITUCIONAIS E AS DECORRENTES DE LEGISLACAO ESPECIFICA"/>
    <x v="578"/>
    <n v="18611566.850000001"/>
    <n v="18697826.68"/>
    <n v="18629807.449999999"/>
  </r>
  <r>
    <x v="2"/>
    <s v="2080 - EDUCACAO DE QUALIDADE PARA TODOS"/>
    <x v="504"/>
    <n v="0"/>
    <n v="0"/>
    <n v="0"/>
  </r>
  <r>
    <x v="2"/>
    <s v="1031 - AGROPECUARIA SUSTENTAVEL"/>
    <x v="756"/>
    <n v="321381.98"/>
    <n v="508062.04"/>
    <n v="478279.48"/>
  </r>
  <r>
    <x v="2"/>
    <s v="2223 - A HORA DO TURISMO"/>
    <x v="269"/>
    <n v="47926.18"/>
    <n v="0"/>
    <n v="0"/>
  </r>
  <r>
    <x v="2"/>
    <s v="2203 - PESQUISA E INOVACAO AGROPECUARIA"/>
    <x v="618"/>
    <n v="3390"/>
    <n v="400"/>
    <n v="0"/>
  </r>
  <r>
    <x v="2"/>
    <s v="6012 - DEFESA NACIONAL"/>
    <x v="492"/>
    <n v="93114.78"/>
    <n v="62979.76"/>
    <n v="59191"/>
  </r>
  <r>
    <x v="2"/>
    <s v="5020 - DESENVOLVIMENTO CIENTIFICO, TECNOLOGICO E PRODUTIVO EM SAUDE"/>
    <x v="833"/>
    <n v="0"/>
    <n v="0"/>
    <n v="0"/>
  </r>
  <r>
    <x v="2"/>
    <s v="2216 - POLITICA EXTERNA"/>
    <x v="384"/>
    <n v="180269.49"/>
    <n v="146673.67000000001"/>
    <n v="146673.67000000001"/>
  </r>
  <r>
    <x v="2"/>
    <s v="0910 - OPERACOES ESPECIAIS: GESTAO DA PARTICIPACAO EM ORGANISMOS E ENTIDADES NACIONAIS E INTERNACIONAIS"/>
    <x v="1012"/>
    <n v="29759943.129999999"/>
    <n v="2808379.99"/>
    <n v="2808379.99"/>
  </r>
  <r>
    <x v="2"/>
    <s v="5032 - REDE DE SUPORTE SOCIAL AO DEPENDENTE QUIMICO: CUIDADOS,PREVENCAO E REINSERCAO SOCIAL"/>
    <x v="631"/>
    <n v="8466998.0099999998"/>
    <n v="1091272.3999999999"/>
    <n v="908186.98"/>
  </r>
  <r>
    <x v="2"/>
    <s v="6011 - COOPERACAO COM O DESENVOLVIMENTO NACIONAL"/>
    <x v="134"/>
    <n v="0"/>
    <n v="0"/>
    <n v="0"/>
  </r>
  <r>
    <x v="2"/>
    <s v="0032 - PROGRAMA DE GESTAO E MANUTENCAO DO PODER EXECUTIVO"/>
    <x v="356"/>
    <n v="34947315.159999996"/>
    <n v="20189077.449999999"/>
    <n v="17648530.989999998"/>
  </r>
  <r>
    <x v="2"/>
    <s v="2208 - TECNOLOGIAS APLICADAS, INOVACAO E DESENVOLVIMENTO SUSTENTAVEL"/>
    <x v="658"/>
    <n v="3366.19"/>
    <n v="3366.19"/>
    <n v="3366.19"/>
  </r>
  <r>
    <x v="2"/>
    <s v="5023 - VIGILANCIA EM SAUDE"/>
    <x v="324"/>
    <n v="3681209.67"/>
    <n v="1511664.76"/>
    <n v="519100.1"/>
  </r>
  <r>
    <x v="2"/>
    <s v="6012 - DEFESA NACIONAL"/>
    <x v="639"/>
    <n v="226819168.94999999"/>
    <n v="102811545.67"/>
    <n v="102018863.58"/>
  </r>
  <r>
    <x v="2"/>
    <s v="6012 - DEFESA NACIONAL"/>
    <x v="301"/>
    <n v="0"/>
    <n v="0"/>
    <n v="0"/>
  </r>
  <r>
    <x v="2"/>
    <s v="1041 - CONSERVACAO E USO SUSTENTAVEL DA BIODIVERSIDADE E DOS RECURSOS NATURAIS"/>
    <x v="711"/>
    <n v="12419992.57"/>
    <n v="8926738.3900000006"/>
    <n v="9056075.2899999991"/>
  </r>
  <r>
    <x v="2"/>
    <s v="2222 - SANEAMENTO BASICO"/>
    <x v="727"/>
    <n v="268950"/>
    <n v="218347.95"/>
    <n v="238040.3"/>
  </r>
  <r>
    <x v="2"/>
    <s v="6012 - DEFESA NACIONAL"/>
    <x v="499"/>
    <n v="43732705.689999998"/>
    <n v="27946908.25"/>
    <n v="36397745.590000004"/>
  </r>
  <r>
    <x v="2"/>
    <s v="2214 - NOVA PREVIDENCIA"/>
    <x v="523"/>
    <n v="-186279.56"/>
    <n v="26606.18"/>
    <n v="26387.74"/>
  </r>
  <r>
    <x v="2"/>
    <s v="2216 - POLITICA EXTERNA"/>
    <x v="362"/>
    <n v="3940.79"/>
    <n v="3940.79"/>
    <n v="3940.79"/>
  </r>
  <r>
    <x v="2"/>
    <s v="5013 - EDUCACAO SUPERIOR - GRADUACAO, POS-GRADUACAO, ENSINO, PESQUISA E EXTENSAO"/>
    <x v="396"/>
    <n v="220066510.37"/>
    <n v="2924895.5"/>
    <n v="204843454.50999999"/>
  </r>
  <r>
    <x v="2"/>
    <s v="6012 - DEFESA NACIONAL"/>
    <x v="561"/>
    <n v="27128652.300000001"/>
    <n v="873252.01"/>
    <n v="609341.64"/>
  </r>
  <r>
    <x v="2"/>
    <s v="5013 - EDUCACAO SUPERIOR - GRADUACAO, POS-GRADUACAO, ENSINO, PESQUISA E EXTENSAO"/>
    <x v="504"/>
    <n v="24634894.859999999"/>
    <n v="21931385.41"/>
    <n v="21181601.940000001"/>
  </r>
  <r>
    <x v="2"/>
    <s v="0032 - PROGRAMA DE GESTAO E MANUTENCAO DO PODER EXECUTIVO"/>
    <x v="699"/>
    <n v="31841725.960000001"/>
    <n v="1296994.1499999999"/>
    <n v="809291.57"/>
  </r>
  <r>
    <x v="2"/>
    <s v="1031 - AGROPECUARIA SUSTENTAVEL"/>
    <x v="399"/>
    <n v="0"/>
    <n v="489293.15"/>
    <n v="489293.15"/>
  </r>
  <r>
    <x v="2"/>
    <s v="0901 - OPERACOES ESPECIAIS: CUMPRIMENTO DE SENTENCAS JUDICIAIS"/>
    <x v="684"/>
    <n v="1549239.32"/>
    <n v="115894607.81999999"/>
    <n v="114799645.14"/>
  </r>
  <r>
    <x v="2"/>
    <s v="1040 - GOVERNANCA FUNDIARIA"/>
    <x v="81"/>
    <n v="86314.54"/>
    <n v="14282.66"/>
    <n v="15061.77"/>
  </r>
  <r>
    <x v="2"/>
    <s v="6012 - DEFESA NACIONAL"/>
    <x v="637"/>
    <n v="172600.38"/>
    <n v="100953.31"/>
    <n v="110120.48"/>
  </r>
  <r>
    <x v="2"/>
    <s v="3006 - TRANSPORTE TERRESTRE E TRANSITO"/>
    <x v="310"/>
    <n v="3320000"/>
    <n v="8513.68"/>
    <n v="8513.68"/>
  </r>
  <r>
    <x v="2"/>
    <s v="2222 - SANEAMENTO BASICO"/>
    <x v="42"/>
    <n v="32594.9"/>
    <n v="22143.35"/>
    <n v="19291.93"/>
  </r>
  <r>
    <x v="2"/>
    <s v="1031 - AGROPECUARIA SUSTENTAVEL"/>
    <x v="660"/>
    <n v="3467962.14"/>
    <n v="3188689.87"/>
    <n v="3352779.59"/>
  </r>
  <r>
    <x v="2"/>
    <s v="5012 - EDUCACAO PROFISSIONAL E TECNOLOGICA"/>
    <x v="634"/>
    <n v="0"/>
    <n v="0"/>
    <n v="0"/>
  </r>
  <r>
    <x v="2"/>
    <s v="5018 - ATENCAO ESPECIALIZADA A SAUDE"/>
    <x v="366"/>
    <n v="75861069.989999995"/>
    <n v="82886259.909999996"/>
    <n v="72569495.030000001"/>
  </r>
  <r>
    <x v="2"/>
    <s v="6012 - DEFESA NACIONAL"/>
    <x v="172"/>
    <n v="8372279.5499999998"/>
    <n v="0"/>
    <n v="0"/>
  </r>
  <r>
    <x v="2"/>
    <s v="0901 - OPERACOES ESPECIAIS: CUMPRIMENTO DE SENTENCAS JUDICIAIS"/>
    <x v="629"/>
    <n v="33387687.289999999"/>
    <n v="36964151.219999999"/>
    <n v="38715392.710000001"/>
  </r>
  <r>
    <x v="2"/>
    <s v="1041 - CONSERVACAO E USO SUSTENTAVEL DA BIODIVERSIDADE E DOS RECURSOS NATURAIS"/>
    <x v="470"/>
    <n v="260840.81"/>
    <n v="141054.76999999999"/>
    <n v="147607.59"/>
  </r>
  <r>
    <x v="2"/>
    <s v="0032 - PROGRAMA DE GESTAO E MANUTENCAO DO PODER EXECUTIVO"/>
    <x v="649"/>
    <n v="3623253.7"/>
    <n v="1080941.25"/>
    <n v="1935584.14"/>
  </r>
  <r>
    <x v="2"/>
    <s v="2223 - A HORA DO TURISMO"/>
    <x v="275"/>
    <n v="0"/>
    <n v="0"/>
    <n v="0"/>
  </r>
  <r>
    <x v="2"/>
    <s v="5015 - JUSTICA"/>
    <x v="584"/>
    <n v="-260064"/>
    <n v="128220.41"/>
    <n v="128220.41"/>
  </r>
  <r>
    <x v="2"/>
    <s v="6012 - DEFESA NACIONAL"/>
    <x v="466"/>
    <n v="10360583.25"/>
    <n v="10153621.050000001"/>
    <n v="9278390.9600000009"/>
  </r>
  <r>
    <x v="2"/>
    <s v="5025 - CULTURA"/>
    <x v="553"/>
    <n v="286040.59999999998"/>
    <n v="180120"/>
    <n v="180120"/>
  </r>
  <r>
    <x v="2"/>
    <s v="6011 - COOPERACAO COM O DESENVOLVIMENTO NACIONAL"/>
    <x v="662"/>
    <n v="1369918.06"/>
    <n v="269425.09000000003"/>
    <n v="150118.85"/>
  </r>
  <r>
    <x v="2"/>
    <s v="5014 - ESTATISTICAS E AVALIACOES EDUCACIONAIS"/>
    <x v="707"/>
    <n v="6011740.4800000004"/>
    <n v="1895808.4"/>
    <n v="1792595.76"/>
  </r>
  <r>
    <x v="2"/>
    <s v="6012 - DEFESA NACIONAL"/>
    <x v="739"/>
    <n v="1426155.77"/>
    <n v="436184.01"/>
    <n v="391927.92"/>
  </r>
  <r>
    <x v="2"/>
    <s v="2205 - CONECTA BRASIL"/>
    <x v="47"/>
    <n v="2877500"/>
    <n v="646802.79"/>
    <n v="646802.79"/>
  </r>
  <r>
    <x v="2"/>
    <s v="4002 - SEGURANCA INSTITUCIONAL"/>
    <x v="483"/>
    <n v="2926482.64"/>
    <n v="1385306.46"/>
    <n v="1318173.3700000001"/>
  </r>
  <r>
    <x v="2"/>
    <s v="6012 - DEFESA NACIONAL"/>
    <x v="768"/>
    <n v="6024516.9500000002"/>
    <n v="3254506.52"/>
    <n v="1753688.2"/>
  </r>
  <r>
    <x v="2"/>
    <s v="5021 - GESTAO E ORGANIZACAO DO SUS"/>
    <x v="507"/>
    <n v="156665817.41999999"/>
    <n v="128871092.90000001"/>
    <n v="126440191.78"/>
  </r>
  <r>
    <x v="2"/>
    <s v="5023 - VIGILANCIA EM SAUDE"/>
    <x v="494"/>
    <n v="632245.04"/>
    <n v="446290.29"/>
    <n v="387325.31"/>
  </r>
  <r>
    <x v="2"/>
    <s v="3006 - TRANSPORTE TERRESTRE E TRANSITO"/>
    <x v="673"/>
    <n v="0"/>
    <n v="0"/>
    <n v="0"/>
  </r>
  <r>
    <x v="2"/>
    <s v="5026 - ESPORTE"/>
    <x v="248"/>
    <n v="5520961.0300000003"/>
    <n v="795121.16"/>
    <n v="785982.15"/>
  </r>
  <r>
    <x v="2"/>
    <s v="2217 - DESENVOLVIMENTO REGIONAL, TERRITORIAL E URBANO"/>
    <x v="621"/>
    <n v="464212.91"/>
    <n v="306852.33"/>
    <n v="22469.89"/>
  </r>
  <r>
    <x v="2"/>
    <s v="1031 - AGROPECUARIA SUSTENTAVEL"/>
    <x v="562"/>
    <n v="979886.98"/>
    <n v="513682.16"/>
    <n v="516749.18"/>
  </r>
  <r>
    <x v="2"/>
    <s v="6012 - DEFESA NACIONAL"/>
    <x v="763"/>
    <n v="1516410.65"/>
    <n v="249201.13"/>
    <n v="249201.13"/>
  </r>
  <r>
    <x v="2"/>
    <s v="1031 - AGROPECUARIA SUSTENTAVEL"/>
    <x v="723"/>
    <n v="-5310450.6500000004"/>
    <n v="8449637.2799999993"/>
    <n v="19250437.559999999"/>
  </r>
  <r>
    <x v="2"/>
    <s v="2203 - PESQUISA E INOVACAO AGROPECUARIA"/>
    <x v="780"/>
    <n v="42143.3"/>
    <n v="12276"/>
    <n v="12276"/>
  </r>
  <r>
    <x v="2"/>
    <s v="0032 - PROGRAMA DE GESTAO E MANUTENCAO DO PODER EXECUTIVO"/>
    <x v="609"/>
    <n v="22486883.949999999"/>
    <n v="56609044.729999997"/>
    <n v="54068786.259999998"/>
  </r>
  <r>
    <x v="2"/>
    <s v="2221 - RECURSOS HIDRICOS"/>
    <x v="194"/>
    <n v="-2907.27"/>
    <n v="19696.18"/>
    <n v="946.4"/>
  </r>
  <r>
    <x v="2"/>
    <s v="2218 - GESTAO DE RISCOS E DE DESASTRES"/>
    <x v="786"/>
    <n v="122958926.87"/>
    <n v="82732178.909999996"/>
    <n v="48070436.200000003"/>
  </r>
  <r>
    <x v="2"/>
    <s v="0033 - PROGRAMA DE GESTAO E MANUTENCAO DO PODER JUDICIARIO"/>
    <x v="547"/>
    <n v="8619.4599999999991"/>
    <n v="8619.4599999999991"/>
    <n v="8619.4599999999991"/>
  </r>
  <r>
    <x v="2"/>
    <s v="0032 - PROGRAMA DE GESTAO E MANUTENCAO DO PODER EXECUTIVO"/>
    <x v="348"/>
    <n v="0"/>
    <n v="0"/>
    <n v="0"/>
  </r>
  <r>
    <x v="2"/>
    <s v="2217 - DESENVOLVIMENTO REGIONAL, TERRITORIAL E URBANO"/>
    <x v="213"/>
    <n v="0"/>
    <n v="613.64"/>
    <n v="4147.92"/>
  </r>
  <r>
    <x v="2"/>
    <s v="0032 - PROGRAMA DE GESTAO E MANUTENCAO DO PODER EXECUTIVO"/>
    <x v="588"/>
    <n v="3368034.53"/>
    <n v="185457.39"/>
    <n v="183359.72"/>
  </r>
  <r>
    <x v="2"/>
    <s v="0032 - PROGRAMA DE GESTAO E MANUTENCAO DO PODER EXECUTIVO"/>
    <x v="644"/>
    <n v="4984209.28"/>
    <n v="1343773.55"/>
    <n v="1349394.51"/>
  </r>
  <r>
    <x v="2"/>
    <s v="5021 - GESTAO E ORGANIZACAO DO SUS"/>
    <x v="873"/>
    <n v="30100"/>
    <n v="0"/>
    <n v="4493450"/>
  </r>
  <r>
    <x v="2"/>
    <s v="5018 - ATENCAO ESPECIALIZADA A SAUDE"/>
    <x v="437"/>
    <n v="4799903627.2799997"/>
    <n v="4694680239.7600002"/>
    <n v="4707795586.6999998"/>
  </r>
  <r>
    <x v="2"/>
    <s v="0034 - PROGRAMA DE GESTAO E MANUTENCAO DO PODER LEGISLATIVO"/>
    <x v="834"/>
    <n v="138135.57"/>
    <n v="138135.57"/>
    <n v="138135.57"/>
  </r>
  <r>
    <x v="2"/>
    <s v="1041 - CONSERVACAO E USO SUSTENTAVEL DA BIODIVERSIDADE E DOS RECURSOS NATURAIS"/>
    <x v="702"/>
    <n v="564437.81000000006"/>
    <n v="933157.9"/>
    <n v="906770.27"/>
  </r>
  <r>
    <x v="2"/>
    <s v="5013 - EDUCACAO SUPERIOR - GRADUACAO, POS-GRADUACAO, ENSINO, PESQUISA E EXTENSAO"/>
    <x v="762"/>
    <n v="24713299.300000001"/>
    <n v="19694925.539999999"/>
    <n v="20627147.219999999"/>
  </r>
  <r>
    <x v="2"/>
    <s v="5019 - ATENCAO PRIMARIA A SAUDE"/>
    <x v="730"/>
    <n v="100775289.17"/>
    <n v="121111309.52"/>
    <n v="120904118.31"/>
  </r>
  <r>
    <x v="2"/>
    <s v="6012 - DEFESA NACIONAL"/>
    <x v="276"/>
    <n v="352419.6"/>
    <n v="160276.12"/>
    <n v="160276.12"/>
  </r>
  <r>
    <x v="2"/>
    <s v="6012 - DEFESA NACIONAL"/>
    <x v="741"/>
    <n v="136535.25"/>
    <n v="41633.230000000003"/>
    <n v="41633.230000000003"/>
  </r>
  <r>
    <x v="2"/>
    <s v="6012 - DEFESA NACIONAL"/>
    <x v="736"/>
    <n v="2341844.5"/>
    <n v="531937.84"/>
    <n v="890381.54"/>
  </r>
  <r>
    <x v="2"/>
    <s v="6011 - COOPERACAO COM O DESENVOLVIMENTO NACIONAL"/>
    <x v="430"/>
    <n v="-175980.96"/>
    <n v="25634.46"/>
    <n v="25634.46"/>
  </r>
  <r>
    <x v="2"/>
    <s v="0910 - OPERACOES ESPECIAIS: GESTAO DA PARTICIPACAO EM ORGANISMOS E ENTIDADES NACIONAIS E INTERNACIONAIS"/>
    <x v="693"/>
    <n v="2016173.8"/>
    <n v="1908442.17"/>
    <n v="1514187.87"/>
  </r>
  <r>
    <x v="2"/>
    <s v="2202 - DEFESA AGROPECUARIA"/>
    <x v="697"/>
    <n v="379517.61"/>
    <n v="415669.36"/>
    <n v="457998.11"/>
  </r>
  <r>
    <x v="2"/>
    <s v="2213 - MODERNIZACAO TRABALHISTA E TRABALHO DIGNO"/>
    <x v="534"/>
    <n v="1996010.55"/>
    <n v="1253462.78"/>
    <n v="1259496.73"/>
  </r>
  <r>
    <x v="2"/>
    <s v="6012 - DEFESA NACIONAL"/>
    <x v="758"/>
    <n v="23485755.530000001"/>
    <n v="1345058.24"/>
    <n v="956278.13"/>
  </r>
  <r>
    <x v="2"/>
    <s v="6012 - DEFESA NACIONAL"/>
    <x v="746"/>
    <n v="1472428.94"/>
    <n v="216153.39"/>
    <n v="208201.89"/>
  </r>
  <r>
    <x v="2"/>
    <s v="2221 - RECURSOS HIDRICOS"/>
    <x v="513"/>
    <n v="7148.4"/>
    <n v="0"/>
    <n v="0"/>
  </r>
  <r>
    <x v="2"/>
    <s v="5025 - CULTURA"/>
    <x v="549"/>
    <n v="25525295.120000001"/>
    <n v="9478771.8300000001"/>
    <n v="10103723.720000001"/>
  </r>
  <r>
    <x v="2"/>
    <s v="3002 - GEOLOGIA, MINERACAO E TRANSFORMACAO MINERAL"/>
    <x v="743"/>
    <n v="2968762.06"/>
    <n v="718975.76"/>
    <n v="342546.36"/>
  </r>
  <r>
    <x v="2"/>
    <s v="2212 - MELHORIA DO AMBIENTE DE NEGOCIOS E DA PRODUTIVIDADE"/>
    <x v="887"/>
    <n v="25000"/>
    <n v="1701.79"/>
    <n v="1701.79"/>
  </r>
  <r>
    <x v="2"/>
    <s v="0910 - OPERACOES ESPECIAIS: GESTAO DA PARTICIPACAO EM ORGANISMOS E ENTIDADES NACIONAIS E INTERNACIONAIS"/>
    <x v="1013"/>
    <n v="11305326"/>
    <n v="428314.73"/>
    <n v="428314.73"/>
  </r>
  <r>
    <x v="2"/>
    <s v="0032 - PROGRAMA DE GESTAO E MANUTENCAO DO PODER EXECUTIVO"/>
    <x v="349"/>
    <n v="575314.23"/>
    <n v="550103.48"/>
    <n v="433340.52"/>
  </r>
  <r>
    <x v="2"/>
    <s v="2221 - RECURSOS HIDRICOS"/>
    <x v="327"/>
    <n v="0"/>
    <n v="0"/>
    <n v="0"/>
  </r>
  <r>
    <x v="2"/>
    <s v="2216 - POLITICA EXTERNA"/>
    <x v="583"/>
    <n v="6227146.54"/>
    <n v="6105547.7199999997"/>
    <n v="5896561.5300000003"/>
  </r>
  <r>
    <x v="2"/>
    <s v="2209 - BRASIL, NOSSO PROPOSITO"/>
    <x v="137"/>
    <n v="132778.4"/>
    <n v="57939.8"/>
    <n v="21520.5"/>
  </r>
  <r>
    <x v="2"/>
    <s v="4001 - COMUNICACAO PUBLICA E DIVULGACAO DE ATOS E MATERIAS DO GOVERNO FEDERAL"/>
    <x v="84"/>
    <n v="2045755.2"/>
    <n v="4247814.76"/>
    <n v="4049067.19"/>
  </r>
  <r>
    <x v="2"/>
    <s v="0903 - OPERACOES ESPECIAIS: TRANSFERENCIAS CONSTITUCIONAIS E AS DECORRENTES DE LEGISLACAO ESPECIFICA"/>
    <x v="28"/>
    <n v="0"/>
    <n v="353189751.06999999"/>
    <n v="353189751.06999999"/>
  </r>
  <r>
    <x v="2"/>
    <s v="0032 - PROGRAMA DE GESTAO E MANUTENCAO DO PODER EXECUTIVO"/>
    <x v="599"/>
    <n v="16570422.199999999"/>
    <n v="3333050.02"/>
    <n v="2398426.42"/>
  </r>
  <r>
    <x v="2"/>
    <s v="2216 - POLITICA EXTERNA"/>
    <x v="732"/>
    <n v="5364481.51"/>
    <n v="5349410.62"/>
    <n v="5379957.46"/>
  </r>
  <r>
    <x v="2"/>
    <s v="1031 - AGROPECUARIA SUSTENTAVEL"/>
    <x v="685"/>
    <n v="446964.25"/>
    <n v="426760.58"/>
    <n v="405107.42"/>
  </r>
  <r>
    <x v="2"/>
    <s v="0617 - PROTECAO E PROMOCAO DOS DIREITOS DOS POVOS INDIGENAS"/>
    <x v="776"/>
    <n v="1987178.73"/>
    <n v="721399.11"/>
    <n v="642217.05000000005"/>
  </r>
  <r>
    <x v="2"/>
    <s v="2217 - DESENVOLVIMENTO REGIONAL, TERRITORIAL E URBANO"/>
    <x v="632"/>
    <n v="0"/>
    <n v="0"/>
    <n v="0"/>
  </r>
  <r>
    <x v="2"/>
    <s v="5012 - EDUCACAO PROFISSIONAL E TECNOLOGICA"/>
    <x v="526"/>
    <n v="0"/>
    <n v="0"/>
    <n v="0"/>
  </r>
  <r>
    <x v="2"/>
    <s v="1040 - GOVERNANCA FUNDIARIA"/>
    <x v="231"/>
    <n v="1127568.99"/>
    <n v="913546.55"/>
    <n v="8140.94"/>
  </r>
  <r>
    <x v="2"/>
    <s v="5019 - ATENCAO PRIMARIA A SAUDE"/>
    <x v="423"/>
    <n v="0"/>
    <n v="0"/>
    <n v="0"/>
  </r>
  <r>
    <x v="2"/>
    <s v="2080 - EDUCACAO DE QUALIDADE PARA TODOS"/>
    <x v="859"/>
    <n v="0"/>
    <n v="0"/>
    <n v="0"/>
  </r>
  <r>
    <x v="2"/>
    <s v="0032 - PROGRAMA DE GESTAO E MANUTENCAO DO PODER EXECUTIVO"/>
    <x v="575"/>
    <n v="0"/>
    <n v="0"/>
    <n v="0"/>
  </r>
  <r>
    <x v="2"/>
    <s v="5011 - EDUCACAO BASICA DE QUALIDADE"/>
    <x v="747"/>
    <n v="-4427820.46"/>
    <n v="3261457.63"/>
    <n v="3244812.8"/>
  </r>
  <r>
    <x v="2"/>
    <s v="5033 - SEGURANCA ALIMENTAR E NUTRICIONAL"/>
    <x v="792"/>
    <n v="0"/>
    <n v="0"/>
    <n v="0"/>
  </r>
  <r>
    <x v="2"/>
    <s v="6012 - DEFESA NACIONAL"/>
    <x v="638"/>
    <n v="-227732463"/>
    <n v="0"/>
    <n v="0"/>
  </r>
  <r>
    <x v="2"/>
    <s v="2209 - BRASIL, NOSSO PROPOSITO"/>
    <x v="750"/>
    <n v="5556213.9000000004"/>
    <n v="3427835.45"/>
    <n v="3262367.44"/>
  </r>
  <r>
    <x v="2"/>
    <s v="0032 - PROGRAMA DE GESTAO E MANUTENCAO DO PODER EXECUTIVO"/>
    <x v="782"/>
    <n v="3762377084.54"/>
    <n v="7231566889.0200005"/>
    <n v="7530172275.6999998"/>
  </r>
  <r>
    <x v="2"/>
    <s v="0617 - PROTECAO E PROMOCAO DOS DIREITOS DOS POVOS INDIGENAS"/>
    <x v="725"/>
    <n v="5012344.8899999997"/>
    <n v="2479371.63"/>
    <n v="1488303.03"/>
  </r>
  <r>
    <x v="2"/>
    <s v="0032 - PROGRAMA DE GESTAO E MANUTENCAO DO PODER EXECUTIVO"/>
    <x v="517"/>
    <n v="223145"/>
    <n v="283964.09000000003"/>
    <n v="295237.44"/>
  </r>
  <r>
    <x v="2"/>
    <s v="5013 - EDUCACAO SUPERIOR - GRADUACAO, POS-GRADUACAO, ENSINO, PESQUISA E EXTENSAO"/>
    <x v="129"/>
    <n v="49463402.280000001"/>
    <n v="26983442.77"/>
    <n v="34492352.409999996"/>
  </r>
  <r>
    <x v="2"/>
    <s v="0032 - PROGRAMA DE GESTAO E MANUTENCAO DO PODER EXECUTIVO"/>
    <x v="495"/>
    <n v="37043968.520000003"/>
    <n v="7210078.9100000001"/>
    <n v="7413828.1399999997"/>
  </r>
  <r>
    <x v="2"/>
    <s v="5011 - EDUCACAO BASICA DE QUALIDADE"/>
    <x v="865"/>
    <n v="3022678"/>
    <n v="2356178"/>
    <n v="2356178"/>
  </r>
  <r>
    <x v="2"/>
    <s v="6011 - COOPERACAO COM O DESENVOLVIMENTO NACIONAL"/>
    <x v="701"/>
    <n v="0"/>
    <n v="0"/>
    <n v="0"/>
  </r>
  <r>
    <x v="2"/>
    <s v="5015 - JUSTICA"/>
    <x v="690"/>
    <n v="3682.65"/>
    <n v="445841.47"/>
    <n v="461198.51"/>
  </r>
  <r>
    <x v="2"/>
    <s v="5012 - EDUCACAO PROFISSIONAL E TECNOLOGICA"/>
    <x v="759"/>
    <n v="1523641.01"/>
    <n v="1091508.58"/>
    <n v="1020230.58"/>
  </r>
  <r>
    <x v="2"/>
    <s v="5020 - DESENVOLVIMENTO CIENTIFICO, TECNOLOGICO E PRODUTIVO EM SAUDE"/>
    <x v="576"/>
    <n v="9291472.3000000007"/>
    <n v="4080836.98"/>
    <n v="3267056.55"/>
  </r>
  <r>
    <x v="2"/>
    <s v="5021 - GESTAO E ORGANIZACAO DO SUS"/>
    <x v="312"/>
    <n v="1300000"/>
    <n v="8351062.9699999997"/>
    <n v="8331439.8499999996"/>
  </r>
  <r>
    <x v="2"/>
    <s v="6012 - DEFESA NACIONAL"/>
    <x v="25"/>
    <n v="9136789.7599999998"/>
    <n v="4701136.8899999997"/>
    <n v="4703508.46"/>
  </r>
  <r>
    <x v="2"/>
    <s v="0032 - PROGRAMA DE GESTAO E MANUTENCAO DO PODER EXECUTIVO"/>
    <x v="795"/>
    <n v="3931847.97"/>
    <n v="888569.41"/>
    <n v="615147.14"/>
  </r>
  <r>
    <x v="2"/>
    <s v="5016 - SEGURANCA PUBLICA, COMBATE A CORRUPCAO, AO CRIME ORGANIZADO E AO CRIME VIOLENTO"/>
    <x v="703"/>
    <n v="30533570.489999998"/>
    <n v="18595264.93"/>
    <n v="12939986.130000001"/>
  </r>
  <r>
    <x v="2"/>
    <s v="0032 - PROGRAMA DE GESTAO E MANUTENCAO DO PODER EXECUTIVO"/>
    <x v="791"/>
    <n v="4134912591.1100001"/>
    <n v="5604319300.3199997"/>
    <n v="5694393720.2799997"/>
  </r>
  <r>
    <x v="2"/>
    <s v="6012 - DEFESA NACIONAL"/>
    <x v="542"/>
    <n v="0"/>
    <n v="0"/>
    <n v="0"/>
  </r>
  <r>
    <x v="2"/>
    <s v="6014 - PREVENCAO E CONTROLE DO DESMATAMENTO E DOS INCENDIOS NOS BIOMAS"/>
    <x v="624"/>
    <n v="2195136.9300000002"/>
    <n v="945438.68"/>
    <n v="1168520.05"/>
  </r>
  <r>
    <x v="2"/>
    <s v="0032 - PROGRAMA DE GESTAO E MANUTENCAO DO PODER EXECUTIVO"/>
    <x v="628"/>
    <n v="372538043.5"/>
    <n v="1163754985.4300001"/>
    <n v="1251570905.1900001"/>
  </r>
  <r>
    <x v="2"/>
    <s v="1031 - AGROPECUARIA SUSTENTAVEL"/>
    <x v="291"/>
    <n v="616432.77"/>
    <n v="10843.3"/>
    <n v="0"/>
  </r>
  <r>
    <x v="2"/>
    <s v="5016 - SEGURANCA PUBLICA, COMBATE A CORRUPCAO, AO CRIME ORGANIZADO E AO CRIME VIOLENTO"/>
    <x v="487"/>
    <n v="-2547695.4700000002"/>
    <n v="3523364.66"/>
    <n v="3496210.64"/>
  </r>
  <r>
    <x v="2"/>
    <s v="2216 - POLITICA EXTERNA"/>
    <x v="775"/>
    <n v="1597218.26"/>
    <n v="1449869.73"/>
    <n v="1424050.15"/>
  </r>
  <r>
    <x v="2"/>
    <s v="2217 - DESENVOLVIMENTO REGIONAL, TERRITORIAL E URBANO"/>
    <x v="30"/>
    <n v="917836.39"/>
    <n v="514766.4"/>
    <n v="30825.88"/>
  </r>
  <r>
    <x v="2"/>
    <s v="1031 - AGROPECUARIA SUSTENTAVEL"/>
    <x v="535"/>
    <n v="0"/>
    <n v="0"/>
    <n v="0"/>
  </r>
  <r>
    <x v="2"/>
    <s v="5012 - EDUCACAO PROFISSIONAL E TECNOLOGICA"/>
    <x v="682"/>
    <n v="5620109.3200000003"/>
    <n v="1602496.31"/>
    <n v="1571673.67"/>
  </r>
  <r>
    <x v="2"/>
    <s v="6012 - DEFESA NACIONAL"/>
    <x v="788"/>
    <n v="26514994.989999998"/>
    <n v="37901833.799999997"/>
    <n v="42965251"/>
  </r>
  <r>
    <x v="2"/>
    <s v="2207 - PROGRAMA ESPACIAL BRASILEIRO"/>
    <x v="719"/>
    <n v="45986.1"/>
    <n v="0"/>
    <n v="0"/>
  </r>
  <r>
    <x v="2"/>
    <s v="0909 - OPERACOES ESPECIAIS: OUTROS ENCARGOS ESPECIAIS"/>
    <x v="600"/>
    <n v="5050563"/>
    <n v="9622699.1300000008"/>
    <n v="10039043.539999999"/>
  </r>
  <r>
    <x v="2"/>
    <s v="6012 - DEFESA NACIONAL"/>
    <x v="787"/>
    <n v="123983717.20999999"/>
    <n v="28025361.100000001"/>
    <n v="25853997.050000001"/>
  </r>
  <r>
    <x v="2"/>
    <s v="6012 - DEFESA NACIONAL"/>
    <x v="580"/>
    <n v="760166.64"/>
    <n v="125951.86"/>
    <n v="125951.86"/>
  </r>
  <r>
    <x v="2"/>
    <s v="2202 - DEFESA AGROPECUARIA"/>
    <x v="789"/>
    <n v="26011323.399999999"/>
    <n v="10153171.34"/>
    <n v="8305979.2800000003"/>
  </r>
  <r>
    <x v="2"/>
    <s v="0909 - OPERACOES ESPECIAIS: OUTROS ENCARGOS ESPECIAIS"/>
    <x v="766"/>
    <n v="2231629.6"/>
    <n v="78885915.079999998"/>
    <n v="77343327.790000007"/>
  </r>
  <r>
    <x v="2"/>
    <s v="5015 - JUSTICA"/>
    <x v="308"/>
    <n v="482154.72"/>
    <n v="37047.199999999997"/>
    <n v="5844.79"/>
  </r>
  <r>
    <x v="2"/>
    <s v="6012 - DEFESA NACIONAL"/>
    <x v="655"/>
    <n v="855172.82"/>
    <n v="55255.26"/>
    <n v="70707.509999999995"/>
  </r>
  <r>
    <x v="2"/>
    <s v="5013 - EDUCACAO SUPERIOR - GRADUACAO, POS-GRADUACAO, ENSINO, PESQUISA E EXTENSAO"/>
    <x v="184"/>
    <n v="643373.74"/>
    <n v="5265.91"/>
    <n v="0"/>
  </r>
  <r>
    <x v="2"/>
    <s v="5020 - DESENVOLVIMENTO CIENTIFICO, TECNOLOGICO E PRODUTIVO EM SAUDE"/>
    <x v="579"/>
    <n v="37502815.909999996"/>
    <n v="21119499.07"/>
    <n v="14498676.550000001"/>
  </r>
  <r>
    <x v="2"/>
    <s v="5013 - EDUCACAO SUPERIOR - GRADUACAO, POS-GRADUACAO, ENSINO, PESQUISA E EXTENSAO"/>
    <x v="784"/>
    <n v="71705278.989999995"/>
    <n v="58474991.399999999"/>
    <n v="52557177.43"/>
  </r>
  <r>
    <x v="2"/>
    <s v="2221 - RECURSOS HIDRICOS"/>
    <x v="669"/>
    <n v="3678508.17"/>
    <n v="3420066.8"/>
    <n v="3343150.12"/>
  </r>
  <r>
    <x v="2"/>
    <s v="5011 - EDUCACAO BASICA DE QUALIDADE"/>
    <x v="188"/>
    <n v="5331135.6399999997"/>
    <n v="564875444.13999999"/>
    <n v="564813160.50999999"/>
  </r>
  <r>
    <x v="2"/>
    <s v="5013 - EDUCACAO SUPERIOR - GRADUACAO, POS-GRADUACAO, ENSINO, PESQUISA E EXTENSAO"/>
    <x v="769"/>
    <n v="353414695.31"/>
    <n v="308181117.25999999"/>
    <n v="297925592.17000002"/>
  </r>
  <r>
    <x v="2"/>
    <s v="6012 - DEFESA NACIONAL"/>
    <x v="773"/>
    <n v="4830306.3499999996"/>
    <n v="1851123.58"/>
    <n v="1944854.87"/>
  </r>
  <r>
    <x v="2"/>
    <s v="2216 - POLITICA EXTERNA"/>
    <x v="781"/>
    <n v="71089341.659999996"/>
    <n v="68756002.209999993"/>
    <n v="68549006.769999996"/>
  </r>
  <r>
    <x v="2"/>
    <s v="5013 - EDUCACAO SUPERIOR - GRADUACAO, POS-GRADUACAO, ENSINO, PESQUISA E EXTENSAO"/>
    <x v="798"/>
    <n v="16584088.199999999"/>
    <n v="23979357.960000001"/>
    <n v="20174293.210000001"/>
  </r>
  <r>
    <x v="2"/>
    <s v="6012 - DEFESA NACIONAL"/>
    <x v="761"/>
    <n v="8393175.8000000007"/>
    <n v="1887112.45"/>
    <n v="2055386.29"/>
  </r>
  <r>
    <x v="2"/>
    <s v="2221 - RECURSOS HIDRICOS"/>
    <x v="465"/>
    <n v="3727024.8"/>
    <n v="1399529.83"/>
    <n v="1538721.44"/>
  </r>
  <r>
    <x v="2"/>
    <s v="0032 - PROGRAMA DE GESTAO E MANUTENCAO DO PODER EXECUTIVO"/>
    <x v="114"/>
    <n v="424229429.11000001"/>
    <n v="434520736.23000002"/>
    <n v="423413216.31"/>
  </r>
  <r>
    <x v="2"/>
    <s v="0032 - PROGRAMA DE GESTAO E MANUTENCAO DO PODER EXECUTIVO"/>
    <x v="709"/>
    <n v="29181511.82"/>
    <n v="418410.59"/>
    <n v="212104.11"/>
  </r>
  <r>
    <x v="2"/>
    <s v="5011 - EDUCACAO BASICA DE QUALIDADE"/>
    <x v="752"/>
    <n v="790809.59999999998"/>
    <n v="0"/>
    <n v="0"/>
  </r>
  <r>
    <x v="2"/>
    <s v="6012 - DEFESA NACIONAL"/>
    <x v="717"/>
    <n v="1100296.68"/>
    <n v="944422.16"/>
    <n v="870020.96"/>
  </r>
  <r>
    <x v="2"/>
    <s v="5012 - EDUCACAO PROFISSIONAL E TECNOLOGICA"/>
    <x v="454"/>
    <n v="43771705.979999997"/>
    <n v="22108255.620000001"/>
    <n v="18235905"/>
  </r>
  <r>
    <x v="2"/>
    <s v="5022 - PROTECAO, PROMOCAO E RECUPERACAO DA SAUDE INDIGENA"/>
    <x v="692"/>
    <n v="96406199.040000007"/>
    <n v="222539502.18000001"/>
    <n v="215189281.28999999"/>
  </r>
  <r>
    <x v="2"/>
    <s v="1040 - GOVERNANCA FUNDIARIA"/>
    <x v="605"/>
    <n v="356752.21"/>
    <n v="54724.93"/>
    <n v="54119.93"/>
  </r>
  <r>
    <x v="2"/>
    <s v="0032 - PROGRAMA DE GESTAO E MANUTENCAO DO PODER EXECUTIVO"/>
    <x v="760"/>
    <n v="10427093.5"/>
    <n v="5368576.17"/>
    <n v="5330861.5999999996"/>
  </r>
  <r>
    <x v="2"/>
    <s v="6012 - DEFESA NACIONAL"/>
    <x v="676"/>
    <n v="3677873.43"/>
    <n v="365092.91"/>
    <n v="325356.89"/>
  </r>
  <r>
    <x v="2"/>
    <s v="6012 - DEFESA NACIONAL"/>
    <x v="751"/>
    <n v="1827560.94"/>
    <n v="65668.86"/>
    <n v="64423.360000000001"/>
  </r>
  <r>
    <x v="2"/>
    <s v="5012 - EDUCACAO PROFISSIONAL E TECNOLOGICA"/>
    <x v="365"/>
    <n v="133945370.06"/>
    <n v="108452350.33"/>
    <n v="108432672.67"/>
  </r>
  <r>
    <x v="2"/>
    <s v="0032 - PROGRAMA DE GESTAO E MANUTENCAO DO PODER EXECUTIVO"/>
    <x v="796"/>
    <n v="490313383.57999998"/>
    <n v="578911341.07000005"/>
    <n v="577172217.97000003"/>
  </r>
  <r>
    <x v="2"/>
    <s v="0032 - PROGRAMA DE GESTAO E MANUTENCAO DO PODER EXECUTIVO"/>
    <x v="770"/>
    <n v="47587643.549999997"/>
    <n v="49464272.020000003"/>
    <n v="48896523.640000001"/>
  </r>
  <r>
    <x v="2"/>
    <s v="0032 - PROGRAMA DE GESTAO E MANUTENCAO DO PODER EXECUTIVO"/>
    <x v="52"/>
    <n v="471110288.22000003"/>
    <n v="619524675.33000004"/>
    <n v="565824924.24000001"/>
  </r>
  <r>
    <x v="2"/>
    <s v="0032 - PROGRAMA DE GESTAO E MANUTENCAO DO PODER EXECUTIVO"/>
    <x v="677"/>
    <n v="2198361.7599999998"/>
    <n v="3469182.49"/>
    <n v="3425241.41"/>
  </r>
  <r>
    <x v="2"/>
    <s v="5019 - ATENCAO PRIMARIA A SAUDE"/>
    <x v="261"/>
    <n v="1403803364.6500001"/>
    <n v="1403808862.5"/>
    <n v="1403808862.5"/>
  </r>
  <r>
    <x v="2"/>
    <s v="0032 - PROGRAMA DE GESTAO E MANUTENCAO DO PODER EXECUTIVO"/>
    <x v="40"/>
    <n v="4323935.09"/>
    <n v="1799830.17"/>
    <n v="1509157.72"/>
  </r>
  <r>
    <x v="2"/>
    <s v="2216 - POLITICA EXTERNA"/>
    <x v="694"/>
    <n v="1504824.11"/>
    <n v="1059377.77"/>
    <n v="1059377.77"/>
  </r>
  <r>
    <x v="3"/>
    <s v="5031 - PROTECAO SOCIAL NO AMBITO DO SISTEMA UNICO DE ASSISTENCIA SOCIAL (SUAS)"/>
    <x v="302"/>
    <n v="22613330.199999999"/>
    <n v="4235889.92"/>
    <n v="4235889.92"/>
  </r>
  <r>
    <x v="3"/>
    <s v="2205 - CONECTA BRASIL"/>
    <x v="148"/>
    <n v="20029628.449999999"/>
    <n v="10895501.42"/>
    <n v="4235577.32"/>
  </r>
  <r>
    <x v="3"/>
    <s v="3006 - TRANSPORTE TERRESTRE E TRANSITO"/>
    <x v="216"/>
    <n v="0"/>
    <n v="152034.01"/>
    <n v="152034.01"/>
  </r>
  <r>
    <x v="3"/>
    <s v="5015 - JUSTICA"/>
    <x v="246"/>
    <n v="400000"/>
    <n v="0"/>
    <n v="0"/>
  </r>
  <r>
    <x v="3"/>
    <s v="0909 - OPERACOES ESPECIAIS: OUTROS ENCARGOS ESPECIAIS"/>
    <x v="765"/>
    <n v="71037374.739999995"/>
    <n v="404140374.74000001"/>
    <n v="404140374.74000001"/>
  </r>
  <r>
    <x v="3"/>
    <s v="2221 - RECURSOS HIDRICOS"/>
    <x v="807"/>
    <n v="0"/>
    <n v="0"/>
    <n v="0"/>
  </r>
  <r>
    <x v="3"/>
    <s v="3006 - TRANSPORTE TERRESTRE E TRANSITO"/>
    <x v="27"/>
    <n v="0"/>
    <n v="0"/>
    <n v="0"/>
  </r>
  <r>
    <x v="3"/>
    <s v="1031 - AGROPECUARIA SUSTENTAVEL"/>
    <x v="399"/>
    <n v="470581"/>
    <n v="0"/>
    <n v="0"/>
  </r>
  <r>
    <x v="3"/>
    <s v="0903 - OPERACOES ESPECIAIS: TRANSFERENCIAS CONSTITUCIONAIS E AS DECORRENTES DE LEGISLACAO ESPECIFICA"/>
    <x v="1014"/>
    <n v="0"/>
    <n v="0"/>
    <n v="0"/>
  </r>
  <r>
    <x v="3"/>
    <s v="5018 - ATENCAO ESPECIALIZADA A SAUDE"/>
    <x v="186"/>
    <n v="108333333.33"/>
    <n v="108333333.33"/>
    <n v="108333333.33"/>
  </r>
  <r>
    <x v="3"/>
    <s v="2204 - BRASIL NA FRONTEIRA DO CONHECIMENTO"/>
    <x v="1015"/>
    <n v="260129.87"/>
    <n v="260129.87"/>
    <n v="260129.87"/>
  </r>
  <r>
    <x v="3"/>
    <s v="0903 - OPERACOES ESPECIAIS: TRANSFERENCIAS CONSTITUCIONAIS E AS DECORRENTES DE LEGISLACAO ESPECIFICA"/>
    <x v="448"/>
    <n v="620228415.76999998"/>
    <n v="1091296289.72"/>
    <n v="467887061.44999999"/>
  </r>
  <r>
    <x v="3"/>
    <s v="2216 - POLITICA EXTERNA"/>
    <x v="889"/>
    <n v="0"/>
    <n v="0"/>
    <n v="0"/>
  </r>
  <r>
    <x v="3"/>
    <s v="0910 - OPERACOES ESPECIAIS: GESTAO DA PARTICIPACAO EM ORGANISMOS E ENTIDADES NACIONAIS E INTERNACIONAIS"/>
    <x v="940"/>
    <n v="0"/>
    <n v="0"/>
    <n v="4000000"/>
  </r>
  <r>
    <x v="3"/>
    <s v="0151 - PROTECAO DE TERRAS INDIGENAS, GESTAO TERRITORIAL E ETNODESENVOLVIMENTO"/>
    <x v="1016"/>
    <n v="198824"/>
    <n v="12493.78"/>
    <n v="11806.62"/>
  </r>
  <r>
    <x v="3"/>
    <s v="0905 - OPERACOES ESPECIAIS: SERVICO DA DIVIDA INTERNA (JUROS EAMORTIZACOES)"/>
    <x v="0"/>
    <n v="9340599004.5699997"/>
    <n v="6364404319.4099998"/>
    <n v="6364404319.4099998"/>
  </r>
  <r>
    <x v="3"/>
    <s v="2217 - DESENVOLVIMENTO REGIONAL, TERRITORIAL E URBANO"/>
    <x v="282"/>
    <n v="0"/>
    <n v="0"/>
    <n v="0"/>
  </r>
  <r>
    <x v="3"/>
    <s v="2209 - BRASIL, NOSSO PROPOSITO"/>
    <x v="705"/>
    <n v="28073916"/>
    <n v="3.49"/>
    <n v="3.49"/>
  </r>
  <r>
    <x v="3"/>
    <s v="0032 - PROGRAMA DE GESTAO E MANUTENCAO DO PODER EXECUTIVO"/>
    <x v="91"/>
    <n v="2402952.0299999998"/>
    <n v="2444970.88"/>
    <n v="2444982.31"/>
  </r>
  <r>
    <x v="3"/>
    <s v="2208 - TECNOLOGIAS APLICADAS, INOVACAO E DESENVOLVIMENTO SUSTENTAVEL"/>
    <x v="804"/>
    <n v="0"/>
    <n v="0"/>
    <n v="0"/>
  </r>
  <r>
    <x v="3"/>
    <s v="1041 - CONSERVACAO E USO SUSTENTAVEL DA BIODIVERSIDADE E DOS RECURSOS NATURAIS"/>
    <x v="1017"/>
    <n v="7032929.1900000004"/>
    <n v="3042762.07"/>
    <n v="1518333.32"/>
  </r>
  <r>
    <x v="3"/>
    <s v="2213 - MODERNIZACAO TRABALHISTA E TRABALHO DIGNO"/>
    <x v="648"/>
    <n v="26898375.82"/>
    <n v="0"/>
    <n v="0"/>
  </r>
  <r>
    <x v="3"/>
    <s v="5026 - ESPORTE"/>
    <x v="633"/>
    <n v="0"/>
    <n v="0"/>
    <n v="0"/>
  </r>
  <r>
    <x v="3"/>
    <s v="6012 - DEFESA NACIONAL"/>
    <x v="591"/>
    <n v="475808"/>
    <n v="0"/>
    <n v="0"/>
  </r>
  <r>
    <x v="3"/>
    <s v="2081 - JUSTICA, CIDADANIA E SEGURANCA PUBLICA"/>
    <x v="1000"/>
    <n v="0"/>
    <n v="0"/>
    <n v="0"/>
  </r>
  <r>
    <x v="3"/>
    <s v="0903 - OPERACOES ESPECIAIS: TRANSFERENCIAS CONSTITUCIONAIS E AS DECORRENTES DE LEGISLACAO ESPECIFICA"/>
    <x v="628"/>
    <n v="14935251"/>
    <n v="14875655.310000001"/>
    <n v="14915683.15"/>
  </r>
  <r>
    <x v="3"/>
    <s v="5011 - EDUCACAO BASICA DE QUALIDADE"/>
    <x v="929"/>
    <n v="184001431.08000001"/>
    <n v="140657392.06999999"/>
    <n v="76693300.769999996"/>
  </r>
  <r>
    <x v="3"/>
    <s v="0913 - OPERACOES ESPECIAIS - INTEGRALIZACAO DE COTAS EM ORGANISMOS FINANCEIROS INTERNACIONAIS"/>
    <x v="1018"/>
    <n v="145486231.66999999"/>
    <n v="140280231.66999999"/>
    <n v="140280231.66999999"/>
  </r>
  <r>
    <x v="3"/>
    <s v="5017 - ASSISTENCIA FARMACEUTICA NO SUS"/>
    <x v="121"/>
    <n v="189517890.94"/>
    <n v="346912433.10000002"/>
    <n v="346912433.10000002"/>
  </r>
  <r>
    <x v="3"/>
    <s v="0903 - OPERACOES ESPECIAIS: TRANSFERENCIAS CONSTITUCIONAIS E AS DECORRENTES DE LEGISLACAO ESPECIFICA"/>
    <x v="28"/>
    <n v="0"/>
    <n v="376525641.49000001"/>
    <n v="376525641.49000001"/>
  </r>
  <r>
    <x v="3"/>
    <s v="3006 - TRANSPORTE TERRESTRE E TRANSITO"/>
    <x v="883"/>
    <n v="92736"/>
    <n v="0"/>
    <n v="0"/>
  </r>
  <r>
    <x v="3"/>
    <s v="2205 - CONECTA BRASIL"/>
    <x v="34"/>
    <n v="0"/>
    <n v="0"/>
    <n v="0"/>
  </r>
  <r>
    <x v="3"/>
    <s v="0032 - PROGRAMA DE GESTAO E MANUTENCAO DO PODER EXECUTIVO"/>
    <x v="178"/>
    <n v="0"/>
    <n v="0"/>
    <n v="0"/>
  </r>
  <r>
    <x v="3"/>
    <s v="2213 - MODERNIZACAO TRABALHISTA E TRABALHO DIGNO"/>
    <x v="828"/>
    <n v="0"/>
    <n v="0"/>
    <n v="0"/>
  </r>
  <r>
    <x v="3"/>
    <s v="3006 - TRANSPORTE TERRESTRE E TRANSITO"/>
    <x v="961"/>
    <n v="0"/>
    <n v="0"/>
    <n v="0"/>
  </r>
  <r>
    <x v="3"/>
    <s v="0903 - OPERACOES ESPECIAIS: TRANSFERENCIAS CONSTITUCIONAIS E AS DECORRENTES DE LEGISLACAO ESPECIFICA"/>
    <x v="135"/>
    <n v="0"/>
    <n v="183314011.03999999"/>
    <n v="183314011.03999999"/>
  </r>
  <r>
    <x v="3"/>
    <s v="0910 - OPERACOES ESPECIAIS: GESTAO DA PARTICIPACAO EM ORGANISMOS E ENTIDADES NACIONAIS E INTERNACIONAIS"/>
    <x v="982"/>
    <n v="-316631.74"/>
    <n v="0"/>
    <n v="0"/>
  </r>
  <r>
    <x v="3"/>
    <s v="5011 - EDUCACAO BASICA DE QUALIDADE"/>
    <x v="386"/>
    <n v="51940528.520000003"/>
    <n v="18699340.77"/>
    <n v="3070258.29"/>
  </r>
  <r>
    <x v="3"/>
    <s v="2032 - EDUCACAO SUPERIOR - GRADUACAO, POS-GRADUACAO, ENSINO, PESQUISA E EXTENSAO"/>
    <x v="769"/>
    <n v="0"/>
    <n v="0"/>
    <n v="0"/>
  </r>
  <r>
    <x v="3"/>
    <s v="5019 - ATENCAO PRIMARIA A SAUDE"/>
    <x v="402"/>
    <n v="653210796"/>
    <n v="653210796"/>
    <n v="653210796"/>
  </r>
  <r>
    <x v="3"/>
    <s v="3006 - TRANSPORTE TERRESTRE E TRANSITO"/>
    <x v="980"/>
    <n v="96450000"/>
    <n v="0"/>
    <n v="0"/>
  </r>
  <r>
    <x v="3"/>
    <s v="2208 - TECNOLOGIAS APLICADAS, INOVACAO E DESENVOLVIMENTO SUSTENTAVEL"/>
    <x v="5"/>
    <n v="21926627.84"/>
    <n v="21926627.84"/>
    <n v="21926627.84"/>
  </r>
  <r>
    <x v="3"/>
    <s v="2221 - RECURSOS HIDRICOS"/>
    <x v="1019"/>
    <n v="0"/>
    <n v="0"/>
    <n v="0"/>
  </r>
  <r>
    <x v="3"/>
    <s v="5019 - ATENCAO PRIMARIA A SAUDE"/>
    <x v="1020"/>
    <n v="0"/>
    <n v="0"/>
    <n v="0"/>
  </r>
  <r>
    <x v="3"/>
    <s v="2208 - TECNOLOGIAS APLICADAS, INOVACAO E DESENVOLVIMENTO SUSTENTAVEL"/>
    <x v="559"/>
    <n v="0"/>
    <n v="0"/>
    <n v="0"/>
  </r>
  <r>
    <x v="3"/>
    <s v="0901 - OPERACOES ESPECIAIS: CUMPRIMENTO DE SENTENCAS JUDICIAIS"/>
    <x v="244"/>
    <n v="0"/>
    <n v="49566024.350000001"/>
    <n v="49566024.350000001"/>
  </r>
  <r>
    <x v="3"/>
    <s v="3001 - ENERGIA ELETRICA"/>
    <x v="304"/>
    <n v="6297926.1699999999"/>
    <n v="2329712.27"/>
    <n v="2333545.87"/>
  </r>
  <r>
    <x v="3"/>
    <s v="2077 - AGROPECUARIA SUSTENTAVEL"/>
    <x v="1021"/>
    <n v="0"/>
    <n v="0"/>
    <n v="0"/>
  </r>
  <r>
    <x v="3"/>
    <s v="0903 - OPERACOES ESPECIAIS: TRANSFERENCIAS CONSTITUCIONAIS E AS DECORRENTES DE LEGISLACAO ESPECIFICA"/>
    <x v="960"/>
    <n v="0"/>
    <n v="0"/>
    <n v="0"/>
  </r>
  <r>
    <x v="3"/>
    <s v="6014 - PREVENCAO E CONTROLE DO DESMATAMENTO E DOS INCENDIOS NOS BIOMAS"/>
    <x v="620"/>
    <n v="377067.64"/>
    <n v="396433.89"/>
    <n v="396433.89"/>
  </r>
  <r>
    <x v="3"/>
    <s v="2221 - RECURSOS HIDRICOS"/>
    <x v="969"/>
    <n v="0"/>
    <n v="6661341.0899999999"/>
    <n v="6661341.0899999999"/>
  </r>
  <r>
    <x v="3"/>
    <s v="2220 - MORADIA DIGNA"/>
    <x v="712"/>
    <n v="0"/>
    <n v="0"/>
    <n v="0"/>
  </r>
  <r>
    <x v="3"/>
    <s v="3006 - TRANSPORTE TERRESTRE E TRANSITO"/>
    <x v="263"/>
    <n v="50000000"/>
    <n v="0"/>
    <n v="0"/>
  </r>
  <r>
    <x v="3"/>
    <s v="0903 - OPERACOES ESPECIAIS: TRANSFERENCIAS CONSTITUCIONAIS E AS DECORRENTES DE LEGISLACAO ESPECIFICA"/>
    <x v="43"/>
    <n v="0"/>
    <n v="11189479220.17"/>
    <n v="11189479220.17"/>
  </r>
  <r>
    <x v="3"/>
    <s v="2204 - BRASIL NA FRONTEIRA DO CONHECIMENTO"/>
    <x v="11"/>
    <n v="0"/>
    <n v="0"/>
    <n v="0"/>
  </r>
  <r>
    <x v="3"/>
    <s v="2021 - CIENCIA, TECNOLOGIA E INOVACAO"/>
    <x v="674"/>
    <n v="0"/>
    <n v="0"/>
    <n v="0"/>
  </r>
  <r>
    <x v="3"/>
    <s v="6012 - DEFESA NACIONAL"/>
    <x v="220"/>
    <n v="51393202.359999999"/>
    <n v="34959178.5"/>
    <n v="33622014.890000001"/>
  </r>
  <r>
    <x v="3"/>
    <s v="2222 - SANEAMENTO BASICO"/>
    <x v="266"/>
    <n v="0"/>
    <n v="0"/>
    <n v="0"/>
  </r>
  <r>
    <x v="3"/>
    <s v="2118 - PROGRAMA DE GESTAO E MANUTENCAO DO MINISTERIO DAS RELACOES EXTERIORES"/>
    <x v="52"/>
    <n v="0"/>
    <n v="0"/>
    <n v="0"/>
  </r>
  <r>
    <x v="3"/>
    <s v="2213 - MODERNIZACAO TRABALHISTA E TRABALHO DIGNO"/>
    <x v="214"/>
    <n v="3902249434.8499999"/>
    <n v="3902249434.8499999"/>
    <n v="3902249434.8499999"/>
  </r>
  <r>
    <x v="3"/>
    <s v="5021 - GESTAO E ORGANIZACAO DO SUS"/>
    <x v="829"/>
    <n v="0"/>
    <n v="0"/>
    <n v="0"/>
  </r>
  <r>
    <x v="3"/>
    <s v="3003 - PETROLEO, GAS, DERIVADOS E BIOCOMBUSTIVEIS"/>
    <x v="122"/>
    <n v="942187.39"/>
    <n v="0"/>
    <n v="0"/>
  </r>
  <r>
    <x v="3"/>
    <s v="2115 - PROGRAMA DE GESTAO E MANUTENCAO DO MINISTERIO DA SAUDE"/>
    <x v="40"/>
    <n v="0"/>
    <n v="0"/>
    <n v="0"/>
  </r>
  <r>
    <x v="3"/>
    <s v="2084 - RECURSOS HIDRICOS"/>
    <x v="167"/>
    <n v="0"/>
    <n v="0"/>
    <n v="0"/>
  </r>
  <r>
    <x v="3"/>
    <s v="2215 - POLITICA ECONOMICA E EQUILIBRIO FISCAL"/>
    <x v="586"/>
    <n v="2200000"/>
    <n v="0"/>
    <n v="0"/>
  </r>
  <r>
    <x v="3"/>
    <s v="2068 - SANEAMENTO BASICO"/>
    <x v="611"/>
    <n v="0"/>
    <n v="0"/>
    <n v="0"/>
  </r>
  <r>
    <x v="3"/>
    <s v="6014 - PREVENCAO E CONTROLE DO DESMATAMENTO E DOS INCENDIOS NOS BIOMAS"/>
    <x v="185"/>
    <n v="72385178.159999996"/>
    <n v="10428604.789999999"/>
    <n v="7976595.7300000004"/>
  </r>
  <r>
    <x v="3"/>
    <s v="2015 - FORTALECIMENTO DO SISTEMA UNICO DE SAUDE (SUS)"/>
    <x v="902"/>
    <n v="0"/>
    <n v="0"/>
    <n v="0"/>
  </r>
  <r>
    <x v="3"/>
    <s v="3006 - TRANSPORTE TERRESTRE E TRANSITO"/>
    <x v="225"/>
    <n v="0"/>
    <n v="0"/>
    <n v="0"/>
  </r>
  <r>
    <x v="3"/>
    <s v="0910 - OPERACOES ESPECIAIS: GESTAO DA PARTICIPACAO EM ORGANISMOS E ENTIDADES NACIONAIS E INTERNACIONAIS"/>
    <x v="1022"/>
    <n v="0"/>
    <n v="0"/>
    <n v="0"/>
  </r>
  <r>
    <x v="3"/>
    <s v="2211 - INSERCAO ECONOMICA INTERNACIONAL"/>
    <x v="147"/>
    <n v="100000"/>
    <n v="136444.53"/>
    <n v="142950.76999999999"/>
  </r>
  <r>
    <x v="3"/>
    <s v="2015 - FORTALECIMENTO DO SISTEMA UNICO DE SAUDE (SUS)"/>
    <x v="318"/>
    <n v="0"/>
    <n v="0"/>
    <n v="0"/>
  </r>
  <r>
    <x v="3"/>
    <s v="5018 - ATENCAO ESPECIALIZADA A SAUDE"/>
    <x v="373"/>
    <n v="0"/>
    <n v="0"/>
    <n v="0"/>
  </r>
  <r>
    <x v="3"/>
    <s v="2217 - DESENVOLVIMENTO REGIONAL, TERRITORIAL E URBANO"/>
    <x v="959"/>
    <n v="0"/>
    <n v="0"/>
    <n v="0"/>
  </r>
  <r>
    <x v="3"/>
    <s v="2223 - A HORA DO TURISMO"/>
    <x v="854"/>
    <n v="47300000"/>
    <n v="0"/>
    <n v="0"/>
  </r>
  <r>
    <x v="3"/>
    <s v="6013 - OCEANOS, ZONA COSTEIRA E ANTARTICA"/>
    <x v="805"/>
    <n v="0"/>
    <n v="0"/>
    <n v="0"/>
  </r>
  <r>
    <x v="3"/>
    <s v="2208 - TECNOLOGIAS APLICADAS, INOVACAO E DESENVOLVIMENTO SUSTENTAVEL"/>
    <x v="87"/>
    <n v="0"/>
    <n v="0"/>
    <n v="0"/>
  </r>
  <r>
    <x v="3"/>
    <s v="0032 - PROGRAMA DE GESTAO E MANUTENCAO DO PODER EXECUTIVO"/>
    <x v="246"/>
    <n v="110000"/>
    <n v="93914.63"/>
    <n v="93914.63"/>
  </r>
  <r>
    <x v="3"/>
    <s v="3006 - TRANSPORTE TERRESTRE E TRANSITO"/>
    <x v="242"/>
    <n v="8407340"/>
    <n v="0"/>
    <n v="0"/>
  </r>
  <r>
    <x v="3"/>
    <s v="3006 - TRANSPORTE TERRESTRE E TRANSITO"/>
    <x v="392"/>
    <n v="1254000"/>
    <n v="834270.57"/>
    <n v="834270.57"/>
  </r>
  <r>
    <x v="3"/>
    <s v="5021 - GESTAO E ORGANIZACAO DO SUS"/>
    <x v="165"/>
    <n v="1887609.76"/>
    <n v="2670535.52"/>
    <n v="2698376.84"/>
  </r>
  <r>
    <x v="3"/>
    <s v="2218 - GESTAO DE RISCOS E DE DESASTRES"/>
    <x v="467"/>
    <n v="0"/>
    <n v="0"/>
    <n v="0"/>
  </r>
  <r>
    <x v="3"/>
    <s v="2207 - PROGRAMA ESPACIAL BRASILEIRO"/>
    <x v="190"/>
    <n v="0"/>
    <n v="0"/>
    <n v="0"/>
  </r>
  <r>
    <x v="3"/>
    <s v="0032 - PROGRAMA DE GESTAO E MANUTENCAO DO PODER EXECUTIVO"/>
    <x v="541"/>
    <n v="0"/>
    <n v="0"/>
    <n v="0"/>
  </r>
  <r>
    <x v="3"/>
    <s v="3006 - TRANSPORTE TERRESTRE E TRANSITO"/>
    <x v="120"/>
    <n v="23000000"/>
    <n v="0"/>
    <n v="0"/>
  </r>
  <r>
    <x v="3"/>
    <s v="2058 - DEFESA NACIONAL"/>
    <x v="1023"/>
    <n v="0"/>
    <n v="0"/>
    <n v="0"/>
  </r>
  <r>
    <x v="3"/>
    <s v="5020 - DESENVOLVIMENTO CIENTIFICO, TECNOLOGICO E PRODUTIVO EM SAUDE"/>
    <x v="54"/>
    <n v="0"/>
    <n v="49040.52"/>
    <n v="49040.52"/>
  </r>
  <r>
    <x v="3"/>
    <s v="0032 - PROGRAMA DE GESTAO E MANUTENCAO DO PODER EXECUTIVO"/>
    <x v="538"/>
    <n v="17578.73"/>
    <n v="3405.29"/>
    <n v="3405.29"/>
  </r>
  <r>
    <x v="3"/>
    <s v="3001 - ENERGIA ELETRICA"/>
    <x v="613"/>
    <n v="4820808.07"/>
    <n v="1207.22"/>
    <n v="1074.43"/>
  </r>
  <r>
    <x v="3"/>
    <s v="2058 - DEFESA NACIONAL"/>
    <x v="25"/>
    <n v="0"/>
    <n v="0"/>
    <n v="0"/>
  </r>
  <r>
    <x v="3"/>
    <s v="3006 - TRANSPORTE TERRESTRE E TRANSITO"/>
    <x v="169"/>
    <n v="80000000"/>
    <n v="0"/>
    <n v="0"/>
  </r>
  <r>
    <x v="3"/>
    <s v="1043 - QUALIDADE AMBIENTAL URBANA"/>
    <x v="72"/>
    <n v="280333.59000000003"/>
    <n v="36376.800000000003"/>
    <n v="36376.800000000003"/>
  </r>
  <r>
    <x v="3"/>
    <s v="3001 - ENERGIA ELETRICA"/>
    <x v="6"/>
    <n v="1611216.13"/>
    <n v="10622.21"/>
    <n v="22274.77"/>
  </r>
  <r>
    <x v="3"/>
    <s v="2208 - TECNOLOGIAS APLICADAS, INOVACAO E DESENVOLVIMENTO SUSTENTAVEL"/>
    <x v="749"/>
    <n v="1048305.92"/>
    <n v="1048305.92"/>
    <n v="1048305.92"/>
  </r>
  <r>
    <x v="3"/>
    <s v="2015 - FORTALECIMENTO DO SISTEMA UNICO DE SAUDE (SUS)"/>
    <x v="219"/>
    <n v="0"/>
    <n v="0"/>
    <n v="0"/>
  </r>
  <r>
    <x v="3"/>
    <s v="2204 - BRASIL NA FRONTEIRA DO CONHECIMENTO"/>
    <x v="29"/>
    <n v="335000.3"/>
    <n v="72059.649999999994"/>
    <n v="78121.570000000007"/>
  </r>
  <r>
    <x v="3"/>
    <s v="0032 - PROGRAMA DE GESTAO E MANUTENCAO DO PODER EXECUTIVO"/>
    <x v="577"/>
    <n v="0"/>
    <n v="4761.68"/>
    <n v="2218.8000000000002"/>
  </r>
  <r>
    <x v="3"/>
    <s v="5017 - ASSISTENCIA FARMACEUTICA NO SUS"/>
    <x v="836"/>
    <n v="0"/>
    <n v="12636000"/>
    <n v="12636000"/>
  </r>
  <r>
    <x v="3"/>
    <s v="0909 - OPERACOES ESPECIAIS: OUTROS ENCARGOS ESPECIAIS"/>
    <x v="846"/>
    <n v="0"/>
    <n v="5631385.4000000004"/>
    <n v="0"/>
  </r>
  <r>
    <x v="3"/>
    <s v="0461 - PROMOCAO DA PESQUISA E DO DESENVOLVIMENTO CIENTIFICO E TECNOLOGICO"/>
    <x v="71"/>
    <n v="18649.560000000001"/>
    <n v="18649.560000000001"/>
    <n v="18649.560000000001"/>
  </r>
  <r>
    <x v="3"/>
    <s v="5018 - ATENCAO ESPECIALIZADA A SAUDE"/>
    <x v="330"/>
    <n v="45362257.719999999"/>
    <n v="17787944.23"/>
    <n v="16186636.359999999"/>
  </r>
  <r>
    <x v="3"/>
    <s v="6012 - DEFESA NACIONAL"/>
    <x v="508"/>
    <n v="5719828.1799999997"/>
    <n v="42393.48"/>
    <n v="1000832.6"/>
  </r>
  <r>
    <x v="3"/>
    <s v="5018 - ATENCAO ESPECIALIZADA A SAUDE"/>
    <x v="848"/>
    <n v="0"/>
    <n v="0"/>
    <n v="0"/>
  </r>
  <r>
    <x v="3"/>
    <s v="0906 - OPERACOES ESPECIAIS: SERVICO DA DIVIDA EXTERNA (JUROS EAMORTIZACOES)"/>
    <x v="127"/>
    <n v="1313523614.9000001"/>
    <n v="1313523614.9000001"/>
    <n v="1313523614.9000001"/>
  </r>
  <r>
    <x v="3"/>
    <s v="5028 - INCLUSAO SOCIAL POR MEIO DO BOLSA FAMILIA E DA ARTICULACAO DE POLITICAS PUBLICAS"/>
    <x v="227"/>
    <n v="0"/>
    <n v="0"/>
    <n v="0"/>
  </r>
  <r>
    <x v="3"/>
    <s v="2079 - DESENVOLVIMENTO DA INDUSTRIA, COMERCIO E SERVICOS"/>
    <x v="887"/>
    <n v="0"/>
    <n v="0"/>
    <n v="0"/>
  </r>
  <r>
    <x v="3"/>
    <s v="6012 - DEFESA NACIONAL"/>
    <x v="1024"/>
    <n v="10384523.119999999"/>
    <n v="0"/>
    <n v="0"/>
  </r>
  <r>
    <x v="3"/>
    <s v="0032 - PROGRAMA DE GESTAO E MANUTENCAO DO PODER EXECUTIVO"/>
    <x v="78"/>
    <n v="430911.5"/>
    <n v="430911.5"/>
    <n v="430914.84"/>
  </r>
  <r>
    <x v="3"/>
    <s v="0032 - PROGRAMA DE GESTAO E MANUTENCAO DO PODER EXECUTIVO"/>
    <x v="802"/>
    <n v="0"/>
    <n v="85433.55"/>
    <n v="85617.02"/>
  </r>
  <r>
    <x v="3"/>
    <s v="3006 - TRANSPORTE TERRESTRE E TRANSITO"/>
    <x v="418"/>
    <n v="25000000"/>
    <n v="0"/>
    <n v="0"/>
  </r>
  <r>
    <x v="3"/>
    <s v="3006 - TRANSPORTE TERRESTRE E TRANSITO"/>
    <x v="582"/>
    <n v="35306066.609999999"/>
    <n v="0"/>
    <n v="0"/>
  </r>
  <r>
    <x v="3"/>
    <s v="3006 - TRANSPORTE TERRESTRE E TRANSITO"/>
    <x v="818"/>
    <n v="7140000"/>
    <n v="0"/>
    <n v="0"/>
  </r>
  <r>
    <x v="3"/>
    <s v="0032 - PROGRAMA DE GESTAO E MANUTENCAO DO PODER EXECUTIVO"/>
    <x v="237"/>
    <n v="65228.33"/>
    <n v="4093006.24"/>
    <n v="4048310.13"/>
  </r>
  <r>
    <x v="3"/>
    <s v="2015 - FORTALECIMENTO DO SISTEMA UNICO DE SAUDE (SUS)"/>
    <x v="1025"/>
    <n v="0"/>
    <n v="0"/>
    <n v="0"/>
  </r>
  <r>
    <x v="3"/>
    <s v="2027 - CULTURA: DIMENSAO ESSENCIAL DO DESENVOLVIMENTO"/>
    <x v="753"/>
    <n v="0"/>
    <n v="0"/>
    <n v="0"/>
  </r>
  <r>
    <x v="3"/>
    <s v="5011 - EDUCACAO BASICA DE QUALIDADE"/>
    <x v="407"/>
    <n v="5709623.3499999996"/>
    <n v="641020"/>
    <n v="572591.80000000005"/>
  </r>
  <r>
    <x v="3"/>
    <s v="0910 - OPERACOES ESPECIAIS: GESTAO DA PARTICIPACAO EM ORGANISMOS E ENTIDADES NACIONAIS E INTERNACIONAIS"/>
    <x v="1026"/>
    <n v="2582836.9500000002"/>
    <n v="2251486.44"/>
    <n v="2251486.44"/>
  </r>
  <r>
    <x v="3"/>
    <s v="6015 - EDUCACAO INFANTIL"/>
    <x v="983"/>
    <n v="57163165.25"/>
    <n v="45894914.270000003"/>
    <n v="45894914.270000003"/>
  </r>
  <r>
    <x v="3"/>
    <s v="1031 - AGROPECUARIA SUSTENTAVEL"/>
    <x v="468"/>
    <n v="133144.28"/>
    <n v="47655.75"/>
    <n v="48965.74"/>
  </r>
  <r>
    <x v="3"/>
    <s v="3006 - TRANSPORTE TERRESTRE E TRANSITO"/>
    <x v="808"/>
    <n v="51419489.43"/>
    <n v="379207.3"/>
    <n v="379207.3"/>
  </r>
  <r>
    <x v="3"/>
    <s v="5013 - EDUCACAO SUPERIOR - GRADUACAO, POS-GRADUACAO, ENSINO, PESQUISA E EXTENSAO"/>
    <x v="163"/>
    <n v="0"/>
    <n v="11568602.32"/>
    <n v="11568602.32"/>
  </r>
  <r>
    <x v="3"/>
    <s v="0032 - PROGRAMA DE GESTAO E MANUTENCAO DO PODER EXECUTIVO"/>
    <x v="552"/>
    <n v="0"/>
    <n v="0"/>
    <n v="0"/>
  </r>
  <r>
    <x v="3"/>
    <s v="2217 - DESENVOLVIMENTO REGIONAL, TERRITORIAL E URBANO"/>
    <x v="630"/>
    <n v="0"/>
    <n v="0"/>
    <n v="0"/>
  </r>
  <r>
    <x v="3"/>
    <s v="5031 - PROTECAO SOCIAL NO AMBITO DO SISTEMA UNICO DE ASSISTENCIA SOCIAL (SUAS)"/>
    <x v="377"/>
    <n v="112325475.36"/>
    <n v="113433296.18000001"/>
    <n v="113433296.18000001"/>
  </r>
  <r>
    <x v="3"/>
    <s v="2029 - DESENVOLVIMENTO REGIONAL E TERRITORIAL"/>
    <x v="1027"/>
    <n v="0"/>
    <n v="0"/>
    <n v="0"/>
  </r>
  <r>
    <x v="3"/>
    <s v="2208 - TECNOLOGIAS APLICADAS, INOVACAO E DESENVOLVIMENTO SUSTENTAVEL"/>
    <x v="33"/>
    <n v="0"/>
    <n v="0"/>
    <n v="0"/>
  </r>
  <r>
    <x v="3"/>
    <s v="1058 - MUDANCA DO CLIMA"/>
    <x v="738"/>
    <n v="72155.8"/>
    <n v="15877.92"/>
    <n v="15877.92"/>
  </r>
  <r>
    <x v="3"/>
    <s v="3004 - AVIACAO CIVIL"/>
    <x v="31"/>
    <n v="0"/>
    <n v="0"/>
    <n v="0"/>
  </r>
  <r>
    <x v="3"/>
    <s v="1040 - GOVERNANCA FUNDIARIA"/>
    <x v="236"/>
    <n v="0"/>
    <n v="0"/>
    <n v="0"/>
  </r>
  <r>
    <x v="3"/>
    <s v="2221 - RECURSOS HIDRICOS"/>
    <x v="1028"/>
    <n v="0"/>
    <n v="0"/>
    <n v="0"/>
  </r>
  <r>
    <x v="3"/>
    <s v="5033 - SEGURANCA ALIMENTAR E NUTRICIONAL"/>
    <x v="910"/>
    <n v="0"/>
    <n v="0"/>
    <n v="0"/>
  </r>
  <r>
    <x v="3"/>
    <s v="1031 - AGROPECUARIA SUSTENTAVEL"/>
    <x v="981"/>
    <n v="0"/>
    <n v="0"/>
    <n v="0"/>
  </r>
  <r>
    <x v="3"/>
    <s v="3006 - TRANSPORTE TERRESTRE E TRANSITO"/>
    <x v="810"/>
    <n v="22975827.489999998"/>
    <n v="0"/>
    <n v="0"/>
  </r>
  <r>
    <x v="3"/>
    <s v="2208 - TECNOLOGIAS APLICADAS, INOVACAO E DESENVOLVIMENTO SUSTENTAVEL"/>
    <x v="373"/>
    <n v="0"/>
    <n v="0"/>
    <n v="0"/>
  </r>
  <r>
    <x v="3"/>
    <s v="3006 - TRANSPORTE TERRESTRE E TRANSITO"/>
    <x v="837"/>
    <n v="51610923"/>
    <n v="8000000"/>
    <n v="0"/>
  </r>
  <r>
    <x v="3"/>
    <s v="3006 - TRANSPORTE TERRESTRE E TRANSITO"/>
    <x v="497"/>
    <n v="15550000"/>
    <n v="0"/>
    <n v="0"/>
  </r>
  <r>
    <x v="3"/>
    <s v="0032 - PROGRAMA DE GESTAO E MANUTENCAO DO PODER EXECUTIVO"/>
    <x v="17"/>
    <n v="4123699.86"/>
    <n v="3007590.15"/>
    <n v="2905303.14"/>
  </r>
  <r>
    <x v="3"/>
    <s v="3002 - GEOLOGIA, MINERACAO E TRANSFORMACAO MINERAL"/>
    <x v="877"/>
    <n v="4703734.18"/>
    <n v="710585.34"/>
    <n v="710585.34"/>
  </r>
  <r>
    <x v="3"/>
    <s v="0902 - OPERACOES ESPECIAIS: FINANCIAMENTOS COM RETORNO"/>
    <x v="161"/>
    <n v="0"/>
    <n v="7133216.1699999999"/>
    <n v="7133216.1699999999"/>
  </r>
  <r>
    <x v="3"/>
    <s v="0032 - PROGRAMA DE GESTAO E MANUTENCAO DO PODER EXECUTIVO"/>
    <x v="143"/>
    <n v="0"/>
    <n v="0"/>
    <n v="0"/>
  </r>
  <r>
    <x v="3"/>
    <s v="2134 - PROGRAMA DE GESTAO E MANUTENCAO DO MINISTERIO DA MULHER, DA FAMILIA E DOS DIREITOS HUMANOS"/>
    <x v="52"/>
    <n v="0"/>
    <n v="0"/>
    <n v="0"/>
  </r>
  <r>
    <x v="3"/>
    <s v="5035 - PROMOCAO DE CIDADANIA POR MEIO DO AUXILIO BRASIL E DA ARTICULACAO DE POLITICAS PUBLICAS"/>
    <x v="299"/>
    <n v="0"/>
    <n v="2796682.63"/>
    <n v="2796682.63"/>
  </r>
  <r>
    <x v="3"/>
    <s v="0034 - PROGRAMA DE GESTAO E MANUTENCAO DO PODER LEGISLATIVO"/>
    <x v="696"/>
    <n v="1500"/>
    <n v="51777.87"/>
    <n v="56598.58"/>
  </r>
  <r>
    <x v="3"/>
    <s v="2015 - FORTALECIMENTO DO SISTEMA UNICO DE SAUDE (SUS)"/>
    <x v="862"/>
    <n v="0"/>
    <n v="0"/>
    <n v="0"/>
  </r>
  <r>
    <x v="3"/>
    <s v="3006 - TRANSPORTE TERRESTRE E TRANSITO"/>
    <x v="359"/>
    <n v="4000000"/>
    <n v="0"/>
    <n v="0"/>
  </r>
  <r>
    <x v="3"/>
    <s v="3004 - AVIACAO CIVIL"/>
    <x v="996"/>
    <n v="0"/>
    <n v="0"/>
    <n v="0"/>
  </r>
  <r>
    <x v="3"/>
    <s v="5026 - ESPORTE"/>
    <x v="223"/>
    <n v="0"/>
    <n v="0"/>
    <n v="0"/>
  </r>
  <r>
    <x v="3"/>
    <s v="2015 - FORTALECIMENTO DO SISTEMA UNICO DE SAUDE (SUS)"/>
    <x v="437"/>
    <n v="0"/>
    <n v="0"/>
    <n v="0"/>
  </r>
  <r>
    <x v="3"/>
    <s v="0032 - PROGRAMA DE GESTAO E MANUTENCAO DO PODER EXECUTIVO"/>
    <x v="933"/>
    <n v="95000000"/>
    <n v="3664353.8"/>
    <n v="4508839.04"/>
  </r>
  <r>
    <x v="3"/>
    <s v="5020 - DESENVOLVIMENTO CIENTIFICO, TECNOLOGICO E PRODUTIVO EM SAUDE"/>
    <x v="576"/>
    <n v="10050227.58"/>
    <n v="2506272.2999999998"/>
    <n v="3077750.46"/>
  </r>
  <r>
    <x v="3"/>
    <s v="3001 - ENERGIA ELETRICA"/>
    <x v="97"/>
    <n v="4029078.53"/>
    <n v="45879.78"/>
    <n v="45879.78"/>
  </r>
  <r>
    <x v="3"/>
    <s v="3006 - TRANSPORTE TERRESTRE E TRANSITO"/>
    <x v="893"/>
    <n v="22485387.170000002"/>
    <n v="0"/>
    <n v="0"/>
  </r>
  <r>
    <x v="3"/>
    <s v="3006 - TRANSPORTE TERRESTRE E TRANSITO"/>
    <x v="450"/>
    <n v="5000000"/>
    <n v="660656.22"/>
    <n v="660656.22"/>
  </r>
  <r>
    <x v="3"/>
    <s v="2221 - RECURSOS HIDRICOS"/>
    <x v="913"/>
    <n v="1766545.41"/>
    <n v="0"/>
    <n v="0"/>
  </r>
  <r>
    <x v="3"/>
    <s v="2217 - DESENVOLVIMENTO REGIONAL, TERRITORIAL E URBANO"/>
    <x v="322"/>
    <n v="36610.58"/>
    <n v="27022.43"/>
    <n v="27600.83"/>
  </r>
  <r>
    <x v="3"/>
    <s v="5033 - SEGURANCA ALIMENTAR E NUTRICIONAL"/>
    <x v="370"/>
    <n v="69371.78"/>
    <n v="29965.85"/>
    <n v="29965.85"/>
  </r>
  <r>
    <x v="3"/>
    <s v="5015 - JUSTICA"/>
    <x v="317"/>
    <n v="3551476.94"/>
    <n v="226269.41"/>
    <n v="226269.41"/>
  </r>
  <r>
    <x v="3"/>
    <s v="0903 - OPERACOES ESPECIAIS: TRANSFERENCIAS CONSTITUCIONAIS E AS DECORRENTES DE LEGISLACAO ESPECIFICA"/>
    <x v="82"/>
    <n v="0"/>
    <n v="332230841.32999998"/>
    <n v="332230841.32999998"/>
  </r>
  <r>
    <x v="3"/>
    <s v="3005 - TRANSPORTE AQUAVIARIO"/>
    <x v="155"/>
    <n v="15608247"/>
    <n v="134261.51"/>
    <n v="134261.51"/>
  </r>
  <r>
    <x v="3"/>
    <s v="0617 - PROTECAO E PROMOCAO DOS DIREITOS DOS POVOS INDIGENAS"/>
    <x v="373"/>
    <n v="0"/>
    <n v="0"/>
    <n v="0"/>
  </r>
  <r>
    <x v="3"/>
    <s v="2037 - CONSOLIDACAO DO SISTEMA UNICO DE ASSISTENCIA SOCIAL (SUAS)"/>
    <x v="41"/>
    <n v="0"/>
    <n v="0"/>
    <n v="0"/>
  </r>
  <r>
    <x v="3"/>
    <s v="3006 - TRANSPORTE TERRESTRE E TRANSITO"/>
    <x v="68"/>
    <n v="105693107"/>
    <n v="0"/>
    <n v="0"/>
  </r>
  <r>
    <x v="3"/>
    <s v="2015 - FORTALECIMENTO DO SISTEMA UNICO DE SAUDE (SUS)"/>
    <x v="234"/>
    <n v="0"/>
    <n v="0"/>
    <n v="0"/>
  </r>
  <r>
    <x v="3"/>
    <s v="2069 - SEGURANCA ALIMENTAR E NUTRICIONAL"/>
    <x v="564"/>
    <n v="0"/>
    <n v="0"/>
    <n v="0"/>
  </r>
  <r>
    <x v="3"/>
    <s v="2221 - RECURSOS HIDRICOS"/>
    <x v="167"/>
    <n v="4010773.26"/>
    <n v="4132532.01"/>
    <n v="1833730.52"/>
  </r>
  <r>
    <x v="3"/>
    <s v="4001 - COMUNICACAO PUBLICA E DIVULGACAO DE ATOS E MATERIAS DO GOVERNO FEDERAL"/>
    <x v="84"/>
    <n v="7675880.9699999997"/>
    <n v="2204546.83"/>
    <n v="2390822.44"/>
  </r>
  <r>
    <x v="3"/>
    <s v="0902 - OPERACOES ESPECIAIS: FINANCIAMENTOS COM RETORNO"/>
    <x v="390"/>
    <n v="185000"/>
    <n v="225000"/>
    <n v="225000"/>
  </r>
  <r>
    <x v="3"/>
    <s v="0903 - OPERACOES ESPECIAIS: TRANSFERENCIAS CONSTITUCIONAIS E AS DECORRENTES DE LEGISLACAO ESPECIFICA"/>
    <x v="375"/>
    <n v="0"/>
    <n v="358462882.47000003"/>
    <n v="358462882.47000003"/>
  </r>
  <r>
    <x v="3"/>
    <s v="5018 - ATENCAO ESPECIALIZADA A SAUDE"/>
    <x v="83"/>
    <n v="84718804.650000006"/>
    <n v="33627649.780000001"/>
    <n v="28800482.789999999"/>
  </r>
  <r>
    <x v="3"/>
    <s v="0910 - OPERACOES ESPECIAIS: GESTAO DA PARTICIPACAO EM ORGANISMOS E ENTIDADES NACIONAIS E INTERNACIONAIS"/>
    <x v="972"/>
    <n v="1000000"/>
    <n v="616621.06000000006"/>
    <n v="616621.06000000006"/>
  </r>
  <r>
    <x v="3"/>
    <s v="0032 - PROGRAMA DE GESTAO E MANUTENCAO DO PODER EXECUTIVO"/>
    <x v="1001"/>
    <n v="0"/>
    <n v="0"/>
    <n v="0"/>
  </r>
  <r>
    <x v="3"/>
    <s v="5020 - DESENVOLVIMENTO CIENTIFICO, TECNOLOGICO E PRODUTIVO EM SAUDE"/>
    <x v="833"/>
    <n v="0"/>
    <n v="0"/>
    <n v="0"/>
  </r>
  <r>
    <x v="3"/>
    <s v="0032 - PROGRAMA DE GESTAO E MANUTENCAO DO PODER EXECUTIVO"/>
    <x v="37"/>
    <n v="0"/>
    <n v="0"/>
    <n v="0"/>
  </r>
  <r>
    <x v="3"/>
    <s v="0909 - OPERACOES ESPECIAIS: OUTROS ENCARGOS ESPECIAIS"/>
    <x v="288"/>
    <n v="-11000000"/>
    <n v="2248740"/>
    <n v="3211680"/>
  </r>
  <r>
    <x v="3"/>
    <s v="2204 - BRASIL NA FRONTEIRA DO CONHECIMENTO"/>
    <x v="1029"/>
    <n v="1063376"/>
    <n v="0"/>
    <n v="0"/>
  </r>
  <r>
    <x v="3"/>
    <s v="0032 - PROGRAMA DE GESTAO E MANUTENCAO DO PODER EXECUTIVO"/>
    <x v="626"/>
    <n v="0"/>
    <n v="0"/>
    <n v="0"/>
  </r>
  <r>
    <x v="3"/>
    <s v="2216 - POLITICA EXTERNA"/>
    <x v="230"/>
    <n v="0"/>
    <n v="0"/>
    <n v="0"/>
  </r>
  <r>
    <x v="3"/>
    <s v="5033 - SEGURANCA ALIMENTAR E NUTRICIONAL"/>
    <x v="325"/>
    <n v="0"/>
    <n v="0"/>
    <n v="0"/>
  </r>
  <r>
    <x v="3"/>
    <s v="5017 - ASSISTENCIA FARMACEUTICA NO SUS"/>
    <x v="735"/>
    <n v="29638312.210000001"/>
    <n v="126291316.27"/>
    <n v="191730316.27000001"/>
  </r>
  <r>
    <x v="3"/>
    <s v="5014 - ESTATISTICAS E AVALIACOES EDUCACIONAIS"/>
    <x v="32"/>
    <n v="302054.88"/>
    <n v="221.85"/>
    <n v="221.85"/>
  </r>
  <r>
    <x v="3"/>
    <s v="1041 - CONSERVACAO E USO SUSTENTAVEL DA BIODIVERSIDADE E DOS RECURSOS NATURAIS"/>
    <x v="19"/>
    <n v="253160"/>
    <n v="0"/>
    <n v="0"/>
  </r>
  <r>
    <x v="3"/>
    <s v="2080 - EDUCACAO DE QUALIDADE PARA TODOS"/>
    <x v="657"/>
    <n v="0"/>
    <n v="0"/>
    <n v="0"/>
  </r>
  <r>
    <x v="3"/>
    <s v="1041 - CONSERVACAO E USO SUSTENTAVEL DA BIODIVERSIDADE E DOS RECURSOS NATURAIS"/>
    <x v="977"/>
    <n v="0"/>
    <n v="36602.35"/>
    <n v="36602.35"/>
  </r>
  <r>
    <x v="3"/>
    <s v="0910 - OPERACOES ESPECIAIS: GESTAO DA PARTICIPACAO EM ORGANISMOS E ENTIDADES NACIONAIS E INTERNACIONAIS"/>
    <x v="1030"/>
    <n v="0"/>
    <n v="0"/>
    <n v="0"/>
  </r>
  <r>
    <x v="3"/>
    <s v="2216 - POLITICA EXTERNA"/>
    <x v="289"/>
    <n v="1529147.2"/>
    <n v="377530.93"/>
    <n v="366363.82"/>
  </r>
  <r>
    <x v="3"/>
    <s v="2215 - POLITICA ECONOMICA E EQUILIBRIO FISCAL"/>
    <x v="661"/>
    <n v="15060445.640000001"/>
    <n v="12759538.710000001"/>
    <n v="12742005.939999999"/>
  </r>
  <r>
    <x v="3"/>
    <s v="2217 - DESENVOLVIMENTO REGIONAL, TERRITORIAL E URBANO"/>
    <x v="110"/>
    <n v="0"/>
    <n v="0"/>
    <n v="0"/>
  </r>
  <r>
    <x v="3"/>
    <s v="5016 - SEGURANCA PUBLICA, COMBATE A CORRUPCAO, AO CRIME ORGANIZADO E AO CRIME VIOLENTO"/>
    <x v="926"/>
    <n v="0"/>
    <n v="0"/>
    <n v="0"/>
  </r>
  <r>
    <x v="3"/>
    <s v="5012 - EDUCACAO PROFISSIONAL E TECNOLOGICA"/>
    <x v="144"/>
    <n v="0"/>
    <n v="0"/>
    <n v="0"/>
  </r>
  <r>
    <x v="3"/>
    <s v="3006 - TRANSPORTE TERRESTRE E TRANSITO"/>
    <x v="1031"/>
    <n v="18556521"/>
    <n v="0"/>
    <n v="0"/>
  </r>
  <r>
    <x v="3"/>
    <s v="2215 - POLITICA ECONOMICA E EQUILIBRIO FISCAL"/>
    <x v="264"/>
    <n v="8010000"/>
    <n v="0"/>
    <n v="0"/>
  </r>
  <r>
    <x v="3"/>
    <s v="5034 - PROTECAO A VIDA, FORTALECIMENTO DA FAMILIA, PROMOCAO E DEFESA DOS DIREITOS HUMANOS PARA TODOS"/>
    <x v="338"/>
    <n v="0"/>
    <n v="61779.23"/>
    <n v="61779.23"/>
  </r>
  <r>
    <x v="3"/>
    <s v="2066 - REFORMA AGRARIA E GOVERNANCA FUNDIARIA"/>
    <x v="231"/>
    <n v="0"/>
    <n v="0"/>
    <n v="0"/>
  </r>
  <r>
    <x v="3"/>
    <s v="3003 - PETROLEO, GAS, DERIVADOS E BIOCOMBUSTIVEIS"/>
    <x v="874"/>
    <n v="17172.68"/>
    <n v="23374.83"/>
    <n v="23374.83"/>
  </r>
  <r>
    <x v="3"/>
    <s v="3004 - AVIACAO CIVIL"/>
    <x v="85"/>
    <n v="0"/>
    <n v="0"/>
    <n v="0"/>
  </r>
  <r>
    <x v="3"/>
    <s v="2208 - TECNOLOGIAS APLICADAS, INOVACAO E DESENVOLVIMENTO SUSTENTAVEL"/>
    <x v="820"/>
    <n v="0"/>
    <n v="0"/>
    <n v="0"/>
  </r>
  <r>
    <x v="3"/>
    <s v="0032 - PROGRAMA DE GESTAO E MANUTENCAO DO PODER EXECUTIVO"/>
    <x v="73"/>
    <n v="1620736.95"/>
    <n v="0"/>
    <n v="0"/>
  </r>
  <r>
    <x v="3"/>
    <s v="6012 - DEFESA NACIONAL"/>
    <x v="518"/>
    <n v="0"/>
    <n v="0"/>
    <n v="0"/>
  </r>
  <r>
    <x v="3"/>
    <s v="2217 - DESENVOLVIMENTO REGIONAL, TERRITORIAL E URBANO"/>
    <x v="783"/>
    <n v="423628746.22000003"/>
    <n v="0"/>
    <n v="0"/>
  </r>
  <r>
    <x v="3"/>
    <s v="3006 - TRANSPORTE TERRESTRE E TRANSITO"/>
    <x v="853"/>
    <n v="8000000"/>
    <n v="0"/>
    <n v="0"/>
  </r>
  <r>
    <x v="3"/>
    <s v="0910 - OPERACOES ESPECIAIS: GESTAO DA PARTICIPACAO EM ORGANISMOS E ENTIDADES NACIONAIS E INTERNACIONAIS"/>
    <x v="1003"/>
    <n v="0"/>
    <n v="3045856.37"/>
    <n v="3045856.37"/>
  </r>
  <r>
    <x v="3"/>
    <s v="3006 - TRANSPORTE TERRESTRE E TRANSITO"/>
    <x v="360"/>
    <n v="0"/>
    <n v="0"/>
    <n v="0"/>
  </r>
  <r>
    <x v="3"/>
    <s v="5021 - GESTAO E ORGANIZACAO DO SUS"/>
    <x v="855"/>
    <n v="975700"/>
    <n v="450068.23"/>
    <n v="12568.23"/>
  </r>
  <r>
    <x v="3"/>
    <s v="0910 - OPERACOES ESPECIAIS: GESTAO DA PARTICIPACAO EM ORGANISMOS E ENTIDADES NACIONAIS E INTERNACIONAIS"/>
    <x v="932"/>
    <n v="-4303615.22"/>
    <n v="0"/>
    <n v="0"/>
  </r>
  <r>
    <x v="3"/>
    <s v="2204 - BRASIL NA FRONTEIRA DO CONHECIMENTO"/>
    <x v="519"/>
    <n v="-1592.7"/>
    <n v="18907.3"/>
    <n v="18907.3"/>
  </r>
  <r>
    <x v="3"/>
    <s v="2111 - PROGRAMA DE GESTAO E MANUTENCAO DO MINISTERIO DO DESENVOLVIMENTO REGIONAL"/>
    <x v="356"/>
    <n v="0"/>
    <n v="0"/>
    <n v="0"/>
  </r>
  <r>
    <x v="3"/>
    <s v="2210 - EMPREGABILIDADE"/>
    <x v="907"/>
    <n v="0"/>
    <n v="5052.6000000000004"/>
    <n v="5052.6000000000004"/>
  </r>
  <r>
    <x v="3"/>
    <s v="5017 - ASSISTENCIA FARMACEUTICA NO SUS"/>
    <x v="219"/>
    <n v="197252128.41999999"/>
    <n v="104603422"/>
    <n v="104562262"/>
  </r>
  <r>
    <x v="3"/>
    <s v="2219 - MOBILIDADE URBANA"/>
    <x v="476"/>
    <n v="0"/>
    <n v="0"/>
    <n v="0"/>
  </r>
  <r>
    <x v="3"/>
    <s v="6012 - DEFESA NACIONAL"/>
    <x v="920"/>
    <n v="620794.65"/>
    <n v="163975.6"/>
    <n v="163975.6"/>
  </r>
  <r>
    <x v="3"/>
    <s v="5031 - PROTECAO SOCIAL NO AMBITO DO SISTEMA UNICO DE ASSISTENCIA SOCIAL (SUAS)"/>
    <x v="603"/>
    <n v="300000"/>
    <n v="0"/>
    <n v="0"/>
  </r>
  <r>
    <x v="3"/>
    <s v="2109 - PROGRAMA DE GESTAO E MANUTENCAO DO MINISTERIO DA EDUCACAO"/>
    <x v="40"/>
    <n v="0"/>
    <n v="0"/>
    <n v="0"/>
  </r>
  <r>
    <x v="3"/>
    <s v="2048 - MOBILIDADE URBANA E TRANSITO"/>
    <x v="476"/>
    <n v="0"/>
    <n v="0"/>
    <n v="0"/>
  </r>
  <r>
    <x v="3"/>
    <s v="2223 - A HORA DO TURISMO"/>
    <x v="269"/>
    <n v="0"/>
    <n v="6897.54"/>
    <n v="6897.54"/>
  </r>
  <r>
    <x v="3"/>
    <s v="3006 - TRANSPORTE TERRESTRE E TRANSITO"/>
    <x v="332"/>
    <n v="3779554.51"/>
    <n v="0"/>
    <n v="75111.69"/>
  </r>
  <r>
    <x v="3"/>
    <s v="5020 - DESENVOLVIMENTO CIENTIFICO, TECNOLOGICO E PRODUTIVO EM SAUDE"/>
    <x v="61"/>
    <n v="0"/>
    <n v="0"/>
    <n v="0"/>
  </r>
  <r>
    <x v="3"/>
    <s v="3006 - TRANSPORTE TERRESTRE E TRANSITO"/>
    <x v="417"/>
    <n v="3000000"/>
    <n v="0"/>
    <n v="0"/>
  </r>
  <r>
    <x v="3"/>
    <s v="2221 - RECURSOS HIDRICOS"/>
    <x v="339"/>
    <n v="0"/>
    <n v="0"/>
    <n v="19268.89"/>
  </r>
  <r>
    <x v="3"/>
    <s v="5026 - ESPORTE"/>
    <x v="92"/>
    <n v="78701750"/>
    <n v="0"/>
    <n v="0"/>
  </r>
  <r>
    <x v="3"/>
    <s v="0909 - OPERACOES ESPECIAIS: OUTROS ENCARGOS ESPECIAIS"/>
    <x v="346"/>
    <n v="0"/>
    <n v="0"/>
    <n v="0"/>
  </r>
  <r>
    <x v="3"/>
    <s v="2206 - POLITICA NUCLEAR"/>
    <x v="10"/>
    <n v="8698600.9399999995"/>
    <n v="7104308.1799999997"/>
    <n v="5088443.9400000004"/>
  </r>
  <r>
    <x v="3"/>
    <s v="1041 - CONSERVACAO E USO SUSTENTAVEL DA BIODIVERSIDADE E DOS RECURSOS NATURAIS"/>
    <x v="176"/>
    <n v="0"/>
    <n v="25763.71"/>
    <n v="25763.71"/>
  </r>
  <r>
    <x v="3"/>
    <s v="3001 - ENERGIA ELETRICA"/>
    <x v="915"/>
    <n v="14000"/>
    <n v="23038.19"/>
    <n v="23038.19"/>
  </r>
  <r>
    <x v="3"/>
    <s v="3006 - TRANSPORTE TERRESTRE E TRANSITO"/>
    <x v="350"/>
    <n v="0"/>
    <n v="0"/>
    <n v="0"/>
  </r>
  <r>
    <x v="3"/>
    <s v="6012 - DEFESA NACIONAL"/>
    <x v="870"/>
    <n v="1389559.42"/>
    <n v="4930687.4400000004"/>
    <n v="5065479.25"/>
  </r>
  <r>
    <x v="3"/>
    <s v="2021 - CIENCIA, TECNOLOGIA E INOVACAO"/>
    <x v="900"/>
    <n v="0"/>
    <n v="0"/>
    <n v="0"/>
  </r>
  <r>
    <x v="3"/>
    <s v="3006 - TRANSPORTE TERRESTRE E TRANSITO"/>
    <x v="140"/>
    <n v="0"/>
    <n v="0"/>
    <n v="0"/>
  </r>
  <r>
    <x v="3"/>
    <s v="5031 - PROTECAO SOCIAL NO AMBITO DO SISTEMA UNICO DE ASSISTENCIA SOCIAL (SUAS)"/>
    <x v="772"/>
    <n v="-123170345"/>
    <n v="146412.20000000001"/>
    <n v="127529.44"/>
  </r>
  <r>
    <x v="3"/>
    <s v="2054 - PLANEJAMENTO URBANO"/>
    <x v="382"/>
    <n v="0"/>
    <n v="0"/>
    <n v="0"/>
  </r>
  <r>
    <x v="3"/>
    <s v="2223 - A HORA DO TURISMO"/>
    <x v="528"/>
    <n v="0"/>
    <n v="0"/>
    <n v="0"/>
  </r>
  <r>
    <x v="3"/>
    <s v="2212 - MELHORIA DO AMBIENTE DE NEGOCIOS E DA PRODUTIVIDADE"/>
    <x v="168"/>
    <n v="0"/>
    <n v="0"/>
    <n v="0"/>
  </r>
  <r>
    <x v="3"/>
    <s v="2212 - MELHORIA DO AMBIENTE DE NEGOCIOS E DA PRODUTIVIDADE"/>
    <x v="767"/>
    <n v="3800743.47"/>
    <n v="696646.81"/>
    <n v="720601.14"/>
  </r>
  <r>
    <x v="3"/>
    <s v="5021 - GESTAO E ORGANIZACAO DO SUS"/>
    <x v="94"/>
    <n v="0"/>
    <n v="71450.61"/>
    <n v="71450.61"/>
  </r>
  <r>
    <x v="3"/>
    <s v="2054 - PLANEJAMENTO URBANO"/>
    <x v="545"/>
    <n v="0"/>
    <n v="0"/>
    <n v="0"/>
  </r>
  <r>
    <x v="3"/>
    <s v="1031 - AGROPECUARIA SUSTENTAVEL"/>
    <x v="323"/>
    <n v="639358066.53999996"/>
    <n v="324493272.31999999"/>
    <n v="324493272.31999999"/>
  </r>
  <r>
    <x v="3"/>
    <s v="5017 - ASSISTENCIA FARMACEUTICA NO SUS"/>
    <x v="124"/>
    <n v="50361177.960000001"/>
    <n v="92251332.329999998"/>
    <n v="92251332.329999998"/>
  </r>
  <r>
    <x v="3"/>
    <s v="2108 - PROGRAMA DE GESTAO E MANUTENCAO DO MINISTERIO DA DEFESA"/>
    <x v="114"/>
    <n v="0"/>
    <n v="0"/>
    <n v="0"/>
  </r>
  <r>
    <x v="3"/>
    <s v="2058 - DEFESA NACIONAL"/>
    <x v="134"/>
    <n v="0"/>
    <n v="0"/>
    <n v="0"/>
  </r>
  <r>
    <x v="3"/>
    <s v="3001 - ENERGIA ELETRICA"/>
    <x v="240"/>
    <n v="6775480.6100000003"/>
    <n v="5119744.54"/>
    <n v="4526989.8899999997"/>
  </r>
  <r>
    <x v="3"/>
    <s v="2106 - PROGRAMA DE GESTAO E MANUTENCAO DO MINISTERIO DA CIENCIA, TECNOLOGIA, INOVACOES E COMUNICACOES"/>
    <x v="52"/>
    <n v="0"/>
    <n v="0"/>
    <n v="0"/>
  </r>
  <r>
    <x v="3"/>
    <s v="5018 - ATENCAO ESPECIALIZADA A SAUDE"/>
    <x v="76"/>
    <n v="507406"/>
    <n v="239505"/>
    <n v="0"/>
  </r>
  <r>
    <x v="3"/>
    <s v="1031 - AGROPECUARIA SUSTENTAVEL"/>
    <x v="138"/>
    <n v="-20073175.59"/>
    <n v="126993248.26000001"/>
    <n v="126993248.26000001"/>
  </r>
  <r>
    <x v="3"/>
    <s v="2035 - ESPORTE, CIDADANIA E DESENVOLVIMENTO"/>
    <x v="223"/>
    <n v="0"/>
    <n v="0"/>
    <n v="0"/>
  </r>
  <r>
    <x v="3"/>
    <s v="5018 - ATENCAO ESPECIALIZADA A SAUDE"/>
    <x v="283"/>
    <n v="1090000"/>
    <n v="1090000"/>
    <n v="1090000"/>
  </r>
  <r>
    <x v="3"/>
    <s v="6012 - DEFESA NACIONAL"/>
    <x v="276"/>
    <n v="37344.43"/>
    <n v="16263.15"/>
    <n v="13851.8"/>
  </r>
  <r>
    <x v="3"/>
    <s v="3006 - TRANSPORTE TERRESTRE E TRANSITO"/>
    <x v="7"/>
    <n v="0"/>
    <n v="0"/>
    <n v="0"/>
  </r>
  <r>
    <x v="3"/>
    <s v="6012 - DEFESA NACIONAL"/>
    <x v="544"/>
    <n v="0"/>
    <n v="0"/>
    <n v="0"/>
  </r>
  <r>
    <x v="3"/>
    <s v="3006 - TRANSPORTE TERRESTRE E TRANSITO"/>
    <x v="133"/>
    <n v="38100067.670000002"/>
    <n v="0"/>
    <n v="0"/>
  </r>
  <r>
    <x v="3"/>
    <s v="5020 - DESENVOLVIMENTO CIENTIFICO, TECNOLOGICO E PRODUTIVO EM SAUDE"/>
    <x v="1032"/>
    <n v="0"/>
    <n v="0"/>
    <n v="0"/>
  </r>
  <r>
    <x v="3"/>
    <s v="5035 - PROMOCAO DE CIDADANIA POR MEIO DO AUXILIO BRASIL E DA ARTICULACAO DE POLITICAS PUBLICAS"/>
    <x v="1033"/>
    <n v="234821000"/>
    <n v="0"/>
    <n v="0"/>
  </r>
  <r>
    <x v="3"/>
    <s v="3001 - ENERGIA ELETRICA"/>
    <x v="16"/>
    <n v="3267197.58"/>
    <n v="211603.86"/>
    <n v="171051.76"/>
  </r>
  <r>
    <x v="3"/>
    <s v="2050 - MUDANCA DO CLIMA"/>
    <x v="620"/>
    <n v="0"/>
    <n v="0"/>
    <n v="0"/>
  </r>
  <r>
    <x v="3"/>
    <s v="0032 - PROGRAMA DE GESTAO E MANUTENCAO DO PODER EXECUTIVO"/>
    <x v="341"/>
    <n v="417086.29"/>
    <n v="236293.16"/>
    <n v="199762.41"/>
  </r>
  <r>
    <x v="3"/>
    <s v="5035 - PROMOCAO DE CIDADANIA POR MEIO DO AUXILIO BRASIL E DA ARTICULACAO DE POLITICAS PUBLICAS"/>
    <x v="550"/>
    <n v="45565799180"/>
    <n v="13925783064.01"/>
    <n v="13925783064.01"/>
  </r>
  <r>
    <x v="3"/>
    <s v="0032 - PROGRAMA DE GESTAO E MANUTENCAO DO PODER EXECUTIVO"/>
    <x v="90"/>
    <n v="0"/>
    <n v="1635053.61"/>
    <n v="1621979.98"/>
  </r>
  <r>
    <x v="3"/>
    <s v="5021 - GESTAO E ORGANIZACAO DO SUS"/>
    <x v="26"/>
    <n v="0"/>
    <n v="19589.32"/>
    <n v="16219.66"/>
  </r>
  <r>
    <x v="3"/>
    <s v="2015 - FORTALECIMENTO DO SISTEMA UNICO DE SAUDE (SUS)"/>
    <x v="771"/>
    <n v="0"/>
    <n v="0"/>
    <n v="0"/>
  </r>
  <r>
    <x v="3"/>
    <s v="0903 - OPERACOES ESPECIAIS: TRANSFERENCIAS CONSTITUCIONAIS E AS DECORRENTES DE LEGISLACAO ESPECIFICA"/>
    <x v="298"/>
    <n v="-44130578"/>
    <n v="31320341.199999999"/>
    <n v="31320341.199999999"/>
  </r>
  <r>
    <x v="3"/>
    <s v="3006 - TRANSPORTE TERRESTRE E TRANSITO"/>
    <x v="162"/>
    <n v="292736"/>
    <n v="0"/>
    <n v="0"/>
  </r>
  <r>
    <x v="3"/>
    <s v="0901 - OPERACOES ESPECIAIS: CUMPRIMENTO DE SENTENCAS JUDICIAIS"/>
    <x v="882"/>
    <n v="0"/>
    <n v="0"/>
    <n v="0"/>
  </r>
  <r>
    <x v="3"/>
    <s v="2217 - DESENVOLVIMENTO REGIONAL, TERRITORIAL E URBANO"/>
    <x v="287"/>
    <n v="0"/>
    <n v="0"/>
    <n v="0"/>
  </r>
  <r>
    <x v="3"/>
    <s v="2217 - DESENVOLVIMENTO REGIONAL, TERRITORIAL E URBANO"/>
    <x v="222"/>
    <n v="24"/>
    <n v="123911.91"/>
    <n v="1677.8"/>
  </r>
  <r>
    <x v="3"/>
    <s v="2212 - MELHORIA DO AMBIENTE DE NEGOCIOS E DA PRODUTIVIDADE"/>
    <x v="99"/>
    <n v="1000"/>
    <n v="14948.6"/>
    <n v="13925.59"/>
  </r>
  <r>
    <x v="3"/>
    <s v="0909 - OPERACOES ESPECIAIS: OUTROS ENCARGOS ESPECIAIS"/>
    <x v="104"/>
    <n v="0"/>
    <n v="0"/>
    <n v="0"/>
  </r>
  <r>
    <x v="3"/>
    <s v="5019 - ATENCAO PRIMARIA A SAUDE"/>
    <x v="286"/>
    <n v="0"/>
    <n v="0"/>
    <n v="0"/>
  </r>
  <r>
    <x v="3"/>
    <s v="5019 - ATENCAO PRIMARIA A SAUDE"/>
    <x v="1034"/>
    <n v="0"/>
    <n v="0"/>
    <n v="0"/>
  </r>
  <r>
    <x v="3"/>
    <s v="4005 - PROTECAO JURIDICA DA UNIAO"/>
    <x v="992"/>
    <n v="0"/>
    <n v="0"/>
    <n v="0"/>
  </r>
  <r>
    <x v="3"/>
    <s v="2205 - CONECTA BRASIL"/>
    <x v="953"/>
    <n v="0"/>
    <n v="0"/>
    <n v="0"/>
  </r>
  <r>
    <x v="3"/>
    <s v="0032 - PROGRAMA DE GESTAO E MANUTENCAO DO PODER EXECUTIVO"/>
    <x v="745"/>
    <n v="85555820.010000005"/>
    <n v="2485702346.7399998"/>
    <n v="2485702346.7399998"/>
  </r>
  <r>
    <x v="3"/>
    <s v="2208 - TECNOLOGIAS APLICADAS, INOVACAO E DESENVOLVIMENTO SUSTENTAVEL"/>
    <x v="900"/>
    <n v="0"/>
    <n v="0"/>
    <n v="0"/>
  </r>
  <r>
    <x v="3"/>
    <s v="6012 - DEFESA NACIONAL"/>
    <x v="978"/>
    <n v="-74542.62"/>
    <n v="41362.03"/>
    <n v="41362.03"/>
  </r>
  <r>
    <x v="3"/>
    <s v="5018 - ATENCAO ESPECIALIZADA A SAUDE"/>
    <x v="202"/>
    <n v="22480949.460000001"/>
    <n v="7583846.9100000001"/>
    <n v="5735768.4699999997"/>
  </r>
  <r>
    <x v="3"/>
    <s v="2222 - SANEAMENTO BASICO"/>
    <x v="1035"/>
    <n v="0"/>
    <n v="0"/>
    <n v="0"/>
  </r>
  <r>
    <x v="3"/>
    <s v="5016 - SEGURANCA PUBLICA, COMBATE A CORRUPCAO, AO CRIME ORGANIZADO E AO CRIME VIOLENTO"/>
    <x v="1036"/>
    <n v="0"/>
    <n v="0"/>
    <n v="0"/>
  </r>
  <r>
    <x v="3"/>
    <s v="0032 - PROGRAMA DE GESTAO E MANUTENCAO DO PODER EXECUTIVO"/>
    <x v="731"/>
    <n v="0"/>
    <n v="0"/>
    <n v="0"/>
  </r>
  <r>
    <x v="3"/>
    <s v="5029 - PRODUCAO DE DADOS E CONHECIMENTO PARA O APRIMORAMENTO DE POLITICAS PUBLICAS"/>
    <x v="320"/>
    <n v="0"/>
    <n v="0"/>
    <n v="0"/>
  </r>
  <r>
    <x v="3"/>
    <s v="3005 - TRANSPORTE AQUAVIARIO"/>
    <x v="890"/>
    <n v="29463090.07"/>
    <n v="29463090.07"/>
    <n v="29463090.07"/>
  </r>
  <r>
    <x v="3"/>
    <s v="5013 - EDUCACAO SUPERIOR - GRADUACAO, POS-GRADUACAO, ENSINO, PESQUISA E EXTENSAO"/>
    <x v="404"/>
    <n v="0"/>
    <n v="0"/>
    <n v="0"/>
  </r>
  <r>
    <x v="3"/>
    <s v="0910 - OPERACOES ESPECIAIS: GESTAO DA PARTICIPACAO EM ORGANISMOS E ENTIDADES NACIONAIS E INTERNACIONAIS"/>
    <x v="1037"/>
    <n v="5387667"/>
    <n v="5387667"/>
    <n v="5387667"/>
  </r>
  <r>
    <x v="3"/>
    <s v="3006 - TRANSPORTE TERRESTRE E TRANSITO"/>
    <x v="166"/>
    <n v="36268435.409999996"/>
    <n v="0"/>
    <n v="0"/>
  </r>
  <r>
    <x v="3"/>
    <s v="2058 - DEFESA NACIONAL"/>
    <x v="589"/>
    <n v="0"/>
    <n v="0"/>
    <n v="0"/>
  </r>
  <r>
    <x v="3"/>
    <s v="5020 - DESENVOLVIMENTO CIENTIFICO, TECNOLOGICO E PRODUTIVO EM SAUDE"/>
    <x v="515"/>
    <n v="0"/>
    <n v="0"/>
    <n v="0"/>
  </r>
  <r>
    <x v="3"/>
    <s v="3006 - TRANSPORTE TERRESTRE E TRANSITO"/>
    <x v="405"/>
    <n v="105946713"/>
    <n v="36170.269999999997"/>
    <n v="36170.269999999997"/>
  </r>
  <r>
    <x v="3"/>
    <s v="5019 - ATENCAO PRIMARIA A SAUDE"/>
    <x v="423"/>
    <n v="14877681"/>
    <n v="11243693"/>
    <n v="11243693"/>
  </r>
  <r>
    <x v="3"/>
    <s v="2201 - BRASIL MODERNIZA"/>
    <x v="14"/>
    <n v="0"/>
    <n v="0"/>
    <n v="0"/>
  </r>
  <r>
    <x v="3"/>
    <s v="1041 - CONSERVACAO E USO SUSTENTAVEL DA BIODIVERSIDADE E DOS RECURSOS NATURAIS"/>
    <x v="154"/>
    <n v="284667.71000000002"/>
    <n v="156973.76999999999"/>
    <n v="156973.76999999999"/>
  </r>
  <r>
    <x v="3"/>
    <s v="0905 - OPERACOES ESPECIAIS: SERVICO DA DIVIDA INTERNA (JUROS EAMORTIZACOES)"/>
    <x v="347"/>
    <n v="2949513.5"/>
    <n v="5461765.4400000004"/>
    <n v="5461765.4400000004"/>
  </r>
  <r>
    <x v="3"/>
    <s v="2084 - RECURSOS HIDRICOS"/>
    <x v="232"/>
    <n v="0"/>
    <n v="0"/>
    <n v="0"/>
  </r>
  <r>
    <x v="3"/>
    <s v="3006 - TRANSPORTE TERRESTRE E TRANSITO"/>
    <x v="195"/>
    <n v="7210305.9900000002"/>
    <n v="0"/>
    <n v="0"/>
  </r>
  <r>
    <x v="3"/>
    <s v="2217 - DESENVOLVIMENTO REGIONAL, TERRITORIAL E URBANO"/>
    <x v="382"/>
    <n v="0"/>
    <n v="0"/>
    <n v="0"/>
  </r>
  <r>
    <x v="3"/>
    <s v="1031 - AGROPECUARIA SUSTENTAVEL"/>
    <x v="231"/>
    <n v="0"/>
    <n v="0"/>
    <n v="0"/>
  </r>
  <r>
    <x v="3"/>
    <s v="2080 - EDUCACAO DE QUALIDADE PARA TODOS"/>
    <x v="526"/>
    <n v="0"/>
    <n v="0"/>
    <n v="0"/>
  </r>
  <r>
    <x v="3"/>
    <s v="0909 - OPERACOES ESPECIAIS: OUTROS ENCARGOS ESPECIAIS"/>
    <x v="821"/>
    <n v="42630983.450000003"/>
    <n v="6984901.4500000002"/>
    <n v="6984901.4500000002"/>
  </r>
  <r>
    <x v="3"/>
    <s v="3004 - AVIACAO CIVIL"/>
    <x v="379"/>
    <n v="28485329"/>
    <n v="0"/>
    <n v="437852.31"/>
  </r>
  <r>
    <x v="3"/>
    <s v="0902 - OPERACOES ESPECIAIS: FINANCIAMENTOS COM RETORNO"/>
    <x v="44"/>
    <n v="1760085554.73"/>
    <n v="1760085554.73"/>
    <n v="1760085554.73"/>
  </r>
  <r>
    <x v="3"/>
    <s v="1031 - AGROPECUARIA SUSTENTAVEL"/>
    <x v="434"/>
    <n v="0"/>
    <n v="2000000"/>
    <n v="2000000"/>
  </r>
  <r>
    <x v="3"/>
    <s v="5034 - PROTECAO A VIDA, FORTALECIMENTO DA FAMILIA, PROMOCAO E DEFESA DOS DIREITOS HUMANOS PARA TODOS"/>
    <x v="455"/>
    <n v="0"/>
    <n v="0"/>
    <n v="0"/>
  </r>
  <r>
    <x v="3"/>
    <s v="0910 - OPERACOES ESPECIAIS: GESTAO DA PARTICIPACAO EM ORGANISMOS E ENTIDADES NACIONAIS E INTERNACIONAIS"/>
    <x v="1038"/>
    <n v="1082991"/>
    <n v="1082991"/>
    <n v="1082991"/>
  </r>
  <r>
    <x v="3"/>
    <s v="0903 - OPERACOES ESPECIAIS: TRANSFERENCIAS CONSTITUCIONAIS E AS DECORRENTES DE LEGISLACAO ESPECIFICA"/>
    <x v="368"/>
    <n v="9706402.9199999999"/>
    <n v="31838836.399999999"/>
    <n v="28320354.969999999"/>
  </r>
  <r>
    <x v="3"/>
    <s v="5028 - INCLUSAO SOCIAL POR MEIO DO BOLSA FAMILIA E DA ARTICULACAO DE POLITICAS PUBLICAS"/>
    <x v="152"/>
    <n v="0"/>
    <n v="0"/>
    <n v="0"/>
  </r>
  <r>
    <x v="3"/>
    <s v="5025 - CULTURA"/>
    <x v="524"/>
    <n v="0"/>
    <n v="0"/>
    <n v="0"/>
  </r>
  <r>
    <x v="3"/>
    <s v="2208 - TECNOLOGIAS APLICADAS, INOVACAO E DESENVOLVIMENTO SUSTENTAVEL"/>
    <x v="801"/>
    <n v="0"/>
    <n v="540376.61"/>
    <n v="0"/>
  </r>
  <r>
    <x v="3"/>
    <s v="2206 - POLITICA NUCLEAR"/>
    <x v="198"/>
    <n v="0"/>
    <n v="0"/>
    <n v="0"/>
  </r>
  <r>
    <x v="3"/>
    <s v="0032 - PROGRAMA DE GESTAO E MANUTENCAO DO PODER EXECUTIVO"/>
    <x v="425"/>
    <n v="0"/>
    <n v="0"/>
    <n v="0"/>
  </r>
  <r>
    <x v="3"/>
    <s v="3006 - TRANSPORTE TERRESTRE E TRANSITO"/>
    <x v="69"/>
    <n v="1706723.57"/>
    <n v="12574088.08"/>
    <n v="12669148.800000001"/>
  </r>
  <r>
    <x v="3"/>
    <s v="5026 - ESPORTE"/>
    <x v="971"/>
    <n v="0"/>
    <n v="0"/>
    <n v="0"/>
  </r>
  <r>
    <x v="3"/>
    <s v="5015 - JUSTICA"/>
    <x v="221"/>
    <n v="25174280.420000002"/>
    <n v="2006181.75"/>
    <n v="2171203.17"/>
  </r>
  <r>
    <x v="3"/>
    <s v="2015 - FORTALECIMENTO DO SISTEMA UNICO DE SAUDE (SUS)"/>
    <x v="515"/>
    <n v="0"/>
    <n v="0"/>
    <n v="0"/>
  </r>
  <r>
    <x v="3"/>
    <s v="2080 - EDUCACAO DE QUALIDADE PARA TODOS"/>
    <x v="752"/>
    <n v="0"/>
    <n v="0"/>
    <n v="0"/>
  </r>
  <r>
    <x v="3"/>
    <s v="6012 - DEFESA NACIONAL"/>
    <x v="8"/>
    <n v="0"/>
    <n v="0"/>
    <n v="0"/>
  </r>
  <r>
    <x v="3"/>
    <s v="5018 - ATENCAO ESPECIALIZADA A SAUDE"/>
    <x v="825"/>
    <n v="0"/>
    <n v="0"/>
    <n v="0"/>
  </r>
  <r>
    <x v="3"/>
    <s v="2204 - BRASIL NA FRONTEIRA DO CONHECIMENTO"/>
    <x v="598"/>
    <n v="334957.73"/>
    <n v="-8826466.8499999996"/>
    <n v="169830664.16999999"/>
  </r>
  <r>
    <x v="3"/>
    <s v="2205 - CONECTA BRASIL"/>
    <x v="80"/>
    <n v="19909329.190000001"/>
    <n v="10353477.439999999"/>
    <n v="7246704.0499999998"/>
  </r>
  <r>
    <x v="3"/>
    <s v="2201 - BRASIL MODERNIZA"/>
    <x v="451"/>
    <n v="14617367.33"/>
    <n v="1180756.57"/>
    <n v="1180195.6000000001"/>
  </r>
  <r>
    <x v="3"/>
    <s v="2223 - A HORA DO TURISMO"/>
    <x v="419"/>
    <n v="488419"/>
    <n v="25933.64"/>
    <n v="24849.75"/>
  </r>
  <r>
    <x v="3"/>
    <s v="0032 - PROGRAMA DE GESTAO E MANUTENCAO DO PODER EXECUTIVO"/>
    <x v="505"/>
    <n v="3989292.69"/>
    <n v="75630636.989999995"/>
    <n v="70228572.780000001"/>
  </r>
  <r>
    <x v="3"/>
    <s v="2035 - ESPORTE, CIDADANIA E DESENVOLVIMENTO"/>
    <x v="971"/>
    <n v="0"/>
    <n v="0"/>
    <n v="0"/>
  </r>
  <r>
    <x v="3"/>
    <s v="2214 - NOVA PREVIDENCIA"/>
    <x v="187"/>
    <n v="-12319.77"/>
    <n v="2684733.18"/>
    <n v="2682680.5099999998"/>
  </r>
  <r>
    <x v="3"/>
    <s v="3006 - TRANSPORTE TERRESTRE E TRANSITO"/>
    <x v="125"/>
    <n v="0"/>
    <n v="1539316.63"/>
    <n v="1083780.22"/>
  </r>
  <r>
    <x v="3"/>
    <s v="3006 - TRANSPORTE TERRESTRE E TRANSITO"/>
    <x v="967"/>
    <n v="1020000"/>
    <n v="0"/>
    <n v="0"/>
  </r>
  <r>
    <x v="3"/>
    <s v="2218 - GESTAO DE RISCOS E DE DESASTRES"/>
    <x v="536"/>
    <n v="4081309.4"/>
    <n v="1217571.22"/>
    <n v="1147536.55"/>
  </r>
  <r>
    <x v="3"/>
    <s v="3006 - TRANSPORTE TERRESTRE E TRANSITO"/>
    <x v="411"/>
    <n v="0"/>
    <n v="0"/>
    <n v="0"/>
  </r>
  <r>
    <x v="3"/>
    <s v="3006 - TRANSPORTE TERRESTRE E TRANSITO"/>
    <x v="601"/>
    <n v="0"/>
    <n v="43997.34"/>
    <n v="43997.34"/>
  </r>
  <r>
    <x v="3"/>
    <s v="2221 - RECURSOS HIDRICOS"/>
    <x v="280"/>
    <n v="700000"/>
    <n v="0"/>
    <n v="0"/>
  </r>
  <r>
    <x v="3"/>
    <s v="2030 - EDUCACAO BASICA"/>
    <x v="1039"/>
    <n v="0"/>
    <n v="0"/>
    <n v="0"/>
  </r>
  <r>
    <x v="3"/>
    <s v="0030 - PROGRAMA DE GESTAO E MANUTENCAO DA DEFENSORIA PUBLICA DA UNIAO"/>
    <x v="131"/>
    <n v="0"/>
    <n v="4663.45"/>
    <n v="4663.45"/>
  </r>
  <r>
    <x v="3"/>
    <s v="5020 - DESENVOLVIMENTO CIENTIFICO, TECNOLOGICO E PRODUTIVO EM SAUDE"/>
    <x v="4"/>
    <n v="265549.63"/>
    <n v="164641"/>
    <n v="355637.65"/>
  </r>
  <r>
    <x v="3"/>
    <s v="3006 - TRANSPORTE TERRESTRE E TRANSITO"/>
    <x v="522"/>
    <n v="4901902.57"/>
    <n v="0"/>
    <n v="0"/>
  </r>
  <r>
    <x v="3"/>
    <s v="5021 - GESTAO E ORGANIZACAO DO SUS"/>
    <x v="482"/>
    <n v="6820711.1600000001"/>
    <n v="6798776.8499999996"/>
    <n v="6806236.9299999997"/>
  </r>
  <r>
    <x v="3"/>
    <s v="2204 - BRASIL NA FRONTEIRA DO CONHECIMENTO"/>
    <x v="208"/>
    <n v="384769.07"/>
    <n v="1033771.07"/>
    <n v="3266421.07"/>
  </r>
  <r>
    <x v="3"/>
    <s v="2126 - PROGRAMA DE GESTAO E MANUTENCAO DO MINISTERIO DA INFRAESTRUTURA"/>
    <x v="52"/>
    <n v="0"/>
    <n v="0"/>
    <n v="0"/>
  </r>
  <r>
    <x v="3"/>
    <s v="6012 - DEFESA NACIONAL"/>
    <x v="257"/>
    <n v="207332584.06999999"/>
    <n v="6675.1"/>
    <n v="6675.1"/>
  </r>
  <r>
    <x v="3"/>
    <s v="6012 - DEFESA NACIONAL"/>
    <x v="98"/>
    <n v="1598.64"/>
    <n v="93150.2"/>
    <n v="92438.57"/>
  </r>
  <r>
    <x v="3"/>
    <s v="2110 - PROGRAMA DE GESTAO E MANUTENCAO DO MINISTERIO DA ECONOMIA"/>
    <x v="575"/>
    <n v="0"/>
    <n v="0"/>
    <n v="0"/>
  </r>
  <r>
    <x v="3"/>
    <s v="3004 - AVIACAO CIVIL"/>
    <x v="813"/>
    <n v="0"/>
    <n v="0"/>
    <n v="0"/>
  </r>
  <r>
    <x v="3"/>
    <s v="1031 - AGROPECUARIA SUSTENTAVEL"/>
    <x v="259"/>
    <n v="0"/>
    <n v="1883648.46"/>
    <n v="1883648.46"/>
  </r>
  <r>
    <x v="3"/>
    <s v="5013 - EDUCACAO SUPERIOR - GRADUACAO, POS-GRADUACAO, ENSINO, PESQUISA E EXTENSAO"/>
    <x v="571"/>
    <n v="100276.62"/>
    <n v="77890.95"/>
    <n v="21883.39"/>
  </r>
  <r>
    <x v="3"/>
    <s v="6012 - DEFESA NACIONAL"/>
    <x v="856"/>
    <n v="4174999.98"/>
    <n v="0"/>
    <n v="0"/>
  </r>
  <r>
    <x v="3"/>
    <s v="2080 - EDUCACAO DE QUALIDADE PARA TODOS"/>
    <x v="859"/>
    <n v="0"/>
    <n v="0"/>
    <n v="0"/>
  </r>
  <r>
    <x v="3"/>
    <s v="3006 - TRANSPORTE TERRESTRE E TRANSITO"/>
    <x v="872"/>
    <n v="0"/>
    <n v="0"/>
    <n v="0"/>
  </r>
  <r>
    <x v="3"/>
    <s v="2208 - TECNOLOGIAS APLICADAS, INOVACAO E DESENVOLVIMENTO SUSTENTAVEL"/>
    <x v="179"/>
    <n v="2383297.35"/>
    <n v="2747862.95"/>
    <n v="128050.15"/>
  </r>
  <r>
    <x v="3"/>
    <s v="2021 - CIENCIA, TECNOLOGIA E INOVACAO"/>
    <x v="183"/>
    <n v="0"/>
    <n v="0"/>
    <n v="0"/>
  </r>
  <r>
    <x v="3"/>
    <s v="3002 - GEOLOGIA, MINERACAO E TRANSFORMACAO MINERAL"/>
    <x v="790"/>
    <n v="108765.04"/>
    <n v="24178.87"/>
    <n v="29357.61"/>
  </r>
  <r>
    <x v="3"/>
    <s v="5013 - EDUCACAO SUPERIOR - GRADUACAO, POS-GRADUACAO, ENSINO, PESQUISA E EXTENSAO"/>
    <x v="400"/>
    <n v="729272.2"/>
    <n v="824319.32"/>
    <n v="824319.32"/>
  </r>
  <r>
    <x v="3"/>
    <s v="2080 - EDUCACAO DE QUALIDADE PARA TODOS"/>
    <x v="501"/>
    <n v="0"/>
    <n v="0"/>
    <n v="0"/>
  </r>
  <r>
    <x v="3"/>
    <s v="0907 - OPERACOES ESPECIAIS: REFINANCIAMENTO DA DIVIDA INTERNA"/>
    <x v="328"/>
    <n v="50600000000"/>
    <n v="46435676838.559998"/>
    <n v="46435676838.559998"/>
  </r>
  <r>
    <x v="3"/>
    <s v="2221 - RECURSOS HIDRICOS"/>
    <x v="949"/>
    <n v="0"/>
    <n v="50000000"/>
    <n v="50000000"/>
  </r>
  <r>
    <x v="3"/>
    <s v="0903 - OPERACOES ESPECIAIS: TRANSFERENCIAS CONSTITUCIONAIS E AS DECORRENTES DE LEGISLACAO ESPECIFICA"/>
    <x v="623"/>
    <n v="56940429.549999997"/>
    <n v="56940779.390000001"/>
    <n v="57150346.340000004"/>
  </r>
  <r>
    <x v="3"/>
    <s v="3006 - TRANSPORTE TERRESTRE E TRANSITO"/>
    <x v="832"/>
    <n v="5517811.9400000004"/>
    <n v="0"/>
    <n v="0"/>
  </r>
  <r>
    <x v="3"/>
    <s v="0031 - PROGRAMA DE GESTAO E MANUTENCAO DO MINISTERIO PUBLICO"/>
    <x v="67"/>
    <n v="30456.25"/>
    <n v="102.4"/>
    <n v="102.4"/>
  </r>
  <r>
    <x v="3"/>
    <s v="0903 - OPERACOES ESPECIAIS: TRANSFERENCIAS CONSTITUCIONAIS E AS DECORRENTES DE LEGISLACAO ESPECIFICA"/>
    <x v="654"/>
    <n v="86146457"/>
    <n v="85930425.670000002"/>
    <n v="85564577.670000002"/>
  </r>
  <r>
    <x v="3"/>
    <s v="0032 - PROGRAMA DE GESTAO E MANUTENCAO DO PODER EXECUTIVO"/>
    <x v="679"/>
    <n v="3611.84"/>
    <n v="342627.57"/>
    <n v="294703.77"/>
  </r>
  <r>
    <x v="3"/>
    <s v="2081 - JUSTICA, CIDADANIA E SEGURANCA PUBLICA"/>
    <x v="469"/>
    <n v="0"/>
    <n v="0"/>
    <n v="0"/>
  </r>
  <r>
    <x v="3"/>
    <s v="2208 - TECNOLOGIAS APLICADAS, INOVACAO E DESENVOLVIMENTO SUSTENTAVEL"/>
    <x v="285"/>
    <n v="5699.84"/>
    <n v="6706024.4000000004"/>
    <n v="16378889.220000001"/>
  </r>
  <r>
    <x v="3"/>
    <s v="5013 - EDUCACAO SUPERIOR - GRADUACAO, POS-GRADUACAO, ENSINO, PESQUISA E EXTENSAO"/>
    <x v="850"/>
    <n v="0"/>
    <n v="0"/>
    <n v="0"/>
  </r>
  <r>
    <x v="3"/>
    <s v="0903 - OPERACOES ESPECIAIS: TRANSFERENCIAS CONSTITUCIONAIS E AS DECORRENTES DE LEGISLACAO ESPECIFICA"/>
    <x v="233"/>
    <n v="0"/>
    <n v="1410723363.0699999"/>
    <n v="1410723363.0699999"/>
  </r>
  <r>
    <x v="3"/>
    <s v="0903 - OPERACOES ESPECIAIS: TRANSFERENCIAS CONSTITUCIONAIS E AS DECORRENTES DE LEGISLACAO ESPECIFICA"/>
    <x v="457"/>
    <n v="257240172.18000001"/>
    <n v="245319840.53999999"/>
    <n v="250559525.05000001"/>
  </r>
  <r>
    <x v="3"/>
    <s v="5035 - PROMOCAO DE CIDADANIA POR MEIO DO AUXILIO BRASIL E DA ARTICULACAO DE POLITICAS PUBLICAS"/>
    <x v="200"/>
    <n v="0"/>
    <n v="0"/>
    <n v="0"/>
  </r>
  <r>
    <x v="3"/>
    <s v="0910 - OPERACOES ESPECIAIS: GESTAO DA PARTICIPACAO EM ORGANISMOS E ENTIDADES NACIONAIS E INTERNACIONAIS"/>
    <x v="1009"/>
    <n v="300000"/>
    <n v="52621.98"/>
    <n v="52621.98"/>
  </r>
  <r>
    <x v="3"/>
    <s v="1043 - QUALIDADE AMBIENTAL URBANA"/>
    <x v="109"/>
    <n v="229855.35"/>
    <n v="42680.42"/>
    <n v="42680.42"/>
  </r>
  <r>
    <x v="3"/>
    <s v="3001 - ENERGIA ELETRICA"/>
    <x v="106"/>
    <n v="23078792.59"/>
    <n v="3353538.52"/>
    <n v="2058159.29"/>
  </r>
  <r>
    <x v="3"/>
    <s v="5026 - ESPORTE"/>
    <x v="300"/>
    <n v="0"/>
    <n v="0"/>
    <n v="0"/>
  </r>
  <r>
    <x v="3"/>
    <s v="2213 - MODERNIZACAO TRABALHISTA E TRABALHO DIGNO"/>
    <x v="201"/>
    <n v="4706621019"/>
    <n v="4706621019"/>
    <n v="4706621019"/>
  </r>
  <r>
    <x v="3"/>
    <s v="0903 - OPERACOES ESPECIAIS: TRANSFERENCIAS CONSTITUCIONAIS E AS DECORRENTES DE LEGISLACAO ESPECIFICA"/>
    <x v="380"/>
    <n v="0"/>
    <n v="4968712.13"/>
    <n v="4968712.13"/>
  </r>
  <r>
    <x v="3"/>
    <s v="2209 - BRASIL, NOSSO PROPOSITO"/>
    <x v="137"/>
    <n v="0"/>
    <n v="46866.59"/>
    <n v="46866.59"/>
  </r>
  <r>
    <x v="3"/>
    <s v="2206 - POLITICA NUCLEAR"/>
    <x v="851"/>
    <n v="0"/>
    <n v="0"/>
    <n v="0"/>
  </r>
  <r>
    <x v="3"/>
    <s v="3006 - TRANSPORTE TERRESTRE E TRANSITO"/>
    <x v="1040"/>
    <n v="0"/>
    <n v="0"/>
    <n v="0"/>
  </r>
  <r>
    <x v="3"/>
    <s v="3005 - TRANSPORTE AQUAVIARIO"/>
    <x v="443"/>
    <n v="0"/>
    <n v="1237343.1599999999"/>
    <n v="1338445.51"/>
  </r>
  <r>
    <x v="3"/>
    <s v="2208 - TECNOLOGIAS APLICADAS, INOVACAO E DESENVOLVIMENTO SUSTENTAVEL"/>
    <x v="658"/>
    <n v="2638.1"/>
    <n v="2638.1"/>
    <n v="2638.1"/>
  </r>
  <r>
    <x v="3"/>
    <s v="3006 - TRANSPORTE TERRESTRE E TRANSITO"/>
    <x v="241"/>
    <n v="15000000"/>
    <n v="3538643.57"/>
    <n v="0"/>
  </r>
  <r>
    <x v="3"/>
    <s v="3004 - AVIACAO CIVIL"/>
    <x v="151"/>
    <n v="4369416"/>
    <n v="352016.67"/>
    <n v="352016.67"/>
  </r>
  <r>
    <x v="3"/>
    <s v="3006 - TRANSPORTE TERRESTRE E TRANSITO"/>
    <x v="309"/>
    <n v="0"/>
    <n v="0"/>
    <n v="0"/>
  </r>
  <r>
    <x v="3"/>
    <s v="2081 - JUSTICA, CIDADANIA E SEGURANCA PUBLICA"/>
    <x v="1041"/>
    <n v="0"/>
    <n v="0"/>
    <n v="0"/>
  </r>
  <r>
    <x v="3"/>
    <s v="6012 - DEFESA NACIONAL"/>
    <x v="337"/>
    <n v="-600000"/>
    <n v="0"/>
    <n v="0"/>
  </r>
  <r>
    <x v="3"/>
    <s v="6012 - DEFESA NACIONAL"/>
    <x v="442"/>
    <n v="363622.88"/>
    <n v="16784.63"/>
    <n v="12125.63"/>
  </r>
  <r>
    <x v="3"/>
    <s v="1041 - CONSERVACAO E USO SUSTENTAVEL DA BIODIVERSIDADE E DOS RECURSOS NATURAIS"/>
    <x v="718"/>
    <n v="104933.58"/>
    <n v="13789.17"/>
    <n v="13789.17"/>
  </r>
  <r>
    <x v="3"/>
    <s v="5026 - ESPORTE"/>
    <x v="947"/>
    <n v="0"/>
    <n v="0"/>
    <n v="0"/>
  </r>
  <r>
    <x v="3"/>
    <s v="5013 - EDUCACAO SUPERIOR - GRADUACAO, POS-GRADUACAO, ENSINO, PESQUISA E EXTENSAO"/>
    <x v="95"/>
    <n v="37630"/>
    <n v="0"/>
    <n v="0"/>
  </r>
  <r>
    <x v="3"/>
    <s v="6012 - DEFESA NACIONAL"/>
    <x v="951"/>
    <n v="0"/>
    <n v="42189.01"/>
    <n v="40462.68"/>
  </r>
  <r>
    <x v="3"/>
    <s v="5023 - VIGILANCIA EM SAUDE"/>
    <x v="145"/>
    <n v="162065148"/>
    <n v="160797000"/>
    <n v="160797000"/>
  </r>
  <r>
    <x v="3"/>
    <s v="3001 - ENERGIA ELETRICA"/>
    <x v="868"/>
    <n v="29000"/>
    <n v="54094.54"/>
    <n v="54733.760000000002"/>
  </r>
  <r>
    <x v="3"/>
    <s v="4003 - GARANTIA DA ESTABILIDADE MONETARIA E FINANCEIRA"/>
    <x v="625"/>
    <n v="2606730.46"/>
    <n v="1875402.13"/>
    <n v="2026565.37"/>
  </r>
  <r>
    <x v="3"/>
    <s v="0032 - PROGRAMA DE GESTAO E MANUTENCAO DO PODER EXECUTIVO"/>
    <x v="410"/>
    <n v="0"/>
    <n v="0"/>
    <n v="0"/>
  </r>
  <r>
    <x v="3"/>
    <s v="6012 - DEFESA NACIONAL"/>
    <x v="638"/>
    <n v="223926371.30000001"/>
    <n v="0"/>
    <n v="0"/>
  </r>
  <r>
    <x v="3"/>
    <s v="5025 - CULTURA"/>
    <x v="1042"/>
    <n v="47000"/>
    <n v="0"/>
    <n v="0"/>
  </r>
  <r>
    <x v="3"/>
    <s v="5033 - SEGURANCA ALIMENTAR E NUTRICIONAL"/>
    <x v="901"/>
    <n v="616814670"/>
    <n v="616814670"/>
    <n v="616814670"/>
  </r>
  <r>
    <x v="3"/>
    <s v="5020 - DESENVOLVIMENTO CIENTIFICO, TECNOLOGICO E PRODUTIVO EM SAUDE"/>
    <x v="612"/>
    <n v="6317036"/>
    <n v="0"/>
    <n v="0"/>
  </r>
  <r>
    <x v="3"/>
    <s v="5018 - ATENCAO ESPECIALIZADA A SAUDE"/>
    <x v="1043"/>
    <n v="1500000"/>
    <n v="1135422.23"/>
    <n v="1109040.1200000001"/>
  </r>
  <r>
    <x v="3"/>
    <s v="1058 - MUDANCA DO CLIMA"/>
    <x v="1044"/>
    <n v="100000"/>
    <n v="4289.32"/>
    <n v="2479.19"/>
  </r>
  <r>
    <x v="3"/>
    <s v="2212 - MELHORIA DO AMBIENTE DE NEGOCIOS E DA PRODUTIVIDADE"/>
    <x v="238"/>
    <n v="6372956.2699999996"/>
    <n v="710517.74"/>
    <n v="726778.63"/>
  </r>
  <r>
    <x v="3"/>
    <s v="0910 - OPERACOES ESPECIAIS: GESTAO DA PARTICIPACAO EM ORGANISMOS E ENTIDADES NACIONAIS E INTERNACIONAIS"/>
    <x v="962"/>
    <n v="0"/>
    <n v="0"/>
    <n v="0"/>
  </r>
  <r>
    <x v="3"/>
    <s v="2207 - PROGRAMA ESPACIAL BRASILEIRO"/>
    <x v="39"/>
    <n v="77691.600000000006"/>
    <n v="0"/>
    <n v="0"/>
  </r>
  <r>
    <x v="3"/>
    <s v="2208 - TECNOLOGIAS APLICADAS, INOVACAO E DESENVOLVIMENTO SUSTENTAVEL"/>
    <x v="333"/>
    <n v="0"/>
    <n v="40166"/>
    <n v="32183"/>
  </r>
  <r>
    <x v="3"/>
    <s v="2207 - PROGRAMA ESPACIAL BRASILEIRO"/>
    <x v="719"/>
    <n v="597550.18999999994"/>
    <n v="51436.49"/>
    <n v="51436.49"/>
  </r>
  <r>
    <x v="3"/>
    <s v="2012 - FORTALECIMENTO E DINAMIZACAO DA AGRICULTURA FAMILIAR"/>
    <x v="569"/>
    <n v="0"/>
    <n v="0"/>
    <n v="0"/>
  </r>
  <r>
    <x v="3"/>
    <s v="2080 - EDUCACAO DE QUALIDADE PARA TODOS"/>
    <x v="365"/>
    <n v="0"/>
    <n v="0"/>
    <n v="0"/>
  </r>
  <r>
    <x v="3"/>
    <s v="3006 - TRANSPORTE TERRESTRE E TRANSITO"/>
    <x v="860"/>
    <n v="0"/>
    <n v="0"/>
    <n v="0"/>
  </r>
  <r>
    <x v="3"/>
    <s v="5017 - ASSISTENCIA FARMACEUTICA NO SUS"/>
    <x v="229"/>
    <n v="4056501.84"/>
    <n v="26699653.789999999"/>
    <n v="26654608.280000001"/>
  </r>
  <r>
    <x v="3"/>
    <s v="2221 - RECURSOS HIDRICOS"/>
    <x v="1045"/>
    <n v="0"/>
    <n v="0"/>
    <n v="0"/>
  </r>
  <r>
    <x v="3"/>
    <s v="2214 - NOVA PREVIDENCIA"/>
    <x v="506"/>
    <n v="429640.74"/>
    <n v="227952.09"/>
    <n v="414580.63"/>
  </r>
  <r>
    <x v="3"/>
    <s v="2213 - MODERNIZACAO TRABALHISTA E TRABALHO DIGNO"/>
    <x v="1046"/>
    <n v="0"/>
    <n v="0"/>
    <n v="0"/>
  </r>
  <r>
    <x v="3"/>
    <s v="3001 - ENERGIA ELETRICA"/>
    <x v="581"/>
    <n v="10779340.33"/>
    <n v="1309894.56"/>
    <n v="1309894.56"/>
  </r>
  <r>
    <x v="3"/>
    <s v="2027 - CULTURA: DIMENSAO ESSENCIAL DO DESENVOLVIMENTO"/>
    <x v="118"/>
    <n v="0"/>
    <n v="0"/>
    <n v="0"/>
  </r>
  <r>
    <x v="3"/>
    <s v="5021 - GESTAO E ORGANIZACAO DO SUS"/>
    <x v="157"/>
    <n v="8363.0499999999993"/>
    <n v="780752.79"/>
    <n v="5885395.3300000001"/>
  </r>
  <r>
    <x v="3"/>
    <s v="0903 - OPERACOES ESPECIAIS: TRANSFERENCIAS CONSTITUCIONAIS E AS DECORRENTES DE LEGISLACAO ESPECIFICA"/>
    <x v="156"/>
    <n v="2964597223.9499998"/>
    <n v="2862209577.1500001"/>
    <n v="2862209577.1500001"/>
  </r>
  <r>
    <x v="3"/>
    <s v="1031 - AGROPECUARIA SUSTENTAVEL"/>
    <x v="77"/>
    <n v="0"/>
    <n v="0"/>
    <n v="0"/>
  </r>
  <r>
    <x v="3"/>
    <s v="4001 - COMUNICACAO PUBLICA E DIVULGACAO DE ATOS E MATERIAS DO GOVERNO FEDERAL"/>
    <x v="35"/>
    <n v="17038188.870000001"/>
    <n v="6395578.3200000003"/>
    <n v="6859846.3899999997"/>
  </r>
  <r>
    <x v="3"/>
    <s v="2211 - INSERCAO ECONOMICA INTERNACIONAL"/>
    <x v="158"/>
    <n v="0"/>
    <n v="15034161.66"/>
    <n v="15034161.66"/>
  </r>
  <r>
    <x v="3"/>
    <s v="5011 - EDUCACAO BASICA DE QUALIDADE"/>
    <x v="875"/>
    <n v="0"/>
    <n v="0"/>
    <n v="0"/>
  </r>
  <r>
    <x v="3"/>
    <s v="3003 - PETROLEO, GAS, DERIVADOS E BIOCOMBUSTIVEIS"/>
    <x v="704"/>
    <n v="3348583.81"/>
    <n v="1255600.1599999999"/>
    <n v="680227.01"/>
  </r>
  <r>
    <x v="3"/>
    <s v="2208 - TECNOLOGIAS APLICADAS, INOVACAO E DESENVOLVIMENTO SUSTENTAVEL"/>
    <x v="239"/>
    <n v="210000.5"/>
    <n v="17707.099999999999"/>
    <n v="17707.099999999999"/>
  </r>
  <r>
    <x v="3"/>
    <s v="5034 - PROTECAO A VIDA, FORTALECIMENTO DA FAMILIA, PROMOCAO E DEFESA DOS DIREITOS HUMANOS PARA TODOS"/>
    <x v="305"/>
    <n v="0"/>
    <n v="669153.04"/>
    <n v="669153.04"/>
  </r>
  <r>
    <x v="3"/>
    <s v="5023 - VIGILANCIA EM SAUDE"/>
    <x v="509"/>
    <n v="4562887.8600000003"/>
    <n v="1738412.28"/>
    <n v="1774277.71"/>
  </r>
  <r>
    <x v="3"/>
    <s v="5013 - EDUCACAO SUPERIOR - GRADUACAO, POS-GRADUACAO, ENSINO, PESQUISA E EXTENSAO"/>
    <x v="408"/>
    <n v="25666.639999999999"/>
    <n v="58277.27"/>
    <n v="54471.39"/>
  </r>
  <r>
    <x v="3"/>
    <s v="0910 - OPERACOES ESPECIAIS: GESTAO DA PARTICIPACAO EM ORGANISMOS E ENTIDADES NACIONAIS E INTERNACIONAIS"/>
    <x v="1047"/>
    <n v="3000000"/>
    <n v="1096549.1599999999"/>
    <n v="1096549.1599999999"/>
  </r>
  <r>
    <x v="3"/>
    <s v="2221 - RECURSOS HIDRICOS"/>
    <x v="486"/>
    <n v="3007033.53"/>
    <n v="104986"/>
    <n v="87509.26"/>
  </r>
  <r>
    <x v="3"/>
    <s v="3003 - PETROLEO, GAS, DERIVADOS E BIOCOMBUSTIVEIS"/>
    <x v="688"/>
    <n v="14572636.24"/>
    <n v="1355946.41"/>
    <n v="1942728.98"/>
  </r>
  <r>
    <x v="3"/>
    <s v="2214 - NOVA PREVIDENCIA"/>
    <x v="546"/>
    <n v="0"/>
    <n v="0"/>
    <n v="0"/>
  </r>
  <r>
    <x v="3"/>
    <s v="3006 - TRANSPORTE TERRESTRE E TRANSITO"/>
    <x v="416"/>
    <n v="7800113"/>
    <n v="9985902.9000000004"/>
    <n v="9985902.9000000004"/>
  </r>
  <r>
    <x v="3"/>
    <s v="1041 - CONSERVACAO E USO SUSTENTAVEL DA BIODIVERSIDADE E DOS RECURSOS NATURAIS"/>
    <x v="470"/>
    <n v="9603.1"/>
    <n v="91056.44"/>
    <n v="68349.990000000005"/>
  </r>
  <r>
    <x v="3"/>
    <s v="1031 - AGROPECUARIA SUSTENTAVEL"/>
    <x v="512"/>
    <n v="15804733.689999999"/>
    <n v="478501.49"/>
    <n v="540788.39"/>
  </r>
  <r>
    <x v="3"/>
    <s v="2084 - RECURSOS HIDRICOS"/>
    <x v="327"/>
    <n v="0"/>
    <n v="0"/>
    <n v="0"/>
  </r>
  <r>
    <x v="3"/>
    <s v="0902 - OPERACOES ESPECIAIS: FINANCIAMENTOS COM RETORNO"/>
    <x v="555"/>
    <n v="3000000"/>
    <n v="223577467.94"/>
    <n v="223568039.03999999"/>
  </r>
  <r>
    <x v="3"/>
    <s v="6014 - PREVENCAO E CONTROLE DO DESMATAMENTO E DOS INCENDIOS NOS BIOMAS"/>
    <x v="1048"/>
    <n v="2206000"/>
    <n v="409838.03"/>
    <n v="388802.62"/>
  </r>
  <r>
    <x v="3"/>
    <s v="5016 - SEGURANCA PUBLICA, COMBATE A CORRUPCAO, AO CRIME ORGANIZADO E AO CRIME VIOLENTO"/>
    <x v="636"/>
    <n v="318884.08"/>
    <n v="473434.08"/>
    <n v="473434.08"/>
  </r>
  <r>
    <x v="3"/>
    <s v="1031 - AGROPECUARIA SUSTENTAVEL"/>
    <x v="535"/>
    <n v="0"/>
    <n v="0"/>
    <n v="0"/>
  </r>
  <r>
    <x v="3"/>
    <s v="0151 - PROTECAO DE TERRAS INDIGENAS, GESTAO TERRITORIAL E ETNODESENVOLVIMENTO"/>
    <x v="459"/>
    <n v="0"/>
    <n v="0"/>
    <n v="0"/>
  </r>
  <r>
    <x v="3"/>
    <s v="1041 - CONSERVACAO E USO SUSTENTAVEL DA BIODIVERSIDADE E DOS RECURSOS NATURAIS"/>
    <x v="293"/>
    <n v="1120500"/>
    <n v="0"/>
    <n v="0"/>
  </r>
  <r>
    <x v="3"/>
    <s v="2080 - EDUCACAO DE QUALIDADE PARA TODOS"/>
    <x v="747"/>
    <n v="0"/>
    <n v="0"/>
    <n v="0"/>
  </r>
  <r>
    <x v="3"/>
    <s v="3005 - TRANSPORTE AQUAVIARIO"/>
    <x v="212"/>
    <n v="24465833.66"/>
    <n v="1539220.78"/>
    <n v="1420975.76"/>
  </r>
  <r>
    <x v="3"/>
    <s v="2221 - RECURSOS HIDRICOS"/>
    <x v="232"/>
    <n v="2634752.88"/>
    <n v="5650435.04"/>
    <n v="4139384.72"/>
  </r>
  <r>
    <x v="3"/>
    <s v="1058 - MUDANCA DO CLIMA"/>
    <x v="931"/>
    <n v="10302.19"/>
    <n v="27665.42"/>
    <n v="27665.42"/>
  </r>
  <r>
    <x v="3"/>
    <s v="5020 - DESENVOLVIMENTO CIENTIFICO, TECNOLOGICO E PRODUTIVO EM SAUDE"/>
    <x v="503"/>
    <n v="8763177.5899999999"/>
    <n v="2589483.91"/>
    <n v="2585238.86"/>
  </r>
  <r>
    <x v="3"/>
    <s v="2027 - CULTURA: DIMENSAO ESSENCIAL DO DESENVOLVIMENTO"/>
    <x v="271"/>
    <n v="0"/>
    <n v="0"/>
    <n v="0"/>
  </r>
  <r>
    <x v="3"/>
    <s v="2221 - RECURSOS HIDRICOS"/>
    <x v="1007"/>
    <n v="0"/>
    <n v="50000000"/>
    <n v="50000000"/>
  </r>
  <r>
    <x v="3"/>
    <s v="0910 - OPERACOES ESPECIAIS: GESTAO DA PARTICIPACAO EM ORGANISMOS E ENTIDADES NACIONAIS E INTERNACIONAIS"/>
    <x v="1013"/>
    <n v="-10877011.27"/>
    <n v="0"/>
    <n v="0"/>
  </r>
  <r>
    <x v="3"/>
    <s v="6012 - DEFESA NACIONAL"/>
    <x v="313"/>
    <n v="0"/>
    <n v="0"/>
    <n v="0"/>
  </r>
  <r>
    <x v="3"/>
    <s v="5011 - EDUCACAO BASICA DE QUALIDADE"/>
    <x v="1049"/>
    <n v="748890789.75"/>
    <n v="539311430"/>
    <n v="539311430"/>
  </r>
  <r>
    <x v="3"/>
    <s v="0909 - OPERACOES ESPECIAIS: OUTROS ENCARGOS ESPECIAIS"/>
    <x v="440"/>
    <n v="28181358.920000002"/>
    <n v="101851241.72"/>
    <n v="93403136.950000003"/>
  </r>
  <r>
    <x v="3"/>
    <s v="2223 - A HORA DO TURISMO"/>
    <x v="217"/>
    <n v="42950.34"/>
    <n v="108579.72"/>
    <n v="108288.8"/>
  </r>
  <r>
    <x v="3"/>
    <s v="3006 - TRANSPORTE TERRESTRE E TRANSITO"/>
    <x v="141"/>
    <n v="450000"/>
    <n v="0"/>
    <n v="0"/>
  </r>
  <r>
    <x v="3"/>
    <s v="5018 - ATENCAO ESPECIALIZADA A SAUDE"/>
    <x v="857"/>
    <n v="0"/>
    <n v="0"/>
    <n v="11796.06"/>
  </r>
  <r>
    <x v="3"/>
    <s v="2015 - FORTALECIMENTO DO SISTEMA UNICO DE SAUDE (SUS)"/>
    <x v="366"/>
    <n v="0"/>
    <n v="0"/>
    <n v="0"/>
  </r>
  <r>
    <x v="3"/>
    <s v="2221 - RECURSOS HIDRICOS"/>
    <x v="845"/>
    <n v="17042203"/>
    <n v="11262188.890000001"/>
    <n v="11262188.890000001"/>
  </r>
  <r>
    <x v="3"/>
    <s v="2063 - PROMOCAO E DEFESA DOS DIREITOS DE PESSOAS COM DEFICIENCIA"/>
    <x v="1050"/>
    <n v="0"/>
    <n v="0"/>
    <n v="0"/>
  </r>
  <r>
    <x v="3"/>
    <s v="0909 - OPERACOES ESPECIAIS: OUTROS ENCARGOS ESPECIAIS"/>
    <x v="600"/>
    <n v="-5147.05"/>
    <n v="11157847.109999999"/>
    <n v="9398075.3200000003"/>
  </r>
  <r>
    <x v="3"/>
    <s v="2015 - FORTALECIMENTO DO SISTEMA UNICO DE SAUDE (SUS)"/>
    <x v="245"/>
    <n v="0"/>
    <n v="0"/>
    <n v="0"/>
  </r>
  <r>
    <x v="3"/>
    <s v="5019 - ATENCAO PRIMARIA A SAUDE"/>
    <x v="771"/>
    <n v="0"/>
    <n v="0"/>
    <n v="0"/>
  </r>
  <r>
    <x v="3"/>
    <s v="2220 - MORADIA DIGNA"/>
    <x v="1051"/>
    <n v="0"/>
    <n v="0"/>
    <n v="0"/>
  </r>
  <r>
    <x v="3"/>
    <s v="2015 - FORTALECIMENTO DO SISTEMA UNICO DE SAUDE (SUS)"/>
    <x v="502"/>
    <n v="0"/>
    <n v="0"/>
    <n v="0"/>
  </r>
  <r>
    <x v="3"/>
    <s v="2215 - POLITICA ECONOMICA E EQUILIBRIO FISCAL"/>
    <x v="101"/>
    <n v="3975574.25"/>
    <n v="838696.81"/>
    <n v="938737.2"/>
  </r>
  <r>
    <x v="3"/>
    <s v="5021 - GESTAO E ORGANIZACAO DO SUS"/>
    <x v="593"/>
    <n v="12538086"/>
    <n v="-321912.28000000003"/>
    <n v="4324555.17"/>
  </r>
  <r>
    <x v="3"/>
    <s v="5017 - ASSISTENCIA FARMACEUTICA NO SUS"/>
    <x v="374"/>
    <n v="769603515.23000002"/>
    <n v="421318700.66000003"/>
    <n v="256134042.05000001"/>
  </r>
  <r>
    <x v="3"/>
    <s v="0910 - OPERACOES ESPECIAIS: GESTAO DA PARTICIPACAO EM ORGANISMOS E ENTIDADES NACIONAIS E INTERNACIONAIS"/>
    <x v="1052"/>
    <n v="3153259"/>
    <n v="0"/>
    <n v="0"/>
  </r>
  <r>
    <x v="3"/>
    <s v="2217 - DESENVOLVIMENTO REGIONAL, TERRITORIAL E URBANO"/>
    <x v="839"/>
    <n v="0"/>
    <n v="0"/>
    <n v="0"/>
  </r>
  <r>
    <x v="3"/>
    <s v="0903 - OPERACOES ESPECIAIS: TRANSFERENCIAS CONSTITUCIONAIS E AS DECORRENTES DE LEGISLACAO ESPECIFICA"/>
    <x v="64"/>
    <n v="0"/>
    <n v="10692168897.190001"/>
    <n v="10692168897.190001"/>
  </r>
  <r>
    <x v="3"/>
    <s v="2108 - PROGRAMA DE GESTAO E MANUTENCAO DO MINISTERIO DA DEFESA"/>
    <x v="52"/>
    <n v="0"/>
    <n v="0"/>
    <n v="0"/>
  </r>
  <r>
    <x v="3"/>
    <s v="3006 - TRANSPORTE TERRESTRE E TRANSITO"/>
    <x v="310"/>
    <n v="50000000"/>
    <n v="6065282.3700000001"/>
    <n v="6065282.3700000001"/>
  </r>
  <r>
    <x v="3"/>
    <s v="5018 - ATENCAO ESPECIALIZADA A SAUDE"/>
    <x v="1053"/>
    <n v="0"/>
    <n v="0"/>
    <n v="0"/>
  </r>
  <r>
    <x v="3"/>
    <s v="1031 - AGROPECUARIA SUSTENTAVEL"/>
    <x v="1054"/>
    <n v="380000"/>
    <n v="0"/>
    <n v="0"/>
  </r>
  <r>
    <x v="3"/>
    <s v="5014 - ESTATISTICAS E AVALIACOES EDUCACIONAIS"/>
    <x v="707"/>
    <n v="7570999.2800000003"/>
    <n v="3331641.29"/>
    <n v="3086291.38"/>
  </r>
  <r>
    <x v="3"/>
    <s v="2217 - DESENVOLVIMENTO REGIONAL, TERRITORIAL E URBANO"/>
    <x v="460"/>
    <n v="100000"/>
    <n v="0"/>
    <n v="0"/>
  </r>
  <r>
    <x v="3"/>
    <s v="2216 - POLITICA EXTERNA"/>
    <x v="362"/>
    <n v="-2832.09"/>
    <n v="-2832.09"/>
    <n v="-2832.09"/>
  </r>
  <r>
    <x v="3"/>
    <s v="5028 - INCLUSAO SOCIAL POR MEIO DO BOLSA FAMILIA E DA ARTICULACAO DE POLITICAS PUBLICAS"/>
    <x v="228"/>
    <n v="0"/>
    <n v="0"/>
    <n v="0"/>
  </r>
  <r>
    <x v="3"/>
    <s v="2029 - DESENVOLVIMENTO REGIONAL E TERRITORIAL"/>
    <x v="1055"/>
    <n v="0"/>
    <n v="0"/>
    <n v="0"/>
  </r>
  <r>
    <x v="3"/>
    <s v="2209 - BRASIL, NOSSO PROPOSITO"/>
    <x v="954"/>
    <n v="0"/>
    <n v="0"/>
    <n v="0"/>
  </r>
  <r>
    <x v="3"/>
    <s v="5023 - VIGILANCIA EM SAUDE"/>
    <x v="917"/>
    <n v="0"/>
    <n v="20471326"/>
    <n v="20471326"/>
  </r>
  <r>
    <x v="3"/>
    <s v="5013 - EDUCACAO SUPERIOR - GRADUACAO, POS-GRADUACAO, ENSINO, PESQUISA E EXTENSAO"/>
    <x v="409"/>
    <n v="7846000"/>
    <n v="4846000"/>
    <n v="4840013.2"/>
  </r>
  <r>
    <x v="3"/>
    <s v="0032 - PROGRAMA DE GESTAO E MANUTENCAO DO PODER EXECUTIVO"/>
    <x v="729"/>
    <n v="371457302.23000002"/>
    <n v="1941572292.46"/>
    <n v="1961559101.03"/>
  </r>
  <r>
    <x v="3"/>
    <s v="2204 - BRASIL NA FRONTEIRA DO CONHECIMENTO"/>
    <x v="37"/>
    <n v="150811422"/>
    <n v="0"/>
    <n v="0"/>
  </r>
  <r>
    <x v="3"/>
    <s v="5025 - CULTURA"/>
    <x v="1011"/>
    <n v="0"/>
    <n v="0"/>
    <n v="0"/>
  </r>
  <r>
    <x v="3"/>
    <s v="2222 - SANEAMENTO BASICO"/>
    <x v="554"/>
    <n v="0"/>
    <n v="0"/>
    <n v="0"/>
  </r>
  <r>
    <x v="3"/>
    <s v="4003 - GARANTIA DA ESTABILIDADE MONETARIA E FINANCEIRA"/>
    <x v="728"/>
    <n v="22549560.899999999"/>
    <n v="5548707.9500000002"/>
    <n v="5863581.6600000001"/>
  </r>
  <r>
    <x v="3"/>
    <s v="3002 - GEOLOGIA, MINERACAO E TRANSFORMACAO MINERAL"/>
    <x v="665"/>
    <n v="4828190.1500000004"/>
    <n v="354294.3"/>
    <n v="743215.06"/>
  </r>
  <r>
    <x v="3"/>
    <s v="2218 - GESTAO DE RISCOS E DE DESASTRES"/>
    <x v="716"/>
    <n v="113224.41"/>
    <n v="79223.08"/>
    <n v="78494.649999999994"/>
  </r>
  <r>
    <x v="3"/>
    <s v="3006 - TRANSPORTE TERRESTRE E TRANSITO"/>
    <x v="892"/>
    <n v="0"/>
    <n v="0"/>
    <n v="0"/>
  </r>
  <r>
    <x v="3"/>
    <s v="2208 - TECNOLOGIAS APLICADAS, INOVACAO E DESENVOLVIMENTO SUSTENTAVEL"/>
    <x v="922"/>
    <n v="0"/>
    <n v="0"/>
    <n v="390135.27"/>
  </r>
  <r>
    <x v="3"/>
    <s v="3006 - TRANSPORTE TERRESTRE E TRANSITO"/>
    <x v="841"/>
    <n v="18028188.600000001"/>
    <n v="0"/>
    <n v="0"/>
  </r>
  <r>
    <x v="3"/>
    <s v="2212 - MELHORIA DO AMBIENTE DE NEGOCIOS E DA PRODUTIVIDADE"/>
    <x v="903"/>
    <n v="4777315"/>
    <n v="703.59"/>
    <n v="1705.78"/>
  </r>
  <r>
    <x v="3"/>
    <s v="5025 - CULTURA"/>
    <x v="37"/>
    <n v="0"/>
    <n v="8500587"/>
    <n v="8500587"/>
  </r>
  <r>
    <x v="3"/>
    <s v="2222 - SANEAMENTO BASICO"/>
    <x v="449"/>
    <n v="0"/>
    <n v="0"/>
    <n v="0"/>
  </r>
  <r>
    <x v="3"/>
    <s v="2210 - EMPREGABILIDADE"/>
    <x v="803"/>
    <n v="0"/>
    <n v="0"/>
    <n v="0"/>
  </r>
  <r>
    <x v="3"/>
    <s v="5021 - GESTAO E ORGANIZACAO DO SUS"/>
    <x v="326"/>
    <n v="100000"/>
    <n v="0"/>
    <n v="0"/>
  </r>
  <r>
    <x v="3"/>
    <s v="5021 - GESTAO E ORGANIZACAO DO SUS"/>
    <x v="560"/>
    <n v="32380814.890000001"/>
    <n v="19866072.199999999"/>
    <n v="9188446.4199999999"/>
  </r>
  <r>
    <x v="3"/>
    <s v="2068 - SANEAMENTO BASICO"/>
    <x v="267"/>
    <n v="0"/>
    <n v="0"/>
    <n v="0"/>
  </r>
  <r>
    <x v="3"/>
    <s v="5024 - ATENCAO INTEGRAL A PRIMEIRA INFANCIA"/>
    <x v="998"/>
    <n v="33989753.689999998"/>
    <n v="33989753.689999998"/>
    <n v="33989753.689999998"/>
  </r>
  <r>
    <x v="3"/>
    <s v="2215 - POLITICA ECONOMICA E EQUILIBRIO FISCAL"/>
    <x v="364"/>
    <n v="68000"/>
    <n v="56004.66"/>
    <n v="56004.66"/>
  </r>
  <r>
    <x v="3"/>
    <s v="2204 - BRASIL NA FRONTEIRA DO CONHECIMENTO"/>
    <x v="117"/>
    <n v="0"/>
    <n v="0"/>
    <n v="0"/>
  </r>
  <r>
    <x v="3"/>
    <s v="6012 - DEFESA NACIONAL"/>
    <x v="500"/>
    <n v="525678607.26999998"/>
    <n v="388545.39"/>
    <n v="368168.15"/>
  </r>
  <r>
    <x v="3"/>
    <s v="6011 - COOPERACAO COM O DESENVOLVIMENTO NACIONAL"/>
    <x v="721"/>
    <n v="-6000"/>
    <n v="-503.08"/>
    <n v="-503.08"/>
  </r>
  <r>
    <x v="3"/>
    <s v="2212 - MELHORIA DO AMBIENTE DE NEGOCIOS E DA PRODUTIVIDADE"/>
    <x v="927"/>
    <n v="0"/>
    <n v="0"/>
    <n v="0"/>
  </r>
  <r>
    <x v="3"/>
    <s v="2221 - RECURSOS HIDRICOS"/>
    <x v="1006"/>
    <n v="0"/>
    <n v="50000000"/>
    <n v="50000000"/>
  </r>
  <r>
    <x v="3"/>
    <s v="1041 - CONSERVACAO E USO SUSTENTAVEL DA BIODIVERSIDADE E DOS RECURSOS NATURAIS"/>
    <x v="177"/>
    <n v="58380.84"/>
    <n v="49991.9"/>
    <n v="49991.9"/>
  </r>
  <r>
    <x v="3"/>
    <s v="2221 - RECURSOS HIDRICOS"/>
    <x v="513"/>
    <n v="1100000"/>
    <n v="790981.37"/>
    <n v="30607.32"/>
  </r>
  <r>
    <x v="3"/>
    <s v="3006 - TRANSPORTE TERRESTRE E TRANSITO"/>
    <x v="421"/>
    <n v="5179527.7"/>
    <n v="2683017.65"/>
    <n v="2659866.61"/>
  </r>
  <r>
    <x v="3"/>
    <s v="1041 - CONSERVACAO E USO SUSTENTAVEL DA BIODIVERSIDADE E DOS RECURSOS NATURAIS"/>
    <x v="744"/>
    <n v="96618.89"/>
    <n v="95624.01"/>
    <n v="44667.62"/>
  </r>
  <r>
    <x v="3"/>
    <s v="2015 - FORTALECIMENTO DO SISTEMA UNICO DE SAUDE (SUS)"/>
    <x v="292"/>
    <n v="0"/>
    <n v="0"/>
    <n v="0"/>
  </r>
  <r>
    <x v="3"/>
    <s v="5016 - SEGURANCA PUBLICA, COMBATE A CORRUPCAO, AO CRIME ORGANIZADO E AO CRIME VIOLENTO"/>
    <x v="469"/>
    <n v="13501368.17"/>
    <n v="13990523.65"/>
    <n v="13495348.15"/>
  </r>
  <r>
    <x v="3"/>
    <s v="2015 - FORTALECIMENTO DO SISTEMA UNICO DE SAUDE (SUS)"/>
    <x v="507"/>
    <n v="0"/>
    <n v="0"/>
    <n v="0"/>
  </r>
  <r>
    <x v="3"/>
    <s v="0033 - PROGRAMA DE GESTAO E MANUTENCAO DO PODER JUDICIARIO"/>
    <x v="547"/>
    <n v="-135.22"/>
    <n v="-135.22"/>
    <n v="-135.22"/>
  </r>
  <r>
    <x v="3"/>
    <s v="5016 - SEGURANCA PUBLICA, COMBATE A CORRUPCAO, AO CRIME ORGANIZADO E AO CRIME VIOLENTO"/>
    <x v="642"/>
    <n v="97594647"/>
    <n v="54423762.509999998"/>
    <n v="27222076.239999998"/>
  </r>
  <r>
    <x v="3"/>
    <s v="1031 - AGROPECUARIA SUSTENTAVEL"/>
    <x v="562"/>
    <n v="4785321.4800000004"/>
    <n v="628666.62"/>
    <n v="657020.79"/>
  </r>
  <r>
    <x v="3"/>
    <s v="3006 - TRANSPORTE TERRESTRE E TRANSITO"/>
    <x v="539"/>
    <n v="26000000"/>
    <n v="1333395.73"/>
    <n v="1333395.73"/>
  </r>
  <r>
    <x v="3"/>
    <s v="2208 - TECNOLOGIAS APLICADAS, INOVACAO E DESENVOLVIMENTO SUSTENTAVEL"/>
    <x v="823"/>
    <n v="0"/>
    <n v="0"/>
    <n v="0"/>
  </r>
  <r>
    <x v="3"/>
    <s v="5025 - CULTURA"/>
    <x v="271"/>
    <n v="1126831.79"/>
    <n v="1652.98"/>
    <n v="165716.18"/>
  </r>
  <r>
    <x v="3"/>
    <s v="0032 - PROGRAMA DE GESTAO E MANUTENCAO DO PODER EXECUTIVO"/>
    <x v="691"/>
    <n v="55000"/>
    <n v="58114.23"/>
    <n v="76614.83"/>
  </r>
  <r>
    <x v="3"/>
    <s v="5016 - SEGURANCA PUBLICA, COMBATE A CORRUPCAO, AO CRIME ORGANIZADO E AO CRIME VIOLENTO"/>
    <x v="754"/>
    <n v="758805.11"/>
    <n v="0"/>
    <n v="0"/>
  </r>
  <r>
    <x v="3"/>
    <s v="2080 - EDUCACAO DE QUALIDADE PARA TODOS"/>
    <x v="184"/>
    <n v="0"/>
    <n v="0"/>
    <n v="0"/>
  </r>
  <r>
    <x v="3"/>
    <s v="2208 - TECNOLOGIAS APLICADAS, INOVACAO E DESENVOLVIMENTO SUSTENTAVEL"/>
    <x v="675"/>
    <n v="374616.09"/>
    <n v="269509.51"/>
    <n v="271419.03999999998"/>
  </r>
  <r>
    <x v="3"/>
    <s v="2206 - POLITICA NUCLEAR"/>
    <x v="496"/>
    <n v="100000"/>
    <n v="38498.68"/>
    <n v="38498.68"/>
  </r>
  <r>
    <x v="3"/>
    <s v="0910 - OPERACOES ESPECIAIS: GESTAO DA PARTICIPACAO EM ORGANISMOS E ENTIDADES NACIONAIS E INTERNACIONAIS"/>
    <x v="1056"/>
    <n v="25003.5"/>
    <n v="25003.5"/>
    <n v="25003.5"/>
  </r>
  <r>
    <x v="3"/>
    <s v="2027 - CULTURA: DIMENSAO ESSENCIAL DO DESENVOLVIMENTO"/>
    <x v="488"/>
    <n v="0"/>
    <n v="0"/>
    <n v="0"/>
  </r>
  <r>
    <x v="3"/>
    <s v="2219 - MOBILIDADE URBANA"/>
    <x v="456"/>
    <n v="0"/>
    <n v="0"/>
    <n v="0"/>
  </r>
  <r>
    <x v="3"/>
    <s v="4002 - SEGURANCA INSTITUCIONAL"/>
    <x v="483"/>
    <n v="933205.86"/>
    <n v="925356.66"/>
    <n v="932504.07"/>
  </r>
  <r>
    <x v="3"/>
    <s v="2218 - GESTAO DE RISCOS E DE DESASTRES"/>
    <x v="912"/>
    <n v="15000"/>
    <n v="1519.71"/>
    <n v="1519.71"/>
  </r>
  <r>
    <x v="3"/>
    <s v="5021 - GESTAO E ORGANIZACAO DO SUS"/>
    <x v="477"/>
    <n v="100000"/>
    <n v="40798.620000000003"/>
    <n v="40798.620000000003"/>
  </r>
  <r>
    <x v="3"/>
    <s v="2206 - POLITICA NUCLEAR"/>
    <x v="659"/>
    <n v="6000"/>
    <n v="0"/>
    <n v="0"/>
  </r>
  <r>
    <x v="3"/>
    <s v="1040 - GOVERNANCA FUNDIARIA"/>
    <x v="281"/>
    <n v="1800"/>
    <n v="20712.330000000002"/>
    <n v="16679.810000000001"/>
  </r>
  <r>
    <x v="3"/>
    <s v="6012 - DEFESA NACIONAL"/>
    <x v="172"/>
    <n v="153"/>
    <n v="0"/>
    <n v="0"/>
  </r>
  <r>
    <x v="3"/>
    <s v="0909 - OPERACOES ESPECIAIS: OUTROS ENCARGOS ESPECIAIS"/>
    <x v="60"/>
    <n v="42977020.439999998"/>
    <n v="42977020.439999998"/>
    <n v="42977020.439999998"/>
  </r>
  <r>
    <x v="3"/>
    <s v="0910 - OPERACOES ESPECIAIS: GESTAO DA PARTICIPACAO EM ORGANISMOS E ENTIDADES NACIONAIS E INTERNACIONAIS"/>
    <x v="966"/>
    <n v="0"/>
    <n v="2043292.54"/>
    <n v="2043292.54"/>
  </r>
  <r>
    <x v="3"/>
    <s v="2222 - SANEAMENTO BASICO"/>
    <x v="611"/>
    <n v="0"/>
    <n v="0"/>
    <n v="0"/>
  </r>
  <r>
    <x v="3"/>
    <s v="5018 - ATENCAO ESPECIALIZADA A SAUDE"/>
    <x v="502"/>
    <n v="5460366.2300000004"/>
    <n v="5564920.1600000001"/>
    <n v="5564920.1600000001"/>
  </r>
  <r>
    <x v="3"/>
    <s v="6012 - DEFESA NACIONAL"/>
    <x v="301"/>
    <n v="9000000"/>
    <n v="0"/>
    <n v="0"/>
  </r>
  <r>
    <x v="3"/>
    <s v="2068 - SANEAMENTO BASICO"/>
    <x v="1057"/>
    <n v="0"/>
    <n v="0"/>
    <n v="0"/>
  </r>
  <r>
    <x v="3"/>
    <s v="2217 - DESENVOLVIMENTO REGIONAL, TERRITORIAL E URBANO"/>
    <x v="296"/>
    <n v="0"/>
    <n v="0"/>
    <n v="0"/>
  </r>
  <r>
    <x v="3"/>
    <s v="1031 - AGROPECUARIA SUSTENTAVEL"/>
    <x v="93"/>
    <n v="0"/>
    <n v="687210.5"/>
    <n v="687210.5"/>
  </r>
  <r>
    <x v="3"/>
    <s v="2216 - POLITICA EXTERNA"/>
    <x v="849"/>
    <n v="0"/>
    <n v="622"/>
    <n v="115692"/>
  </r>
  <r>
    <x v="3"/>
    <s v="6012 - DEFESA NACIONAL"/>
    <x v="75"/>
    <n v="2063293.57"/>
    <n v="38611.269999999997"/>
    <n v="30789.7"/>
  </r>
  <r>
    <x v="3"/>
    <s v="2029 - DESENVOLVIMENTO REGIONAL E TERRITORIAL"/>
    <x v="1058"/>
    <n v="0"/>
    <n v="0"/>
    <n v="0"/>
  </r>
  <r>
    <x v="3"/>
    <s v="2021 - CIENCIA, TECNOLOGIA E INOVACAO"/>
    <x v="11"/>
    <n v="0"/>
    <n v="0"/>
    <n v="0"/>
  </r>
  <r>
    <x v="3"/>
    <s v="6012 - DEFESA NACIONAL"/>
    <x v="580"/>
    <n v="214219.7"/>
    <n v="47963.74"/>
    <n v="47963.74"/>
  </r>
  <r>
    <x v="3"/>
    <s v="5025 - CULTURA"/>
    <x v="553"/>
    <n v="-70992.59"/>
    <n v="-55203.199999999997"/>
    <n v="-55203.199999999997"/>
  </r>
  <r>
    <x v="3"/>
    <s v="2217 - DESENVOLVIMENTO REGIONAL, TERRITORIAL E URBANO"/>
    <x v="1027"/>
    <n v="0"/>
    <n v="0"/>
    <n v="0"/>
  </r>
  <r>
    <x v="3"/>
    <s v="3006 - TRANSPORTE TERRESTRE E TRANSITO"/>
    <x v="938"/>
    <n v="0"/>
    <n v="0"/>
    <n v="0"/>
  </r>
  <r>
    <x v="3"/>
    <s v="2216 - POLITICA EXTERNA"/>
    <x v="734"/>
    <n v="261361.64"/>
    <n v="372853.09"/>
    <n v="355239.45"/>
  </r>
  <r>
    <x v="3"/>
    <s v="6012 - DEFESA NACIONAL"/>
    <x v="492"/>
    <n v="796508.17"/>
    <n v="513655.99"/>
    <n v="517444.75"/>
  </r>
  <r>
    <x v="3"/>
    <s v="1031 - AGROPECUARIA SUSTENTAVEL"/>
    <x v="899"/>
    <n v="263834.40000000002"/>
    <n v="505.93"/>
    <n v="505.93"/>
  </r>
  <r>
    <x v="3"/>
    <s v="5031 - PROTECAO SOCIAL NO AMBITO DO SISTEMA UNICO DE ASSISTENCIA SOCIAL (SUAS)"/>
    <x v="307"/>
    <n v="59229375.579999998"/>
    <n v="59573878.289999999"/>
    <n v="60601241.979999997"/>
  </r>
  <r>
    <x v="3"/>
    <s v="2205 - CONECTA BRASIL"/>
    <x v="250"/>
    <n v="1408112.79"/>
    <n v="546144.18000000005"/>
    <n v="545477.47"/>
  </r>
  <r>
    <x v="3"/>
    <s v="2208 - TECNOLOGIAS APLICADAS, INOVACAO E DESENVOLVIMENTO SUSTENTAVEL"/>
    <x v="916"/>
    <n v="0"/>
    <n v="0"/>
    <n v="0"/>
  </r>
  <r>
    <x v="3"/>
    <s v="2221 - RECURSOS HIDRICOS"/>
    <x v="484"/>
    <n v="79162391.260000005"/>
    <n v="4386652.57"/>
    <n v="2278889.5"/>
  </r>
  <r>
    <x v="3"/>
    <s v="0903 - OPERACOES ESPECIAIS: TRANSFERENCIAS CONSTITUCIONAIS E AS DECORRENTES DE LEGISLACAO ESPECIFICA"/>
    <x v="2"/>
    <n v="-19630500"/>
    <n v="5572373295.9200001"/>
    <n v="5572373295.9200001"/>
  </r>
  <r>
    <x v="3"/>
    <s v="2206 - POLITICA NUCLEAR"/>
    <x v="708"/>
    <n v="694612.1"/>
    <n v="593561.64"/>
    <n v="593561.64"/>
  </r>
  <r>
    <x v="3"/>
    <s v="2080 - EDUCACAO DE QUALIDADE PARA TODOS"/>
    <x v="798"/>
    <n v="0"/>
    <n v="0"/>
    <n v="0"/>
  </r>
  <r>
    <x v="3"/>
    <s v="3006 - TRANSPORTE TERRESTRE E TRANSITO"/>
    <x v="827"/>
    <n v="13121491.6"/>
    <n v="0"/>
    <n v="0"/>
  </r>
  <r>
    <x v="3"/>
    <s v="2221 - RECURSOS HIDRICOS"/>
    <x v="194"/>
    <n v="0"/>
    <n v="0"/>
    <n v="6051.15"/>
  </r>
  <r>
    <x v="3"/>
    <s v="2081 - JUSTICA, CIDADANIA E SEGURANCA PUBLICA"/>
    <x v="958"/>
    <n v="0"/>
    <n v="0"/>
    <n v="0"/>
  </r>
  <r>
    <x v="3"/>
    <s v="5026 - ESPORTE"/>
    <x v="57"/>
    <n v="0"/>
    <n v="0"/>
    <n v="0"/>
  </r>
  <r>
    <x v="3"/>
    <s v="3006 - TRANSPORTE TERRESTRE E TRANSITO"/>
    <x v="537"/>
    <n v="58506310.659999996"/>
    <n v="295373.14"/>
    <n v="295373.14"/>
  </r>
  <r>
    <x v="3"/>
    <s v="6012 - DEFESA NACIONAL"/>
    <x v="254"/>
    <n v="1015051955.97"/>
    <n v="-122.57"/>
    <n v="-122.57"/>
  </r>
  <r>
    <x v="3"/>
    <s v="2208 - TECNOLOGIAS APLICADAS, INOVACAO E DESENVOLVIMENTO SUSTENTAVEL"/>
    <x v="218"/>
    <n v="22558392.030000001"/>
    <n v="7710982.79"/>
    <n v="24111171.489999998"/>
  </r>
  <r>
    <x v="3"/>
    <s v="3006 - TRANSPORTE TERRESTRE E TRANSITO"/>
    <x v="334"/>
    <n v="55643229.799999997"/>
    <n v="0"/>
    <n v="0"/>
  </r>
  <r>
    <x v="3"/>
    <s v="6012 - DEFESA NACIONAL"/>
    <x v="210"/>
    <n v="0"/>
    <n v="0"/>
    <n v="0"/>
  </r>
  <r>
    <x v="3"/>
    <s v="0033 - PROGRAMA DE GESTAO E MANUTENCAO DO PODER JUDICIARIO"/>
    <x v="415"/>
    <n v="0"/>
    <n v="0"/>
    <n v="100000"/>
  </r>
  <r>
    <x v="3"/>
    <s v="0032 - PROGRAMA DE GESTAO E MANUTENCAO DO PODER EXECUTIVO"/>
    <x v="722"/>
    <n v="1604385.83"/>
    <n v="1047658.95"/>
    <n v="1029369.18"/>
  </r>
  <r>
    <x v="3"/>
    <s v="2208 - TECNOLOGIAS APLICADAS, INOVACAO E DESENVOLVIMENTO SUSTENTAVEL"/>
    <x v="260"/>
    <n v="10502555"/>
    <n v="10402555"/>
    <n v="24934262.52"/>
  </r>
  <r>
    <x v="3"/>
    <s v="5023 - VIGILANCIA EM SAUDE"/>
    <x v="115"/>
    <n v="113827366.13"/>
    <n v="113801874.88"/>
    <n v="113801874.88"/>
  </r>
  <r>
    <x v="3"/>
    <s v="2221 - RECURSOS HIDRICOS"/>
    <x v="327"/>
    <n v="0"/>
    <n v="0"/>
    <n v="0"/>
  </r>
  <r>
    <x v="3"/>
    <s v="0032 - PROGRAMA DE GESTAO E MANUTENCAO DO PODER EXECUTIVO"/>
    <x v="946"/>
    <n v="0"/>
    <n v="2391601.31"/>
    <n v="2338986.08"/>
  </r>
  <r>
    <x v="3"/>
    <s v="5021 - GESTAO E ORGANIZACAO DO SUS"/>
    <x v="49"/>
    <n v="1057152.97"/>
    <n v="1160415.02"/>
    <n v="0"/>
  </r>
  <r>
    <x v="3"/>
    <s v="2207 - PROGRAMA ESPACIAL BRASILEIRO"/>
    <x v="381"/>
    <n v="2637071.41"/>
    <n v="910978.39"/>
    <n v="789393.63"/>
  </r>
  <r>
    <x v="3"/>
    <s v="5025 - CULTURA"/>
    <x v="118"/>
    <n v="0"/>
    <n v="0"/>
    <n v="0"/>
  </r>
  <r>
    <x v="3"/>
    <s v="2212 - MELHORIA DO AMBIENTE DE NEGOCIOS E DA PRODUTIVIDADE"/>
    <x v="887"/>
    <n v="50000"/>
    <n v="4664.71"/>
    <n v="4223.49"/>
  </r>
  <r>
    <x v="3"/>
    <s v="3006 - TRANSPORTE TERRESTRE E TRANSITO"/>
    <x v="838"/>
    <n v="29895465.41"/>
    <n v="13645625.16"/>
    <n v="13645625.16"/>
  </r>
  <r>
    <x v="3"/>
    <s v="0032 - PROGRAMA DE GESTAO E MANUTENCAO DO PODER EXECUTIVO"/>
    <x v="653"/>
    <n v="6320000"/>
    <n v="33603344.770000003"/>
    <n v="10806892.77"/>
  </r>
  <r>
    <x v="3"/>
    <s v="5023 - VIGILANCIA EM SAUDE"/>
    <x v="494"/>
    <n v="4750065.32"/>
    <n v="176761.84"/>
    <n v="170345.02"/>
  </r>
  <r>
    <x v="3"/>
    <s v="3006 - TRANSPORTE TERRESTRE E TRANSITO"/>
    <x v="510"/>
    <n v="428349.72"/>
    <n v="134841.94"/>
    <n v="263926.84999999998"/>
  </r>
  <r>
    <x v="3"/>
    <s v="2222 - SANEAMENTO BASICO"/>
    <x v="904"/>
    <n v="15000"/>
    <n v="8935.82"/>
    <n v="44196.46"/>
  </r>
  <r>
    <x v="3"/>
    <s v="3006 - TRANSPORTE TERRESTRE E TRANSITO"/>
    <x v="673"/>
    <n v="943338"/>
    <n v="0"/>
    <n v="0"/>
  </r>
  <r>
    <x v="3"/>
    <s v="1041 - CONSERVACAO E USO SUSTENTAVEL DA BIODIVERSIDADE E DOS RECURSOS NATURAIS"/>
    <x v="604"/>
    <n v="35870.230000000003"/>
    <n v="159248.94"/>
    <n v="183702.08"/>
  </r>
  <r>
    <x v="3"/>
    <s v="2204 - BRASIL NA FRONTEIRA DO CONHECIMENTO"/>
    <x v="674"/>
    <n v="0"/>
    <n v="0"/>
    <n v="0"/>
  </r>
  <r>
    <x v="3"/>
    <s v="4002 - SEGURANCA INSTITUCIONAL"/>
    <x v="193"/>
    <n v="48800"/>
    <n v="19922.02"/>
    <n v="19922.02"/>
  </r>
  <r>
    <x v="3"/>
    <s v="5023 - VIGILANCIA EM SAUDE"/>
    <x v="207"/>
    <n v="138748928.00999999"/>
    <n v="350565656.14999998"/>
    <n v="249096806.83000001"/>
  </r>
  <r>
    <x v="3"/>
    <s v="2108 - PROGRAMA DE GESTAO E MANUTENCAO DO MINISTERIO DA DEFESA"/>
    <x v="796"/>
    <n v="0"/>
    <n v="0"/>
    <n v="0"/>
  </r>
  <r>
    <x v="3"/>
    <s v="2204 - BRASIL NA FRONTEIRA DO CONHECIMENTO"/>
    <x v="183"/>
    <n v="87940827.450000003"/>
    <n v="133920476"/>
    <n v="79769784.370000005"/>
  </r>
  <r>
    <x v="3"/>
    <s v="6012 - DEFESA NACIONAL"/>
    <x v="542"/>
    <n v="0"/>
    <n v="0"/>
    <n v="0"/>
  </r>
  <r>
    <x v="3"/>
    <s v="2084 - RECURSOS HIDRICOS"/>
    <x v="203"/>
    <n v="0"/>
    <n v="0"/>
    <n v="0"/>
  </r>
  <r>
    <x v="3"/>
    <s v="1041 - CONSERVACAO E USO SUSTENTAVEL DA BIODIVERSIDADE E DOS RECURSOS NATURAIS"/>
    <x v="164"/>
    <n v="30508.03"/>
    <n v="395678.1"/>
    <n v="395334.46"/>
  </r>
  <r>
    <x v="3"/>
    <s v="2217 - DESENVOLVIMENTO REGIONAL, TERRITORIAL E URBANO"/>
    <x v="527"/>
    <n v="200000"/>
    <n v="4666391.24"/>
    <n v="9130271.75"/>
  </r>
  <r>
    <x v="3"/>
    <s v="0909 - OPERACOES ESPECIAIS: OUTROS ENCARGOS ESPECIAIS"/>
    <x v="112"/>
    <n v="5928652.5"/>
    <n v="5928652.5"/>
    <n v="5928652.5"/>
  </r>
  <r>
    <x v="3"/>
    <s v="2221 - RECURSOS HIDRICOS"/>
    <x v="663"/>
    <n v="31540092.170000002"/>
    <n v="4375274.08"/>
    <n v="2553849.17"/>
  </r>
  <r>
    <x v="3"/>
    <s v="0901 - OPERACOES ESPECIAIS: CUMPRIMENTO DE SENTENCAS JUDICIAIS"/>
    <x v="684"/>
    <n v="3010384.54"/>
    <n v="72436148.310000002"/>
    <n v="73829432.239999995"/>
  </r>
  <r>
    <x v="3"/>
    <s v="1031 - AGROPECUARIA SUSTENTAVEL"/>
    <x v="608"/>
    <n v="303005.63"/>
    <n v="249843.95"/>
    <n v="190315.7"/>
  </r>
  <r>
    <x v="3"/>
    <s v="4003 - GARANTIA DA ESTABILIDADE MONETARIA E FINANCEIRA"/>
    <x v="358"/>
    <n v="160807.19"/>
    <n v="174289.58"/>
    <n v="174289.58"/>
  </r>
  <r>
    <x v="3"/>
    <s v="2211 - INSERCAO ECONOMICA INTERNACIONAL"/>
    <x v="182"/>
    <n v="1039569"/>
    <n v="0"/>
    <n v="0"/>
  </r>
  <r>
    <x v="3"/>
    <s v="0903 - OPERACOES ESPECIAIS: TRANSFERENCIAS CONSTITUCIONAIS E AS DECORRENTES DE LEGISLACAO ESPECIFICA"/>
    <x v="128"/>
    <n v="165316091.91999999"/>
    <n v="165277354.30000001"/>
    <n v="164755713.63999999"/>
  </r>
  <r>
    <x v="3"/>
    <s v="2015 - FORTALECIMENTO DO SISTEMA UNICO DE SAUDE (SUS)"/>
    <x v="479"/>
    <n v="0"/>
    <n v="0"/>
    <n v="0"/>
  </r>
  <r>
    <x v="3"/>
    <s v="2221 - RECURSOS HIDRICOS"/>
    <x v="149"/>
    <n v="2400"/>
    <n v="5956487.4500000002"/>
    <n v="7850269.6600000001"/>
  </r>
  <r>
    <x v="3"/>
    <s v="3006 - TRANSPORTE TERRESTRE E TRANSITO"/>
    <x v="481"/>
    <n v="0"/>
    <n v="5590564.6900000004"/>
    <n v="5749037.8300000001"/>
  </r>
  <r>
    <x v="3"/>
    <s v="5026 - ESPORTE"/>
    <x v="248"/>
    <n v="2138603.4700000002"/>
    <n v="979468.18"/>
    <n v="974103.09"/>
  </r>
  <r>
    <x v="3"/>
    <s v="6012 - DEFESA NACIONAL"/>
    <x v="321"/>
    <n v="40049779.049999997"/>
    <n v="8848965.25"/>
    <n v="8848965.25"/>
  </r>
  <r>
    <x v="3"/>
    <s v="2015 - FORTALECIMENTO DO SISTEMA UNICO DE SAUDE (SUS)"/>
    <x v="286"/>
    <n v="0"/>
    <n v="0"/>
    <n v="0"/>
  </r>
  <r>
    <x v="3"/>
    <s v="2213 - MODERNIZACAO TRABALHISTA E TRABALHO DIGNO"/>
    <x v="159"/>
    <n v="216099.38"/>
    <n v="2371.91"/>
    <n v="5208.28"/>
  </r>
  <r>
    <x v="3"/>
    <s v="2029 - DESENVOLVIMENTO REGIONAL E TERRITORIAL"/>
    <x v="632"/>
    <n v="0"/>
    <n v="0"/>
    <n v="0"/>
  </r>
  <r>
    <x v="3"/>
    <s v="2208 - TECNOLOGIAS APLICADAS, INOVACAO E DESENVOLVIMENTO SUSTENTAVEL"/>
    <x v="189"/>
    <n v="0"/>
    <n v="0"/>
    <n v="0"/>
  </r>
  <r>
    <x v="3"/>
    <s v="2080 - EDUCACAO DE QUALIDADE PARA TODOS"/>
    <x v="396"/>
    <n v="0"/>
    <n v="0"/>
    <n v="0"/>
  </r>
  <r>
    <x v="3"/>
    <s v="3006 - TRANSPORTE TERRESTRE E TRANSITO"/>
    <x v="277"/>
    <n v="161641.68"/>
    <n v="127472.52"/>
    <n v="96540.31"/>
  </r>
  <r>
    <x v="3"/>
    <s v="3006 - TRANSPORTE TERRESTRE E TRANSITO"/>
    <x v="671"/>
    <n v="46500000"/>
    <n v="0"/>
    <n v="0"/>
  </r>
  <r>
    <x v="3"/>
    <s v="2221 - RECURSOS HIDRICOS"/>
    <x v="615"/>
    <n v="135836.20000000001"/>
    <n v="69951.039999999994"/>
    <n v="47083.54"/>
  </r>
  <r>
    <x v="3"/>
    <s v="0903 - OPERACOES ESPECIAIS: TRANSFERENCIAS CONSTITUCIONAIS E AS DECORRENTES DE LEGISLACAO ESPECIFICA"/>
    <x v="670"/>
    <n v="42974515.490000002"/>
    <n v="42928463.32"/>
    <n v="43176640.079999998"/>
  </r>
  <r>
    <x v="3"/>
    <s v="6013 - OCEANOS, ZONA COSTEIRA E ANTARTICA"/>
    <x v="778"/>
    <n v="91310.62"/>
    <n v="51541.26"/>
    <n v="59503.31"/>
  </r>
  <r>
    <x v="3"/>
    <s v="2214 - NOVA PREVIDENCIA"/>
    <x v="345"/>
    <n v="146282949.11000001"/>
    <n v="25823123.789999999"/>
    <n v="25823123.789999999"/>
  </r>
  <r>
    <x v="3"/>
    <s v="6016 - EDUCACAO ESPECIAL"/>
    <x v="249"/>
    <n v="7357823.8399999999"/>
    <n v="2092476.54"/>
    <n v="2655295.1800000002"/>
  </r>
  <r>
    <x v="3"/>
    <s v="5013 - EDUCACAO SUPERIOR - GRADUACAO, POS-GRADUACAO, ENSINO, PESQUISA E EXTENSAO"/>
    <x v="123"/>
    <n v="28773900"/>
    <n v="14499100"/>
    <n v="14499100"/>
  </r>
  <r>
    <x v="3"/>
    <s v="2221 - RECURSOS HIDRICOS"/>
    <x v="573"/>
    <n v="71000"/>
    <n v="13312.66"/>
    <n v="12112.36"/>
  </r>
  <r>
    <x v="3"/>
    <s v="5018 - ATENCAO ESPECIALIZADA A SAUDE"/>
    <x v="292"/>
    <n v="9703778.5099999998"/>
    <n v="5551725.9000000004"/>
    <n v="8585223.5099999998"/>
  </r>
  <r>
    <x v="3"/>
    <s v="3006 - TRANSPORTE TERRESTRE E TRANSITO"/>
    <x v="274"/>
    <n v="0"/>
    <n v="28490.85"/>
    <n v="28490.85"/>
  </r>
  <r>
    <x v="3"/>
    <s v="5013 - EDUCACAO SUPERIOR - GRADUACAO, POS-GRADUACAO, ENSINO, PESQUISA E EXTENSAO"/>
    <x v="258"/>
    <n v="806428.2"/>
    <n v="0"/>
    <n v="0"/>
  </r>
  <r>
    <x v="3"/>
    <s v="5031 - PROTECAO SOCIAL NO AMBITO DO SISTEMA UNICO DE ASSISTENCIA SOCIAL (SUAS)"/>
    <x v="197"/>
    <n v="0"/>
    <n v="97708.11"/>
    <n v="97708.11"/>
  </r>
  <r>
    <x v="3"/>
    <s v="2015 - FORTALECIMENTO DO SISTEMA UNICO DE SAUDE (SUS)"/>
    <x v="866"/>
    <n v="0"/>
    <n v="0"/>
    <n v="0"/>
  </r>
  <r>
    <x v="3"/>
    <s v="2111 - PROGRAMA DE GESTAO E MANUTENCAO DO MINISTERIO DO DESENVOLVIMENTO REGIONAL"/>
    <x v="52"/>
    <n v="0"/>
    <n v="0"/>
    <n v="0"/>
  </r>
  <r>
    <x v="3"/>
    <s v="5021 - GESTAO E ORGANIZACAO DO SUS"/>
    <x v="245"/>
    <n v="300000"/>
    <n v="0"/>
    <n v="0"/>
  </r>
  <r>
    <x v="3"/>
    <s v="5033 - SEGURANCA ALIMENTAR E NUTRICIONAL"/>
    <x v="564"/>
    <n v="0"/>
    <n v="0"/>
    <n v="0"/>
  </r>
  <r>
    <x v="3"/>
    <s v="3006 - TRANSPORTE TERRESTRE E TRANSITO"/>
    <x v="531"/>
    <n v="26050000"/>
    <n v="0"/>
    <n v="0"/>
  </r>
  <r>
    <x v="3"/>
    <s v="2221 - RECURSOS HIDRICOS"/>
    <x v="22"/>
    <n v="0"/>
    <n v="0"/>
    <n v="0"/>
  </r>
  <r>
    <x v="3"/>
    <s v="5015 - JUSTICA"/>
    <x v="308"/>
    <n v="5231243.84"/>
    <n v="9973.44"/>
    <n v="3540.4"/>
  </r>
  <r>
    <x v="3"/>
    <s v="0033 - PROGRAMA DE GESTAO E MANUTENCAO DO PODER JUDICIARIO"/>
    <x v="205"/>
    <n v="0"/>
    <n v="1350"/>
    <n v="0"/>
  </r>
  <r>
    <x v="3"/>
    <s v="2208 - TECNOLOGIAS APLICADAS, INOVACAO E DESENVOLVIMENTO SUSTENTAVEL"/>
    <x v="191"/>
    <n v="-191844.16"/>
    <n v="1289795.0900000001"/>
    <n v="1298322.56"/>
  </r>
  <r>
    <x v="3"/>
    <s v="5018 - ATENCAO ESPECIALIZADA A SAUDE"/>
    <x v="318"/>
    <n v="0"/>
    <n v="0"/>
    <n v="0"/>
  </r>
  <r>
    <x v="3"/>
    <s v="6013 - OCEANOS, ZONA COSTEIRA E ANTARTICA"/>
    <x v="764"/>
    <n v="417206.6"/>
    <n v="501380.7"/>
    <n v="601259.69999999995"/>
  </r>
  <r>
    <x v="3"/>
    <s v="6012 - DEFESA NACIONAL"/>
    <x v="243"/>
    <n v="14436452.630000001"/>
    <n v="1960355.4"/>
    <n v="1616673.91"/>
  </r>
  <r>
    <x v="3"/>
    <s v="2217 - DESENVOLVIMENTO REGIONAL, TERRITORIAL E URBANO"/>
    <x v="545"/>
    <n v="0"/>
    <n v="0"/>
    <n v="0"/>
  </r>
  <r>
    <x v="3"/>
    <s v="0032 - PROGRAMA DE GESTAO E MANUTENCAO DO PODER EXECUTIVO"/>
    <x v="446"/>
    <n v="71848761.799999997"/>
    <n v="1307998.97"/>
    <n v="1307998.97"/>
  </r>
  <r>
    <x v="3"/>
    <s v="2209 - BRASIL, NOSSO PROPOSITO"/>
    <x v="428"/>
    <n v="-139369.79"/>
    <n v="68580.800000000003"/>
    <n v="64687.23"/>
  </r>
  <r>
    <x v="3"/>
    <s v="2207 - PROGRAMA ESPACIAL BRASILEIRO"/>
    <x v="45"/>
    <n v="426548.2"/>
    <n v="13512.35"/>
    <n v="13512.35"/>
  </r>
  <r>
    <x v="3"/>
    <s v="1040 - GOVERNANCA FUNDIARIA"/>
    <x v="905"/>
    <n v="149976.5"/>
    <n v="59223"/>
    <n v="50485.599999999999"/>
  </r>
  <r>
    <x v="3"/>
    <s v="1031 - AGROPECUARIA SUSTENTAVEL"/>
    <x v="192"/>
    <n v="0"/>
    <n v="0"/>
    <n v="0"/>
  </r>
  <r>
    <x v="3"/>
    <s v="0032 - PROGRAMA DE GESTAO E MANUTENCAO DO PODER EXECUTIVO"/>
    <x v="357"/>
    <n v="589796316.25"/>
    <n v="2374371608.4899998"/>
    <n v="2371534929.9099998"/>
  </r>
  <r>
    <x v="3"/>
    <s v="0032 - PROGRAMA DE GESTAO E MANUTENCAO DO PODER EXECUTIVO"/>
    <x v="435"/>
    <n v="121097.72"/>
    <n v="82993.66"/>
    <n v="82993.66"/>
  </r>
  <r>
    <x v="3"/>
    <s v="5016 - SEGURANCA PUBLICA, COMBATE A CORRUPCAO, AO CRIME ORGANIZADO E AO CRIME VIOLENTO"/>
    <x v="814"/>
    <n v="0"/>
    <n v="78317.86"/>
    <n v="78317.86"/>
  </r>
  <r>
    <x v="3"/>
    <s v="2222 - SANEAMENTO BASICO"/>
    <x v="444"/>
    <n v="0"/>
    <n v="0"/>
    <n v="0"/>
  </r>
  <r>
    <x v="3"/>
    <s v="0033 - PROGRAMA DE GESTAO E MANUTENCAO DO PODER JUDICIARIO"/>
    <x v="376"/>
    <n v="83004.070000000007"/>
    <n v="4377.7299999999996"/>
    <n v="0"/>
  </r>
  <r>
    <x v="3"/>
    <s v="5021 - GESTAO E ORGANIZACAO DO SUS"/>
    <x v="695"/>
    <n v="0"/>
    <n v="111321.77"/>
    <n v="111057.02"/>
  </r>
  <r>
    <x v="3"/>
    <s v="2035 - ESPORTE, CIDADANIA E DESENVOLVIMENTO"/>
    <x v="533"/>
    <n v="0"/>
    <n v="0"/>
    <n v="0"/>
  </r>
  <r>
    <x v="3"/>
    <s v="5023 - VIGILANCIA EM SAUDE"/>
    <x v="247"/>
    <n v="23920538.949999999"/>
    <n v="2547371.04"/>
    <n v="46225960.890000001"/>
  </r>
  <r>
    <x v="3"/>
    <s v="2221 - RECURSOS HIDRICOS"/>
    <x v="262"/>
    <n v="0"/>
    <n v="0"/>
    <n v="0"/>
  </r>
  <r>
    <x v="3"/>
    <s v="0032 - PROGRAMA DE GESTAO E MANUTENCAO DO PODER EXECUTIVO"/>
    <x v="495"/>
    <n v="9396203.5800000001"/>
    <n v="24618750.710000001"/>
    <n v="24613885.16"/>
  </r>
  <r>
    <x v="3"/>
    <s v="0032 - PROGRAMA DE GESTAO E MANUTENCAO DO PODER EXECUTIVO"/>
    <x v="575"/>
    <n v="0"/>
    <n v="0"/>
    <n v="0"/>
  </r>
  <r>
    <x v="3"/>
    <s v="3006 - TRANSPORTE TERRESTRE E TRANSITO"/>
    <x v="1059"/>
    <n v="0"/>
    <n v="0"/>
    <n v="0"/>
  </r>
  <r>
    <x v="3"/>
    <s v="0151 - PROTECAO DE TERRAS INDIGENAS, GESTAO TERRITORIAL E ETNODESENVOLVIMENTO"/>
    <x v="1060"/>
    <n v="28067.09"/>
    <n v="0"/>
    <n v="0"/>
  </r>
  <r>
    <x v="3"/>
    <s v="2210 - EMPREGABILIDADE"/>
    <x v="1061"/>
    <n v="700000"/>
    <n v="0"/>
    <n v="0"/>
  </r>
  <r>
    <x v="3"/>
    <s v="6012 - DEFESA NACIONAL"/>
    <x v="561"/>
    <n v="288332.08"/>
    <n v="274104.81"/>
    <n v="514235.36"/>
  </r>
  <r>
    <x v="3"/>
    <s v="2206 - POLITICA NUCLEAR"/>
    <x v="687"/>
    <n v="115000.36"/>
    <n v="107885.56"/>
    <n v="106358.98"/>
  </r>
  <r>
    <x v="3"/>
    <s v="6012 - DEFESA NACIONAL"/>
    <x v="751"/>
    <n v="185004.66"/>
    <n v="189854.36"/>
    <n v="125860.21"/>
  </r>
  <r>
    <x v="3"/>
    <s v="3006 - TRANSPORTE TERRESTRE E TRANSITO"/>
    <x v="994"/>
    <n v="4048463.44"/>
    <n v="960685.44"/>
    <n v="960685.44"/>
  </r>
  <r>
    <x v="3"/>
    <s v="5016 - SEGURANCA PUBLICA, COMBATE A CORRUPCAO, AO CRIME ORGANIZADO E AO CRIME VIOLENTO"/>
    <x v="487"/>
    <n v="24090562.98"/>
    <n v="2351777.31"/>
    <n v="2361052.42"/>
  </r>
  <r>
    <x v="3"/>
    <s v="0032 - PROGRAMA DE GESTAO E MANUTENCAO DO PODER EXECUTIVO"/>
    <x v="349"/>
    <n v="1756934.29"/>
    <n v="449709.09"/>
    <n v="494571.72"/>
  </r>
  <r>
    <x v="3"/>
    <s v="2217 - DESENVOLVIMENTO REGIONAL, TERRITORIAL E URBANO"/>
    <x v="406"/>
    <n v="9852.7199999999993"/>
    <n v="54309.21"/>
    <n v="71033.570000000007"/>
  </r>
  <r>
    <x v="3"/>
    <s v="2214 - NOVA PREVIDENCIA"/>
    <x v="617"/>
    <n v="7884344.29"/>
    <n v="5173961.8099999996"/>
    <n v="5271363.17"/>
  </r>
  <r>
    <x v="3"/>
    <s v="0909 - OPERACOES ESPECIAIS: OUTROS ENCARGOS ESPECIAIS"/>
    <x v="246"/>
    <n v="1478727.6"/>
    <n v="1439577.14"/>
    <n v="1439577.14"/>
  </r>
  <r>
    <x v="3"/>
    <s v="5015 - JUSTICA"/>
    <x v="584"/>
    <n v="684063.22"/>
    <n v="128850.54"/>
    <n v="128850.54"/>
  </r>
  <r>
    <x v="3"/>
    <s v="5020 - DESENVOLVIMENTO CIENTIFICO, TECNOLOGICO E PRODUTIVO EM SAUDE"/>
    <x v="268"/>
    <n v="0"/>
    <n v="0"/>
    <n v="0"/>
  </r>
  <r>
    <x v="3"/>
    <s v="2217 - DESENVOLVIMENTO REGIONAL, TERRITORIAL E URBANO"/>
    <x v="196"/>
    <n v="0"/>
    <n v="0"/>
    <n v="0"/>
  </r>
  <r>
    <x v="3"/>
    <s v="5027 - INCLUSAO PRODUTIVA DE PESSOAS EM SITUACAO DE VULNERABILIDADE SOCIAL"/>
    <x v="311"/>
    <n v="65000"/>
    <n v="0"/>
    <n v="0"/>
  </r>
  <r>
    <x v="3"/>
    <s v="0032 - PROGRAMA DE GESTAO E MANUTENCAO DO PODER EXECUTIVO"/>
    <x v="422"/>
    <n v="332544"/>
    <n v="41307.160000000003"/>
    <n v="5475.12"/>
  </r>
  <r>
    <x v="3"/>
    <s v="0903 - OPERACOES ESPECIAIS: TRANSFERENCIAS CONSTITUCIONAIS E AS DECORRENTES DE LEGISLACAO ESPECIFICA"/>
    <x v="215"/>
    <n v="0"/>
    <n v="96303263.439999998"/>
    <n v="96303263.439999998"/>
  </r>
  <r>
    <x v="3"/>
    <s v="5011 - EDUCACAO BASICA DE QUALIDADE"/>
    <x v="432"/>
    <n v="505703929"/>
    <n v="59590935"/>
    <n v="75258430"/>
  </r>
  <r>
    <x v="3"/>
    <s v="0032 - PROGRAMA DE GESTAO E MANUTENCAO DO PODER EXECUTIVO"/>
    <x v="433"/>
    <n v="0"/>
    <n v="0"/>
    <n v="0"/>
  </r>
  <r>
    <x v="3"/>
    <s v="0909 - OPERACOES ESPECIAIS: OUTROS ENCARGOS ESPECIAIS"/>
    <x v="616"/>
    <n v="256999.36"/>
    <n v="28355084.329999998"/>
    <n v="28347890.07"/>
  </r>
  <r>
    <x v="3"/>
    <s v="6012 - DEFESA NACIONAL"/>
    <x v="763"/>
    <n v="2464638.59"/>
    <n v="210782.43"/>
    <n v="210782.43"/>
  </r>
  <r>
    <x v="3"/>
    <s v="1031 - AGROPECUARIA SUSTENTAVEL"/>
    <x v="614"/>
    <n v="0"/>
    <n v="0"/>
    <n v="0"/>
  </r>
  <r>
    <x v="3"/>
    <s v="0906 - OPERACOES ESPECIAIS: SERVICO DA DIVIDA EXTERNA (JUROS EAMORTIZACOES)"/>
    <x v="1062"/>
    <n v="162522369.97"/>
    <n v="162522369.97"/>
    <n v="162522369.97"/>
  </r>
  <r>
    <x v="3"/>
    <s v="3006 - TRANSPORTE TERRESTRE E TRANSITO"/>
    <x v="914"/>
    <n v="0"/>
    <n v="0"/>
    <n v="0"/>
  </r>
  <r>
    <x v="3"/>
    <s v="6012 - DEFESA NACIONAL"/>
    <x v="279"/>
    <n v="200605.96"/>
    <n v="8522.5499999999993"/>
    <n v="9019.4"/>
  </r>
  <r>
    <x v="3"/>
    <s v="6012 - DEFESA NACIONAL"/>
    <x v="726"/>
    <n v="190492844.34"/>
    <n v="4016219.06"/>
    <n v="2990302.44"/>
  </r>
  <r>
    <x v="3"/>
    <s v="2222 - SANEAMENTO BASICO"/>
    <x v="727"/>
    <n v="-5122.92"/>
    <n v="-217.62"/>
    <n v="7304.81"/>
  </r>
  <r>
    <x v="3"/>
    <s v="2080 - EDUCACAO DE QUALIDADE PARA TODOS"/>
    <x v="769"/>
    <n v="0"/>
    <n v="0"/>
    <n v="0"/>
  </r>
  <r>
    <x v="3"/>
    <s v="6011 - COOPERACAO COM O DESENVOLVIMENTO NACIONAL"/>
    <x v="1063"/>
    <n v="30494351.329999998"/>
    <n v="14885426.02"/>
    <n v="14727241.92"/>
  </r>
  <r>
    <x v="3"/>
    <s v="0032 - PROGRAMA DE GESTAO E MANUTENCAO DO PODER EXECUTIVO"/>
    <x v="517"/>
    <n v="780930.26"/>
    <n v="142048.71"/>
    <n v="142806.10999999999"/>
  </r>
  <r>
    <x v="3"/>
    <s v="2214 - NOVA PREVIDENCIA"/>
    <x v="372"/>
    <n v="1548029.22"/>
    <n v="484413.06"/>
    <n v="470466.53"/>
  </r>
  <r>
    <x v="3"/>
    <s v="2213 - MODERNIZACAO TRABALHISTA E TRABALHO DIGNO"/>
    <x v="353"/>
    <n v="62098723.990000002"/>
    <n v="26500217.850000001"/>
    <n v="26500217.850000001"/>
  </r>
  <r>
    <x v="3"/>
    <s v="3004 - AVIACAO CIVIL"/>
    <x v="955"/>
    <n v="0"/>
    <n v="0"/>
    <n v="0"/>
  </r>
  <r>
    <x v="3"/>
    <s v="2202 - DEFESA AGROPECUARIA"/>
    <x v="103"/>
    <n v="84484.75"/>
    <n v="18746.79"/>
    <n v="15668.25"/>
  </r>
  <r>
    <x v="3"/>
    <s v="2202 - DEFESA AGROPECUARIA"/>
    <x v="720"/>
    <n v="856632.87"/>
    <n v="882492.37"/>
    <n v="719300.37"/>
  </r>
  <r>
    <x v="3"/>
    <s v="1031 - AGROPECUARIA SUSTENTAVEL"/>
    <x v="622"/>
    <n v="10402.76"/>
    <n v="119222.9"/>
    <n v="123722.9"/>
  </r>
  <r>
    <x v="3"/>
    <s v="2037 - CONSOLIDACAO DO SISTEMA UNICO DE ASSISTENCIA SOCIAL (SUAS)"/>
    <x v="463"/>
    <n v="0"/>
    <n v="0"/>
    <n v="0"/>
  </r>
  <r>
    <x v="3"/>
    <s v="3006 - TRANSPORTE TERRESTRE E TRANSITO"/>
    <x v="530"/>
    <n v="5276293.82"/>
    <n v="830097.73"/>
    <n v="830097.73"/>
  </r>
  <r>
    <x v="3"/>
    <s v="2029 - DESENVOLVIMENTO REGIONAL E TERRITORIAL"/>
    <x v="1064"/>
    <n v="0"/>
    <n v="0"/>
    <n v="0"/>
  </r>
  <r>
    <x v="3"/>
    <s v="2211 - INSERCAO ECONOMICA INTERNACIONAL"/>
    <x v="352"/>
    <n v="29995257"/>
    <n v="0"/>
    <n v="0"/>
  </r>
  <r>
    <x v="3"/>
    <s v="5021 - GESTAO E ORGANIZACAO DO SUS"/>
    <x v="46"/>
    <n v="311693.32"/>
    <n v="296681.49"/>
    <n v="556286.68000000005"/>
  </r>
  <r>
    <x v="3"/>
    <s v="0032 - PROGRAMA DE GESTAO E MANUTENCAO DO PODER EXECUTIVO"/>
    <x v="472"/>
    <n v="0"/>
    <n v="38652480"/>
    <n v="38600550"/>
  </r>
  <r>
    <x v="3"/>
    <s v="2076 - DESENVOLVIMENTO E PROMOCAO DO TURISMO"/>
    <x v="13"/>
    <n v="0"/>
    <n v="0"/>
    <n v="0"/>
  </r>
  <r>
    <x v="3"/>
    <s v="2221 - RECURSOS HIDRICOS"/>
    <x v="203"/>
    <n v="0"/>
    <n v="0"/>
    <n v="0"/>
  </r>
  <r>
    <x v="3"/>
    <s v="0032 - PROGRAMA DE GESTAO E MANUTENCAO DO PODER EXECUTIVO"/>
    <x v="532"/>
    <n v="16320.56"/>
    <n v="32300"/>
    <n v="31474.18"/>
  </r>
  <r>
    <x v="3"/>
    <s v="0901 - OPERACOES ESPECIAIS: CUMPRIMENTO DE SENTENCAS JUDICIAIS"/>
    <x v="606"/>
    <n v="-28387624.739999998"/>
    <n v="39129928.729999997"/>
    <n v="39129928.729999997"/>
  </r>
  <r>
    <x v="3"/>
    <s v="5021 - GESTAO E ORGANIZACAO DO SUS"/>
    <x v="312"/>
    <n v="0"/>
    <n v="682996.72"/>
    <n v="697924.54"/>
  </r>
  <r>
    <x v="3"/>
    <s v="5023 - VIGILANCIA EM SAUDE"/>
    <x v="234"/>
    <n v="5470000"/>
    <n v="16900000"/>
    <n v="16900000"/>
  </r>
  <r>
    <x v="3"/>
    <s v="0910 - OPERACOES ESPECIAIS: GESTAO DA PARTICIPACAO EM ORGANISMOS E ENTIDADES NACIONAIS E INTERNACIONAIS"/>
    <x v="113"/>
    <n v="0"/>
    <n v="0"/>
    <n v="0"/>
  </r>
  <r>
    <x v="3"/>
    <s v="5025 - CULTURA"/>
    <x v="303"/>
    <n v="1950883.77"/>
    <n v="0"/>
    <n v="0"/>
  </r>
  <r>
    <x v="3"/>
    <s v="6012 - DEFESA NACIONAL"/>
    <x v="340"/>
    <n v="24270.36"/>
    <n v="0"/>
    <n v="0"/>
  </r>
  <r>
    <x v="3"/>
    <s v="5029 - PRODUCAO DE DADOS E CONHECIMENTO PARA O APRIMORAMENTO DE POLITICAS PUBLICAS"/>
    <x v="265"/>
    <n v="0"/>
    <n v="44075.5"/>
    <n v="44075.5"/>
  </r>
  <r>
    <x v="3"/>
    <s v="5023 - VIGILANCIA EM SAUDE"/>
    <x v="284"/>
    <n v="0"/>
    <n v="0"/>
    <n v="0"/>
  </r>
  <r>
    <x v="3"/>
    <s v="5032 - REDE DE SUPORTE SOCIAL AO DEPENDENTE QUIMICO: CUIDADOS,PREVENCAO E REINSERCAO SOCIAL"/>
    <x v="631"/>
    <n v="52448038.490000002"/>
    <n v="14075398.220000001"/>
    <n v="12454898.15"/>
  </r>
  <r>
    <x v="3"/>
    <s v="5019 - ATENCAO PRIMARIA A SAUDE"/>
    <x v="730"/>
    <n v="377566997.38999999"/>
    <n v="122218096.64"/>
    <n v="120402777.11"/>
  </r>
  <r>
    <x v="3"/>
    <s v="0032 - PROGRAMA DE GESTAO E MANUTENCAO DO PODER EXECUTIVO"/>
    <x v="897"/>
    <n v="500000"/>
    <n v="0"/>
    <n v="0"/>
  </r>
  <r>
    <x v="3"/>
    <s v="0905 - OPERACOES ESPECIAIS: SERVICO DA DIVIDA INTERNA (JUROS EAMORTIZACOES)"/>
    <x v="70"/>
    <n v="0"/>
    <n v="1463549.83"/>
    <n v="1463549.83"/>
  </r>
  <r>
    <x v="3"/>
    <s v="0909 - OPERACOES ESPECIAIS: OUTROS ENCARGOS ESPECIAIS"/>
    <x v="1065"/>
    <n v="100000000"/>
    <n v="0"/>
    <n v="0"/>
  </r>
  <r>
    <x v="3"/>
    <s v="2029 - DESENVOLVIMENTO REGIONAL E TERRITORIAL"/>
    <x v="196"/>
    <n v="0"/>
    <n v="0"/>
    <n v="0"/>
  </r>
  <r>
    <x v="3"/>
    <s v="5021 - GESTAO E ORGANIZACAO DO SUS"/>
    <x v="724"/>
    <n v="547000"/>
    <n v="78003.73"/>
    <n v="90195.69"/>
  </r>
  <r>
    <x v="3"/>
    <s v="6012 - DEFESA NACIONAL"/>
    <x v="199"/>
    <n v="1712000"/>
    <n v="0"/>
    <n v="0"/>
  </r>
  <r>
    <x v="3"/>
    <s v="2208 - TECNOLOGIAS APLICADAS, INOVACAO E DESENVOLVIMENTO SUSTENTAVEL"/>
    <x v="891"/>
    <n v="0"/>
    <n v="0"/>
    <n v="0"/>
  </r>
  <r>
    <x v="3"/>
    <s v="2214 - NOVA PREVIDENCIA"/>
    <x v="523"/>
    <n v="125866"/>
    <n v="40532.83"/>
    <n v="40751.269999999997"/>
  </r>
  <r>
    <x v="3"/>
    <s v="2219 - MOBILIDADE URBANA"/>
    <x v="427"/>
    <n v="0"/>
    <n v="0"/>
    <n v="0"/>
  </r>
  <r>
    <x v="3"/>
    <s v="2081 - JUSTICA, CIDADANIA E SEGURANCA PUBLICA"/>
    <x v="308"/>
    <n v="0"/>
    <n v="0"/>
    <n v="0"/>
  </r>
  <r>
    <x v="3"/>
    <s v="6012 - DEFESA NACIONAL"/>
    <x v="273"/>
    <n v="3283990.27"/>
    <n v="193044.72"/>
    <n v="195691.79"/>
  </r>
  <r>
    <x v="3"/>
    <s v="2082 - POLITICA EXTERNA"/>
    <x v="781"/>
    <n v="0"/>
    <n v="0"/>
    <n v="0"/>
  </r>
  <r>
    <x v="3"/>
    <s v="2223 - A HORA DO TURISMO"/>
    <x v="13"/>
    <n v="597399"/>
    <n v="389961.45"/>
    <n v="389961.45"/>
  </r>
  <r>
    <x v="3"/>
    <s v="6012 - DEFESA NACIONAL"/>
    <x v="683"/>
    <n v="280297.65999999997"/>
    <n v="454058.25"/>
    <n v="489392.94"/>
  </r>
  <r>
    <x v="3"/>
    <s v="3002 - GEOLOGIA, MINERACAO E TRANSFORMACAO MINERAL"/>
    <x v="710"/>
    <n v="12305078.210000001"/>
    <n v="1951501.97"/>
    <n v="2135949.98"/>
  </r>
  <r>
    <x v="3"/>
    <s v="6012 - DEFESA NACIONAL"/>
    <x v="746"/>
    <n v="1826106.25"/>
    <n v="398231.91"/>
    <n v="406912.91"/>
  </r>
  <r>
    <x v="3"/>
    <s v="0032 - PROGRAMA DE GESTAO E MANUTENCAO DO PODER EXECUTIVO"/>
    <x v="356"/>
    <n v="25860359.539999999"/>
    <n v="16752366.470000001"/>
    <n v="17179676.469999999"/>
  </r>
  <r>
    <x v="3"/>
    <s v="0032 - PROGRAMA DE GESTAO E MANUTENCAO DO PODER EXECUTIVO"/>
    <x v="481"/>
    <n v="41875521.630000003"/>
    <n v="3271046.86"/>
    <n v="4675162.45"/>
  </r>
  <r>
    <x v="3"/>
    <s v="2214 - NOVA PREVIDENCIA"/>
    <x v="3"/>
    <n v="0"/>
    <n v="13800544.300000001"/>
    <n v="9993520.3300000001"/>
  </r>
  <r>
    <x v="3"/>
    <s v="1031 - AGROPECUARIA SUSTENTAVEL"/>
    <x v="452"/>
    <n v="826358.91"/>
    <n v="86042.61"/>
    <n v="93781.85"/>
  </r>
  <r>
    <x v="3"/>
    <s v="6015 - EDUCACAO INFANTIL"/>
    <x v="923"/>
    <n v="34954102.700000003"/>
    <n v="10594288.73"/>
    <n v="5355238.8099999996"/>
  </r>
  <r>
    <x v="3"/>
    <s v="3006 - TRANSPORTE TERRESTRE E TRANSITO"/>
    <x v="453"/>
    <n v="10833867.34"/>
    <n v="4349104.5199999996"/>
    <n v="4347019.2"/>
  </r>
  <r>
    <x v="3"/>
    <s v="5016 - SEGURANCA PUBLICA, COMBATE A CORRUPCAO, AO CRIME ORGANIZADO E AO CRIME VIOLENTO"/>
    <x v="63"/>
    <n v="19000000"/>
    <n v="19000000"/>
    <n v="19000000"/>
  </r>
  <r>
    <x v="3"/>
    <s v="2221 - RECURSOS HIDRICOS"/>
    <x v="204"/>
    <n v="254.59"/>
    <n v="1033397.34"/>
    <n v="1034907.64"/>
  </r>
  <r>
    <x v="3"/>
    <s v="0909 - OPERACOES ESPECIAIS: OUTROS ENCARGOS ESPECIAIS"/>
    <x v="943"/>
    <n v="30508.74"/>
    <n v="0"/>
    <n v="0"/>
  </r>
  <r>
    <x v="3"/>
    <s v="6011 - COOPERACAO COM O DESENVOLVIMENTO NACIONAL"/>
    <x v="852"/>
    <n v="73011.53"/>
    <n v="780060.74"/>
    <n v="770178.74"/>
  </r>
  <r>
    <x v="3"/>
    <s v="0151 - PROTECAO DE TERRAS INDIGENAS, GESTAO TERRITORIAL E ETNODESENVOLVIMENTO"/>
    <x v="1008"/>
    <n v="22340.799999999999"/>
    <n v="40441.86"/>
    <n v="0"/>
  </r>
  <r>
    <x v="3"/>
    <s v="1031 - AGROPECUARIA SUSTENTAVEL"/>
    <x v="660"/>
    <n v="4294536.28"/>
    <n v="2869724.46"/>
    <n v="2583134.73"/>
  </r>
  <r>
    <x v="3"/>
    <s v="2214 - NOVA PREVIDENCIA"/>
    <x v="667"/>
    <n v="13289048.779999999"/>
    <n v="63642740591.779999"/>
    <n v="63927039309.059998"/>
  </r>
  <r>
    <x v="3"/>
    <s v="2206 - POLITICA NUCLEAR"/>
    <x v="664"/>
    <n v="29325.94"/>
    <n v="29267.01"/>
    <n v="25047.58"/>
  </r>
  <r>
    <x v="3"/>
    <s v="5031 - PROTECAO SOCIAL NO AMBITO DO SISTEMA UNICO DE ASSISTENCIA SOCIAL (SUAS)"/>
    <x v="572"/>
    <n v="1788000"/>
    <n v="3211514032.1300001"/>
    <n v="3215292190.8800001"/>
  </r>
  <r>
    <x v="3"/>
    <s v="6012 - DEFESA NACIONAL"/>
    <x v="563"/>
    <n v="120000"/>
    <n v="2207.8000000000002"/>
    <n v="2207.8000000000002"/>
  </r>
  <r>
    <x v="3"/>
    <s v="6012 - DEFESA NACIONAL"/>
    <x v="65"/>
    <n v="304936.5"/>
    <n v="202200.9"/>
    <n v="196702.2"/>
  </r>
  <r>
    <x v="3"/>
    <s v="5033 - SEGURANCA ALIMENTAR E NUTRICIONAL"/>
    <x v="884"/>
    <n v="0"/>
    <n v="0"/>
    <n v="0"/>
  </r>
  <r>
    <x v="3"/>
    <s v="3006 - TRANSPORTE TERRESTRE E TRANSITO"/>
    <x v="485"/>
    <n v="0"/>
    <n v="0"/>
    <n v="0"/>
  </r>
  <r>
    <x v="3"/>
    <s v="5031 - PROTECAO SOCIAL NO AMBITO DO SISTEMA UNICO DE ASSISTENCIA SOCIAL (SUAS)"/>
    <x v="251"/>
    <n v="151183.6"/>
    <n v="190561.56"/>
    <n v="204957.97"/>
  </r>
  <r>
    <x v="3"/>
    <s v="2080 - EDUCACAO DE QUALIDADE PARA TODOS"/>
    <x v="188"/>
    <n v="0"/>
    <n v="0"/>
    <n v="0"/>
  </r>
  <r>
    <x v="3"/>
    <s v="6012 - DEFESA NACIONAL"/>
    <x v="589"/>
    <n v="-414674.69"/>
    <n v="63766.58"/>
    <n v="63766.58"/>
  </r>
  <r>
    <x v="3"/>
    <s v="5017 - ASSISTENCIA FARMACEUTICA NO SUS"/>
    <x v="388"/>
    <n v="16450449.619999999"/>
    <n v="142102949.40000001"/>
    <n v="265167018.94"/>
  </r>
  <r>
    <x v="3"/>
    <s v="5026 - ESPORTE"/>
    <x v="794"/>
    <n v="0"/>
    <n v="0"/>
    <n v="0"/>
  </r>
  <r>
    <x v="3"/>
    <s v="1040 - GOVERNANCA FUNDIARIA"/>
    <x v="180"/>
    <n v="88343.37"/>
    <n v="958.76"/>
    <n v="958.76"/>
  </r>
  <r>
    <x v="3"/>
    <s v="6012 - DEFESA NACIONAL"/>
    <x v="655"/>
    <n v="657790.68000000005"/>
    <n v="520031.54"/>
    <n v="45966.54"/>
  </r>
  <r>
    <x v="3"/>
    <s v="3002 - GEOLOGIA, MINERACAO E TRANSFORMACAO MINERAL"/>
    <x v="641"/>
    <n v="998413.85"/>
    <n v="288769.74"/>
    <n v="602460.88"/>
  </r>
  <r>
    <x v="3"/>
    <s v="2218 - GESTAO DE RISCOS E DE DESASTRES"/>
    <x v="786"/>
    <n v="98087786.359999999"/>
    <n v="82470500.079999998"/>
    <n v="110841334.31999999"/>
  </r>
  <r>
    <x v="3"/>
    <s v="5025 - CULTURA"/>
    <x v="488"/>
    <n v="5031760.8499999996"/>
    <n v="248234.05"/>
    <n v="201489.47"/>
  </r>
  <r>
    <x v="3"/>
    <s v="0151 - PROTECAO DE TERRAS INDIGENAS, GESTAO TERRITORIAL E ETNODESENVOLVIMENTO"/>
    <x v="919"/>
    <n v="230000"/>
    <n v="27081"/>
    <n v="27081"/>
  </r>
  <r>
    <x v="3"/>
    <s v="1031 - AGROPECUARIA SUSTENTAVEL"/>
    <x v="387"/>
    <n v="0"/>
    <n v="0"/>
    <n v="0"/>
  </r>
  <r>
    <x v="3"/>
    <s v="0032 - PROGRAMA DE GESTAO E MANUTENCAO DO PODER EXECUTIVO"/>
    <x v="348"/>
    <n v="163978.67000000001"/>
    <n v="51844.23"/>
    <n v="47414.49"/>
  </r>
  <r>
    <x v="3"/>
    <s v="2202 - DEFESA AGROPECUARIA"/>
    <x v="789"/>
    <n v="13064867.199999999"/>
    <n v="8599515.2799999993"/>
    <n v="7824377.2800000003"/>
  </r>
  <r>
    <x v="3"/>
    <s v="2217 - DESENVOLVIMENTO REGIONAL, TERRITORIAL E URBANO"/>
    <x v="632"/>
    <n v="0"/>
    <n v="0"/>
    <n v="0"/>
  </r>
  <r>
    <x v="3"/>
    <s v="2206 - POLITICA NUCLEAR"/>
    <x v="774"/>
    <n v="990070.56"/>
    <n v="1661540.87"/>
    <n v="1818649.24"/>
  </r>
  <r>
    <x v="3"/>
    <s v="6011 - COOPERACAO COM O DESENVOLVIMENTO NACIONAL"/>
    <x v="701"/>
    <n v="0"/>
    <n v="0"/>
    <n v="0"/>
  </r>
  <r>
    <x v="3"/>
    <s v="6012 - DEFESA NACIONAL"/>
    <x v="130"/>
    <n v="6730370.5999999996"/>
    <n v="612025.44999999995"/>
    <n v="79361.33"/>
  </r>
  <r>
    <x v="3"/>
    <s v="6012 - DEFESA NACIONAL"/>
    <x v="278"/>
    <n v="1694357.27"/>
    <n v="61492.77"/>
    <n v="61492.77"/>
  </r>
  <r>
    <x v="3"/>
    <s v="5016 - SEGURANCA PUBLICA, COMBATE A CORRUPCAO, AO CRIME ORGANIZADO E AO CRIME VIOLENTO"/>
    <x v="439"/>
    <n v="695663.29"/>
    <n v="84815.61"/>
    <n v="72615.61"/>
  </r>
  <r>
    <x v="3"/>
    <s v="5018 - ATENCAO ESPECIALIZADA A SAUDE"/>
    <x v="366"/>
    <n v="158203865.77000001"/>
    <n v="78883272.730000004"/>
    <n v="63650102.159999996"/>
  </r>
  <r>
    <x v="3"/>
    <s v="5023 - VIGILANCIA EM SAUDE"/>
    <x v="324"/>
    <n v="1339792.1399999999"/>
    <n v="1694494.11"/>
    <n v="1911127.02"/>
  </r>
  <r>
    <x v="3"/>
    <s v="5015 - JUSTICA"/>
    <x v="714"/>
    <n v="5221965.3899999997"/>
    <n v="1464840.99"/>
    <n v="1666218.83"/>
  </r>
  <r>
    <x v="3"/>
    <s v="2030 - EDUCACAO BASICA"/>
    <x v="859"/>
    <n v="0"/>
    <n v="0"/>
    <n v="0"/>
  </r>
  <r>
    <x v="3"/>
    <s v="2217 - DESENVOLVIMENTO REGIONAL, TERRITORIAL E URBANO"/>
    <x v="621"/>
    <n v="858016.6"/>
    <n v="1274609.96"/>
    <n v="671637.23"/>
  </r>
  <r>
    <x v="3"/>
    <s v="6012 - DEFESA NACIONAL"/>
    <x v="551"/>
    <n v="732299.89"/>
    <n v="411013.49"/>
    <n v="409177.14"/>
  </r>
  <r>
    <x v="3"/>
    <s v="2215 - POLITICA ECONOMICA E EQUILIBRIO FISCAL"/>
    <x v="597"/>
    <n v="118088.5"/>
    <n v="371343.17"/>
    <n v="369718.67"/>
  </r>
  <r>
    <x v="3"/>
    <s v="3006 - TRANSPORTE TERRESTRE E TRANSITO"/>
    <x v="666"/>
    <n v="48201394.960000001"/>
    <n v="8610685.8499999996"/>
    <n v="8947279.4100000001"/>
  </r>
  <r>
    <x v="3"/>
    <s v="2222 - SANEAMENTO BASICO"/>
    <x v="42"/>
    <n v="-2000"/>
    <n v="83.28"/>
    <n v="3883.15"/>
  </r>
  <r>
    <x v="3"/>
    <s v="0032 - PROGRAMA DE GESTAO E MANUTENCAO DO PODER EXECUTIVO"/>
    <x v="678"/>
    <n v="11530975.07"/>
    <n v="106112098.03"/>
    <n v="101930462.43000001"/>
  </r>
  <r>
    <x v="3"/>
    <s v="6012 - DEFESA NACIONAL"/>
    <x v="768"/>
    <n v="10214070.539999999"/>
    <n v="2405926.81"/>
    <n v="3515072.73"/>
  </r>
  <r>
    <x v="3"/>
    <s v="6012 - DEFESA NACIONAL"/>
    <x v="596"/>
    <n v="187532.04"/>
    <n v="173904.38"/>
    <n v="75457.990000000005"/>
  </r>
  <r>
    <x v="3"/>
    <s v="5034 - PROTECAO A VIDA, FORTALECIMENTO DA FAMILIA, PROMOCAO E DEFESA DOS DIREITOS HUMANOS PARA TODOS"/>
    <x v="700"/>
    <n v="572891"/>
    <n v="142136.31"/>
    <n v="164844.87"/>
  </r>
  <r>
    <x v="3"/>
    <s v="6014 - PREVENCAO E CONTROLE DO DESMATAMENTO E DOS INCENDIOS NOS BIOMAS"/>
    <x v="698"/>
    <n v="42166919.899999999"/>
    <n v="16279814.42"/>
    <n v="17243716.559999999"/>
  </r>
  <r>
    <x v="3"/>
    <s v="5019 - ATENCAO PRIMARIA A SAUDE"/>
    <x v="261"/>
    <n v="1401992824.6700001"/>
    <n v="1404802036.27"/>
    <n v="1404802036.27"/>
  </r>
  <r>
    <x v="3"/>
    <s v="1031 - AGROPECUARIA SUSTENTAVEL"/>
    <x v="569"/>
    <n v="3161424.64"/>
    <n v="230000"/>
    <n v="0"/>
  </r>
  <r>
    <x v="3"/>
    <s v="2204 - BRASIL NA FRONTEIRA DO CONHECIMENTO"/>
    <x v="680"/>
    <n v="8443313.6300000008"/>
    <n v="1152058.8700000001"/>
    <n v="1218457.67"/>
  </r>
  <r>
    <x v="3"/>
    <s v="5021 - GESTAO E ORGANIZACAO DO SUS"/>
    <x v="20"/>
    <n v="1201666.6599999999"/>
    <n v="1201666.6599999999"/>
    <n v="1201666.6599999999"/>
  </r>
  <r>
    <x v="3"/>
    <s v="2080 - EDUCACAO DE QUALIDADE PARA TODOS"/>
    <x v="682"/>
    <n v="0"/>
    <n v="0"/>
    <n v="0"/>
  </r>
  <r>
    <x v="3"/>
    <s v="3002 - GEOLOGIA, MINERACAO E TRANSFORMACAO MINERAL"/>
    <x v="748"/>
    <n v="205339.02"/>
    <n v="66580.05"/>
    <n v="56152.09"/>
  </r>
  <r>
    <x v="3"/>
    <s v="5013 - EDUCACAO SUPERIOR - GRADUACAO, POS-GRADUACAO, ENSINO, PESQUISA E EXTENSAO"/>
    <x v="394"/>
    <n v="0"/>
    <n v="0"/>
    <n v="0"/>
  </r>
  <r>
    <x v="3"/>
    <s v="0617 - PROTECAO E PROMOCAO DOS DIREITOS DOS POVOS INDIGENAS"/>
    <x v="776"/>
    <n v="2043014.78"/>
    <n v="1138735.9099999999"/>
    <n v="1131783.52"/>
  </r>
  <r>
    <x v="3"/>
    <s v="5020 - DESENVOLVIMENTO CIENTIFICO, TECNOLOGICO E PRODUTIVO EM SAUDE"/>
    <x v="672"/>
    <n v="23124834.02"/>
    <n v="17157952.43"/>
    <n v="18242675.84"/>
  </r>
  <r>
    <x v="3"/>
    <s v="5013 - EDUCACAO SUPERIOR - GRADUACAO, POS-GRADUACAO, ENSINO, PESQUISA E EXTENSAO"/>
    <x v="58"/>
    <n v="43000000"/>
    <n v="2243789.62"/>
    <n v="2243789.62"/>
  </r>
  <r>
    <x v="3"/>
    <s v="0903 - OPERACOES ESPECIAIS: TRANSFERENCIAS CONSTITUCIONAIS E AS DECORRENTES DE LEGISLACAO ESPECIFICA"/>
    <x v="253"/>
    <n v="592009984.90999997"/>
    <n v="575840254.88999999"/>
    <n v="577221433.14999998"/>
  </r>
  <r>
    <x v="3"/>
    <s v="3006 - TRANSPORTE TERRESTRE E TRANSITO"/>
    <x v="355"/>
    <n v="0"/>
    <n v="27014.1"/>
    <n v="27014.1"/>
  </r>
  <r>
    <x v="3"/>
    <s v="0032 - PROGRAMA DE GESTAO E MANUTENCAO DO PODER EXECUTIVO"/>
    <x v="760"/>
    <n v="14112131.300000001"/>
    <n v="5918191.4500000002"/>
    <n v="5983471.2300000004"/>
  </r>
  <r>
    <x v="3"/>
    <s v="6011 - COOPERACAO COM O DESENVOLVIMENTO NACIONAL"/>
    <x v="656"/>
    <n v="9183487.6300000008"/>
    <n v="1535825.08"/>
    <n v="1662790.99"/>
  </r>
  <r>
    <x v="3"/>
    <s v="4002 - SEGURANCA INSTITUCIONAL"/>
    <x v="431"/>
    <n v="6317.6"/>
    <n v="0"/>
    <n v="0"/>
  </r>
  <r>
    <x v="3"/>
    <s v="1031 - AGROPECUARIA SUSTENTAVEL"/>
    <x v="685"/>
    <n v="810481.02"/>
    <n v="529614.89"/>
    <n v="215609.77"/>
  </r>
  <r>
    <x v="3"/>
    <s v="2204 - BRASIL NA FRONTEIRA DO CONHECIMENTO"/>
    <x v="1066"/>
    <n v="1000000"/>
    <n v="0"/>
    <n v="0"/>
  </r>
  <r>
    <x v="3"/>
    <s v="6014 - PREVENCAO E CONTROLE DO DESMATAMENTO E DOS INCENDIOS NOS BIOMAS"/>
    <x v="624"/>
    <n v="1642155.36"/>
    <n v="1060166.8"/>
    <n v="1017421.82"/>
  </r>
  <r>
    <x v="3"/>
    <s v="5020 - DESENVOLVIMENTO CIENTIFICO, TECNOLOGICO E PRODUTIVO EM SAUDE"/>
    <x v="136"/>
    <n v="29551298"/>
    <n v="16320586.27"/>
    <n v="8520556.6899999995"/>
  </r>
  <r>
    <x v="3"/>
    <s v="0032 - PROGRAMA DE GESTAO E MANUTENCAO DO PODER EXECUTIVO"/>
    <x v="677"/>
    <n v="3545740.25"/>
    <n v="3472404.67"/>
    <n v="3474484.83"/>
  </r>
  <r>
    <x v="3"/>
    <s v="3005 - TRANSPORTE AQUAVIARIO"/>
    <x v="367"/>
    <n v="179016.07"/>
    <n v="43715.06"/>
    <n v="19675.060000000001"/>
  </r>
  <r>
    <x v="3"/>
    <s v="5026 - ESPORTE"/>
    <x v="533"/>
    <n v="0"/>
    <n v="0"/>
    <n v="0"/>
  </r>
  <r>
    <x v="3"/>
    <s v="2080 - EDUCACAO DE QUALIDADE PARA TODOS"/>
    <x v="386"/>
    <n v="0"/>
    <n v="0"/>
    <n v="0"/>
  </r>
  <r>
    <x v="3"/>
    <s v="6012 - DEFESA NACIONAL"/>
    <x v="471"/>
    <n v="600970"/>
    <n v="35451.620000000003"/>
    <n v="32618.46"/>
  </r>
  <r>
    <x v="3"/>
    <s v="2214 - NOVA PREVIDENCIA"/>
    <x v="371"/>
    <n v="0"/>
    <n v="633907927.5"/>
    <n v="476510837.56999999"/>
  </r>
  <r>
    <x v="3"/>
    <s v="5014 - ESTATISTICAS E AVALIACOES EDUCACIONAIS"/>
    <x v="755"/>
    <n v="65488167.549999997"/>
    <n v="3895721.22"/>
    <n v="3785708.2"/>
  </r>
  <r>
    <x v="3"/>
    <s v="5016 - SEGURANCA PUBLICA, COMBATE A CORRUPCAO, AO CRIME ORGANIZADO E AO CRIME VIOLENTO"/>
    <x v="574"/>
    <n v="8657293.7400000002"/>
    <n v="19947185.289999999"/>
    <n v="23768616.07"/>
  </r>
  <r>
    <x v="3"/>
    <s v="5025 - CULTURA"/>
    <x v="753"/>
    <n v="3146789.83"/>
    <n v="940018.05"/>
    <n v="1387518.05"/>
  </r>
  <r>
    <x v="3"/>
    <s v="0617 - PROTECAO E PROMOCAO DOS DIREITOS DOS POVOS INDIGENAS"/>
    <x v="725"/>
    <n v="7781113.4699999997"/>
    <n v="3312264.94"/>
    <n v="3184117.46"/>
  </r>
  <r>
    <x v="3"/>
    <s v="2205 - CONECTA BRASIL"/>
    <x v="398"/>
    <n v="39660396.049999997"/>
    <n v="0"/>
    <n v="0"/>
  </r>
  <r>
    <x v="3"/>
    <s v="2214 - NOVA PREVIDENCIA"/>
    <x v="592"/>
    <n v="3614457.96"/>
    <n v="2853208.36"/>
    <n v="2814839.96"/>
  </r>
  <r>
    <x v="3"/>
    <s v="5033 - SEGURANCA ALIMENTAR E NUTRICIONAL"/>
    <x v="792"/>
    <n v="1842805.8"/>
    <n v="0"/>
    <n v="0"/>
  </r>
  <r>
    <x v="3"/>
    <s v="0032 - PROGRAMA DE GESTAO E MANUTENCAO DO PODER EXECUTIVO"/>
    <x v="570"/>
    <n v="4277117.63"/>
    <n v="7120858.4500000002"/>
    <n v="7208803.1500000004"/>
  </r>
  <r>
    <x v="3"/>
    <s v="5021 - GESTAO E ORGANIZACAO DO SUS"/>
    <x v="480"/>
    <n v="100000"/>
    <n v="170324.59"/>
    <n v="170324.59"/>
  </r>
  <r>
    <x v="3"/>
    <s v="0909 - OPERACOES ESPECIAIS: OUTROS ENCARGOS ESPECIAIS"/>
    <x v="306"/>
    <n v="0"/>
    <n v="600000000"/>
    <n v="600000000"/>
  </r>
  <r>
    <x v="3"/>
    <s v="2221 - RECURSOS HIDRICOS"/>
    <x v="645"/>
    <n v="508803.8"/>
    <n v="367476.14"/>
    <n v="151995.01999999999"/>
  </r>
  <r>
    <x v="3"/>
    <s v="6012 - DEFESA NACIONAL"/>
    <x v="566"/>
    <n v="-117798.78"/>
    <n v="17146.66"/>
    <n v="18938.650000000001"/>
  </r>
  <r>
    <x v="3"/>
    <s v="2205 - CONECTA BRASIL"/>
    <x v="47"/>
    <n v="418365.22"/>
    <n v="552282.21"/>
    <n v="552282.21"/>
  </r>
  <r>
    <x v="3"/>
    <s v="2217 - DESENVOLVIMENTO REGIONAL, TERRITORIAL E URBANO"/>
    <x v="213"/>
    <n v="0"/>
    <n v="-91.2"/>
    <n v="522.44000000000005"/>
  </r>
  <r>
    <x v="3"/>
    <s v="2216 - POLITICA EXTERNA"/>
    <x v="51"/>
    <n v="278446.95"/>
    <n v="108006.52"/>
    <n v="115252.89"/>
  </r>
  <r>
    <x v="3"/>
    <s v="5021 - GESTAO E ORGANIZACAO DO SUS"/>
    <x v="507"/>
    <n v="396914958.19999999"/>
    <n v="144422315.47"/>
    <n v="147496991.53999999"/>
  </r>
  <r>
    <x v="3"/>
    <s v="2206 - POLITICA NUCLEAR"/>
    <x v="627"/>
    <n v="18700"/>
    <n v="13462.8"/>
    <n v="13462.8"/>
  </r>
  <r>
    <x v="3"/>
    <s v="5021 - GESTAO E ORGANIZACAO DO SUS"/>
    <x v="211"/>
    <n v="878935.01"/>
    <n v="1136040.94"/>
    <n v="1117676.04"/>
  </r>
  <r>
    <x v="3"/>
    <s v="1031 - AGROPECUARIA SUSTENTAVEL"/>
    <x v="291"/>
    <n v="219071.98"/>
    <n v="144007.54999999999"/>
    <n v="139923.4"/>
  </r>
  <r>
    <x v="3"/>
    <s v="5011 - EDUCACAO BASICA DE QUALIDADE"/>
    <x v="747"/>
    <n v="11307828.07"/>
    <n v="3741892.15"/>
    <n v="3129994.59"/>
  </r>
  <r>
    <x v="3"/>
    <s v="2217 - DESENVOLVIMENTO REGIONAL, TERRITORIAL E URBANO"/>
    <x v="116"/>
    <n v="0"/>
    <n v="0"/>
    <n v="0"/>
  </r>
  <r>
    <x v="3"/>
    <s v="2217 - DESENVOLVIMENTO REGIONAL, TERRITORIAL E URBANO"/>
    <x v="30"/>
    <n v="1370783.08"/>
    <n v="807191.76"/>
    <n v="663257.49"/>
  </r>
  <r>
    <x v="3"/>
    <s v="2206 - POLITICA NUCLEAR"/>
    <x v="429"/>
    <n v="7927060.1500000004"/>
    <n v="5698524.4900000002"/>
    <n v="4404566.6100000003"/>
  </r>
  <r>
    <x v="3"/>
    <s v="2205 - CONECTA BRASIL"/>
    <x v="686"/>
    <n v="9797826.7200000007"/>
    <n v="1379739.29"/>
    <n v="1377065.12"/>
  </r>
  <r>
    <x v="3"/>
    <s v="2208 - TECNOLOGIAS APLICADAS, INOVACAO E DESENVOLVIMENTO SUSTENTAVEL"/>
    <x v="879"/>
    <n v="0"/>
    <n v="0"/>
    <n v="0"/>
  </r>
  <r>
    <x v="3"/>
    <s v="5021 - GESTAO E ORGANIZACAO DO SUS"/>
    <x v="475"/>
    <n v="750149.58"/>
    <n v="2378850.29"/>
    <n v="2205154.73"/>
  </r>
  <r>
    <x v="3"/>
    <s v="3006 - TRANSPORTE TERRESTRE E TRANSITO"/>
    <x v="635"/>
    <n v="80200000"/>
    <n v="484950"/>
    <n v="484950"/>
  </r>
  <r>
    <x v="3"/>
    <s v="0901 - OPERACOES ESPECIAIS: CUMPRIMENTO DE SENTENCAS JUDICIAIS"/>
    <x v="629"/>
    <n v="116647207.63"/>
    <n v="21904145.039999999"/>
    <n v="22021768.800000001"/>
  </r>
  <r>
    <x v="3"/>
    <s v="5016 - SEGURANCA PUBLICA, COMBATE A CORRUPCAO, AO CRIME ORGANIZADO E AO CRIME VIOLENTO"/>
    <x v="79"/>
    <n v="18776677.5"/>
    <n v="1000299.8"/>
    <n v="999999"/>
  </r>
  <r>
    <x v="3"/>
    <s v="0903 - OPERACOES ESPECIAIS: TRANSFERENCIAS CONSTITUCIONAIS E AS DECORRENTES DE LEGISLACAO ESPECIFICA"/>
    <x v="578"/>
    <n v="19333056.5"/>
    <n v="19389740.550000001"/>
    <n v="18618239.859999999"/>
  </r>
  <r>
    <x v="3"/>
    <s v="3006 - TRANSPORTE TERRESTRE E TRANSITO"/>
    <x v="420"/>
    <n v="11071417.699999999"/>
    <n v="0"/>
    <n v="802.06"/>
  </r>
  <r>
    <x v="3"/>
    <s v="5015 - JUSTICA"/>
    <x v="690"/>
    <n v="301188.25"/>
    <n v="943514.09"/>
    <n v="951201.81"/>
  </r>
  <r>
    <x v="3"/>
    <s v="6012 - DEFESA NACIONAL"/>
    <x v="676"/>
    <n v="6316566.9900000002"/>
    <n v="602050.48"/>
    <n v="604193.30000000005"/>
  </r>
  <r>
    <x v="3"/>
    <s v="1040 - GOVERNANCA FUNDIARIA"/>
    <x v="585"/>
    <n v="118212.95"/>
    <n v="80982.66"/>
    <n v="80982.66"/>
  </r>
  <r>
    <x v="3"/>
    <s v="6012 - DEFESA NACIONAL"/>
    <x v="521"/>
    <n v="9415370.8399999999"/>
    <n v="101188.06"/>
    <n v="77260.899999999994"/>
  </r>
  <r>
    <x v="3"/>
    <s v="5013 - EDUCACAO SUPERIOR - GRADUACAO, POS-GRADUACAO, ENSINO, PESQUISA E EXTENSAO"/>
    <x v="401"/>
    <n v="0"/>
    <n v="0"/>
    <n v="0"/>
  </r>
  <r>
    <x v="3"/>
    <s v="2218 - GESTAO DE RISCOS E DE DESASTRES"/>
    <x v="643"/>
    <n v="689168.06"/>
    <n v="272949.03999999998"/>
    <n v="307504.08"/>
  </r>
  <r>
    <x v="3"/>
    <s v="1040 - GOVERNANCA FUNDIARIA"/>
    <x v="231"/>
    <n v="348547.96"/>
    <n v="209454.83"/>
    <n v="97692.56"/>
  </r>
  <r>
    <x v="3"/>
    <s v="0032 - PROGRAMA DE GESTAO E MANUTENCAO DO PODER EXECUTIVO"/>
    <x v="649"/>
    <n v="2865057.03"/>
    <n v="182594.04"/>
    <n v="203263.38"/>
  </r>
  <r>
    <x v="3"/>
    <s v="2217 - DESENVOLVIMENTO REGIONAL, TERRITORIAL E URBANO"/>
    <x v="610"/>
    <n v="0"/>
    <n v="0"/>
    <n v="0"/>
  </r>
  <r>
    <x v="3"/>
    <s v="0032 - PROGRAMA DE GESTAO E MANUTENCAO DO PODER EXECUTIVO"/>
    <x v="224"/>
    <n v="0"/>
    <n v="2274520.0299999998"/>
    <n v="2059628.4"/>
  </r>
  <r>
    <x v="3"/>
    <s v="2204 - BRASIL NA FRONTEIRA DO CONHECIMENTO"/>
    <x v="540"/>
    <n v="0"/>
    <n v="0"/>
    <n v="0"/>
  </r>
  <r>
    <x v="3"/>
    <s v="2201 - BRASIL MODERNIZA"/>
    <x v="209"/>
    <n v="48625883.560000002"/>
    <n v="1067768.71"/>
    <n v="1066156.5"/>
  </r>
  <r>
    <x v="3"/>
    <s v="2216 - POLITICA EXTERNA"/>
    <x v="991"/>
    <n v="147.52000000000001"/>
    <n v="131.55000000000001"/>
    <n v="131.55000000000001"/>
  </r>
  <r>
    <x v="3"/>
    <s v="2221 - RECURSOS HIDRICOS"/>
    <x v="414"/>
    <n v="0"/>
    <n v="0"/>
    <n v="0"/>
  </r>
  <r>
    <x v="3"/>
    <s v="0909 - OPERACOES ESPECIAIS: OUTROS ENCARGOS ESPECIAIS"/>
    <x v="1067"/>
    <n v="2365391.54"/>
    <n v="2365391.54"/>
    <n v="2365391.54"/>
  </r>
  <r>
    <x v="3"/>
    <s v="2212 - MELHORIA DO AMBIENTE DE NEGOCIOS E DA PRODUTIVIDADE"/>
    <x v="50"/>
    <n v="0"/>
    <n v="0"/>
    <n v="0"/>
  </r>
  <r>
    <x v="3"/>
    <s v="2216 - POLITICA EXTERNA"/>
    <x v="775"/>
    <n v="3445248.3"/>
    <n v="3202114.2"/>
    <n v="3226018.67"/>
  </r>
  <r>
    <x v="3"/>
    <s v="5025 - CULTURA"/>
    <x v="549"/>
    <n v="30451342.91"/>
    <n v="7386115.04"/>
    <n v="6870561.5199999996"/>
  </r>
  <r>
    <x v="3"/>
    <s v="4005 - PROTECAO JURIDICA DA UNIAO"/>
    <x v="647"/>
    <n v="312420338.95999998"/>
    <n v="31652788.489999998"/>
    <n v="33293662.859999999"/>
  </r>
  <r>
    <x v="3"/>
    <s v="3004 - AVIACAO CIVIL"/>
    <x v="595"/>
    <n v="17587748.859999999"/>
    <n v="3436942.62"/>
    <n v="3380163.86"/>
  </r>
  <r>
    <x v="3"/>
    <s v="6012 - DEFESA NACIONAL"/>
    <x v="878"/>
    <n v="-8432000"/>
    <n v="0"/>
    <n v="0"/>
  </r>
  <r>
    <x v="3"/>
    <s v="5012 - EDUCACAO PROFISSIONAL E TECNOLOGICA"/>
    <x v="634"/>
    <n v="0"/>
    <n v="0"/>
    <n v="0"/>
  </r>
  <r>
    <x v="3"/>
    <s v="6012 - DEFESA NACIONAL"/>
    <x v="391"/>
    <n v="162251840.56"/>
    <n v="319442.53999999998"/>
    <n v="337880.8"/>
  </r>
  <r>
    <x v="3"/>
    <s v="5016 - SEGURANCA PUBLICA, COMBATE A CORRUPCAO, AO CRIME ORGANIZADO E AO CRIME VIOLENTO"/>
    <x v="516"/>
    <n v="5400292.79"/>
    <n v="943517.02"/>
    <n v="405521.42"/>
  </r>
  <r>
    <x v="3"/>
    <s v="5012 - EDUCACAO PROFISSIONAL E TECNOLOGICA"/>
    <x v="657"/>
    <n v="2000"/>
    <n v="30443.96"/>
    <n v="0"/>
  </r>
  <r>
    <x v="3"/>
    <s v="2222 - SANEAMENTO BASICO"/>
    <x v="797"/>
    <n v="347752.04"/>
    <n v="113628.23"/>
    <n v="108564.48"/>
  </r>
  <r>
    <x v="3"/>
    <s v="5018 - ATENCAO ESPECIALIZADA A SAUDE"/>
    <x v="437"/>
    <n v="6286123810.7700005"/>
    <n v="6174778839.6099997"/>
    <n v="6147750797.9300003"/>
  </r>
  <r>
    <x v="3"/>
    <s v="5013 - EDUCACAO SUPERIOR - GRADUACAO, POS-GRADUACAO, ENSINO, PESQUISA E EXTENSAO"/>
    <x v="184"/>
    <n v="11692784.189999999"/>
    <n v="2178694.85"/>
    <n v="924237.25"/>
  </r>
  <r>
    <x v="3"/>
    <s v="5031 - PROTECAO SOCIAL NO AMBITO DO SISTEMA UNICO DE ASSISTENCIA SOCIAL (SUAS)"/>
    <x v="514"/>
    <n v="1458130.2"/>
    <n v="3951322513.4899998"/>
    <n v="3981746645.4899998"/>
  </r>
  <r>
    <x v="3"/>
    <s v="6011 - COOPERACAO COM O DESENVOLVIMENTO NACIONAL"/>
    <x v="733"/>
    <n v="33034064.539999999"/>
    <n v="6135970.5700000003"/>
    <n v="4359541.26"/>
  </r>
  <r>
    <x v="3"/>
    <s v="1031 - AGROPECUARIA SUSTENTAVEL"/>
    <x v="474"/>
    <n v="-2739"/>
    <n v="0"/>
    <n v="0"/>
  </r>
  <r>
    <x v="3"/>
    <s v="6012 - DEFESA NACIONAL"/>
    <x v="134"/>
    <n v="0"/>
    <n v="0"/>
    <n v="0"/>
  </r>
  <r>
    <x v="3"/>
    <s v="2206 - POLITICA NUCLEAR"/>
    <x v="594"/>
    <n v="0"/>
    <n v="0"/>
    <n v="0"/>
  </r>
  <r>
    <x v="3"/>
    <s v="2221 - RECURSOS HIDRICOS"/>
    <x v="424"/>
    <n v="263457.51"/>
    <n v="204003.32"/>
    <n v="246274.41"/>
  </r>
  <r>
    <x v="3"/>
    <s v="0032 - PROGRAMA DE GESTAO E MANUTENCAO DO PODER EXECUTIVO"/>
    <x v="609"/>
    <n v="168245685.19999999"/>
    <n v="51138191.090000004"/>
    <n v="57386184.200000003"/>
  </r>
  <r>
    <x v="3"/>
    <s v="0910 - OPERACOES ESPECIAIS: GESTAO DA PARTICIPACAO EM ORGANISMOS E ENTIDADES NACIONAIS E INTERNACIONAIS"/>
    <x v="369"/>
    <n v="3798664.94"/>
    <n v="3080292.1"/>
    <n v="3071360.42"/>
  </r>
  <r>
    <x v="3"/>
    <s v="2221 - RECURSOS HIDRICOS"/>
    <x v="669"/>
    <n v="13864506.99"/>
    <n v="2815507.54"/>
    <n v="2922286.67"/>
  </r>
  <r>
    <x v="3"/>
    <s v="5016 - SEGURANCA PUBLICA, COMBATE A CORRUPCAO, AO CRIME ORGANIZADO E AO CRIME VIOLENTO"/>
    <x v="948"/>
    <n v="0"/>
    <n v="0"/>
    <n v="0"/>
  </r>
  <r>
    <x v="3"/>
    <s v="5011 - EDUCACAO BASICA DE QUALIDADE"/>
    <x v="436"/>
    <n v="3691307"/>
    <n v="1923442.56"/>
    <n v="2124525"/>
  </r>
  <r>
    <x v="3"/>
    <s v="2216 - POLITICA EXTERNA"/>
    <x v="732"/>
    <n v="10651944.08"/>
    <n v="3819420.5"/>
    <n v="3823340.63"/>
  </r>
  <r>
    <x v="3"/>
    <s v="1040 - GOVERNANCA FUNDIARIA"/>
    <x v="605"/>
    <n v="121547.27"/>
    <n v="109043.12"/>
    <n v="72874.149999999994"/>
  </r>
  <r>
    <x v="3"/>
    <s v="6011 - COOPERACAO COM O DESENVOLVIMENTO NACIONAL"/>
    <x v="430"/>
    <n v="45002.9"/>
    <n v="308261.26"/>
    <n v="308261.26"/>
  </r>
  <r>
    <x v="3"/>
    <s v="5020 - DESENVOLVIMENTO CIENTIFICO, TECNOLOGICO E PRODUTIVO EM SAUDE"/>
    <x v="817"/>
    <n v="0"/>
    <n v="4429634.5"/>
    <n v="6273.5"/>
  </r>
  <r>
    <x v="3"/>
    <s v="3002 - GEOLOGIA, MINERACAO E TRANSFORMACAO MINERAL"/>
    <x v="743"/>
    <n v="-30492.38"/>
    <n v="254178.81"/>
    <n v="491351.28"/>
  </r>
  <r>
    <x v="3"/>
    <s v="2203 - PESQUISA E INOVACAO AGROPECUARIA"/>
    <x v="618"/>
    <n v="3341"/>
    <n v="4173"/>
    <n v="3400"/>
  </r>
  <r>
    <x v="3"/>
    <s v="3006 - TRANSPORTE TERRESTRE E TRANSITO"/>
    <x v="111"/>
    <n v="0"/>
    <n v="162556.17000000001"/>
    <n v="163109.44"/>
  </r>
  <r>
    <x v="3"/>
    <s v="6012 - DEFESA NACIONAL"/>
    <x v="525"/>
    <n v="8318278.0700000003"/>
    <n v="829338.45"/>
    <n v="367814.86"/>
  </r>
  <r>
    <x v="3"/>
    <s v="6012 - DEFESA NACIONAL"/>
    <x v="637"/>
    <n v="3482477.36"/>
    <n v="115167.32"/>
    <n v="131074.26"/>
  </r>
  <r>
    <x v="3"/>
    <s v="2215 - POLITICA ECONOMICA E EQUILIBRIO FISCAL"/>
    <x v="96"/>
    <n v="92789.99"/>
    <n v="74025.25"/>
    <n v="74025.25"/>
  </r>
  <r>
    <x v="3"/>
    <s v="1058 - MUDANCA DO CLIMA"/>
    <x v="567"/>
    <n v="313446.89"/>
    <n v="533363.98"/>
    <n v="533116.03"/>
  </r>
  <r>
    <x v="3"/>
    <s v="2217 - DESENVOLVIMENTO REGIONAL, TERRITORIAL E URBANO"/>
    <x v="403"/>
    <n v="0"/>
    <n v="0"/>
    <n v="0"/>
  </r>
  <r>
    <x v="3"/>
    <s v="0032 - PROGRAMA DE GESTAO E MANUTENCAO DO PODER EXECUTIVO"/>
    <x v="795"/>
    <n v="4808072.72"/>
    <n v="1454605.52"/>
    <n v="1206092.18"/>
  </r>
  <r>
    <x v="3"/>
    <s v="2216 - POLITICA EXTERNA"/>
    <x v="694"/>
    <n v="865459.54"/>
    <n v="570800.46"/>
    <n v="570800.46"/>
  </r>
  <r>
    <x v="3"/>
    <s v="0909 - OPERACOES ESPECIAIS: OUTROS ENCARGOS ESPECIAIS"/>
    <x v="766"/>
    <n v="6662848.6900000004"/>
    <n v="76183564.420000002"/>
    <n v="76356908.049999997"/>
  </r>
  <r>
    <x v="3"/>
    <s v="5022 - PROTECAO, PROMOCAO E RECUPERACAO DA SAUDE INDIGENA"/>
    <x v="742"/>
    <n v="5927408.6200000001"/>
    <n v="2922876.36"/>
    <n v="2964679.21"/>
  </r>
  <r>
    <x v="3"/>
    <s v="6012 - DEFESA NACIONAL"/>
    <x v="739"/>
    <n v="12383271.279999999"/>
    <n v="841759.91"/>
    <n v="881203.77"/>
  </r>
  <r>
    <x v="3"/>
    <s v="2037 - CONSOLIDACAO DO SISTEMA UNICO DE ASSISTENCIA SOCIAL (SUAS)"/>
    <x v="1068"/>
    <n v="0"/>
    <n v="0"/>
    <n v="0"/>
  </r>
  <r>
    <x v="3"/>
    <s v="0032 - PROGRAMA DE GESTAO E MANUTENCAO DO PODER EXECUTIVO"/>
    <x v="599"/>
    <n v="11267521.699999999"/>
    <n v="2770448.81"/>
    <n v="832885.81"/>
  </r>
  <r>
    <x v="3"/>
    <s v="5013 - EDUCACAO SUPERIOR - GRADUACAO, POS-GRADUACAO, ENSINO, PESQUISA E EXTENSAO"/>
    <x v="396"/>
    <n v="2397422821.1399999"/>
    <n v="473798881.18000001"/>
    <n v="247309990.06999999"/>
  </r>
  <r>
    <x v="3"/>
    <s v="5013 - EDUCACAO SUPERIOR - GRADUACAO, POS-GRADUACAO, ENSINO, PESQUISA E EXTENSAO"/>
    <x v="129"/>
    <n v="18363144.690000001"/>
    <n v="29164817.829999998"/>
    <n v="23564827.760000002"/>
  </r>
  <r>
    <x v="3"/>
    <s v="0911 - OPERACOES ESPECIAIS - REMUNERACAO DE AGENTES FINANCEIROS"/>
    <x v="650"/>
    <n v="79585184.680000007"/>
    <n v="79436688.180000007"/>
    <n v="79409044.879999995"/>
  </r>
  <r>
    <x v="3"/>
    <s v="5014 - ESTATISTICAS E AVALIACOES EDUCACIONAIS"/>
    <x v="132"/>
    <n v="121113.38"/>
    <n v="336409.64"/>
    <n v="327763.56"/>
  </r>
  <r>
    <x v="3"/>
    <s v="2202 - DEFESA AGROPECUARIA"/>
    <x v="697"/>
    <n v="1452560.17"/>
    <n v="354175.85"/>
    <n v="340249.82"/>
  </r>
  <r>
    <x v="3"/>
    <s v="5013 - EDUCACAO SUPERIOR - GRADUACAO, POS-GRADUACAO, ENSINO, PESQUISA E EXTENSAO"/>
    <x v="762"/>
    <n v="161214536.28"/>
    <n v="49697926.390000001"/>
    <n v="29151611.609999999"/>
  </r>
  <r>
    <x v="3"/>
    <s v="0909 - OPERACOES ESPECIAIS: OUTROS ENCARGOS ESPECIAIS"/>
    <x v="556"/>
    <n v="0"/>
    <n v="692947.41"/>
    <n v="292796.98"/>
  </r>
  <r>
    <x v="3"/>
    <s v="2080 - EDUCACAO DE QUALIDADE PARA TODOS"/>
    <x v="762"/>
    <n v="0"/>
    <n v="0"/>
    <n v="0"/>
  </r>
  <r>
    <x v="3"/>
    <s v="2221 - RECURSOS HIDRICOS"/>
    <x v="235"/>
    <n v="20000"/>
    <n v="3782.6"/>
    <n v="2110.3000000000002"/>
  </r>
  <r>
    <x v="3"/>
    <s v="5034 - PROTECAO A VIDA, FORTALECIMENTO DA FAMILIA, PROMOCAO E DEFESA DOS DIREITOS HUMANOS PARA TODOS"/>
    <x v="393"/>
    <n v="746440.23"/>
    <n v="236573.83"/>
    <n v="236573.83"/>
  </r>
  <r>
    <x v="3"/>
    <s v="2201 - BRASIL MODERNIZA"/>
    <x v="520"/>
    <n v="417956.23"/>
    <n v="281203.78999999998"/>
    <n v="226496.89"/>
  </r>
  <r>
    <x v="3"/>
    <s v="6012 - DEFESA NACIONAL"/>
    <x v="777"/>
    <n v="918163.44"/>
    <n v="356448.14"/>
    <n v="323538.21999999997"/>
  </r>
  <r>
    <x v="3"/>
    <s v="6012 - DEFESA NACIONAL"/>
    <x v="466"/>
    <n v="61565927.890000001"/>
    <n v="20271443.02"/>
    <n v="21146673.109999999"/>
  </r>
  <r>
    <x v="3"/>
    <s v="1031 - AGROPECUARIA SUSTENTAVEL"/>
    <x v="602"/>
    <n v="55140.02"/>
    <n v="266.44"/>
    <n v="266.44"/>
  </r>
  <r>
    <x v="3"/>
    <s v="0151 - PROTECAO DE TERRAS INDIGENAS, GESTAO TERRITORIAL E ETNODESENVOLVIMENTO"/>
    <x v="1069"/>
    <n v="0"/>
    <n v="0"/>
    <n v="0"/>
  </r>
  <r>
    <x v="3"/>
    <s v="0032 - PROGRAMA DE GESTAO E MANUTENCAO DO PODER EXECUTIVO"/>
    <x v="644"/>
    <n v="8181729.0700000003"/>
    <n v="551193.28"/>
    <n v="548806.73"/>
  </r>
  <r>
    <x v="3"/>
    <s v="0910 - OPERACOES ESPECIAIS: GESTAO DA PARTICIPACAO EM ORGANISMOS E ENTIDADES NACIONAIS E INTERNACIONAIS"/>
    <x v="693"/>
    <n v="1797243.9"/>
    <n v="1735901.61"/>
    <n v="1912140.62"/>
  </r>
  <r>
    <x v="3"/>
    <s v="6012 - DEFESA NACIONAL"/>
    <x v="741"/>
    <n v="1062020.79"/>
    <n v="178982.35"/>
    <n v="176242.67"/>
  </r>
  <r>
    <x v="3"/>
    <s v="5022 - PROTECAO, PROMOCAO E RECUPERACAO DA SAUDE INDIGENA"/>
    <x v="692"/>
    <n v="371846176.00999999"/>
    <n v="85260994.599999994"/>
    <n v="83238926.200000003"/>
  </r>
  <r>
    <x v="3"/>
    <s v="5019 - ATENCAO PRIMARIA A SAUDE"/>
    <x v="412"/>
    <n v="8199000"/>
    <n v="12417000"/>
    <n v="12417000"/>
  </r>
  <r>
    <x v="3"/>
    <s v="2216 - POLITICA EXTERNA"/>
    <x v="384"/>
    <n v="301932.98"/>
    <n v="82532.479999999996"/>
    <n v="82532.479999999996"/>
  </r>
  <r>
    <x v="3"/>
    <s v="2212 - MELHORIA DO AMBIENTE DE NEGOCIOS E DA PRODUTIVIDADE"/>
    <x v="329"/>
    <n v="31621083.129999999"/>
    <n v="30873383.129999999"/>
    <n v="30770008.129999999"/>
  </r>
  <r>
    <x v="3"/>
    <s v="6012 - DEFESA NACIONAL"/>
    <x v="717"/>
    <n v="456003.4"/>
    <n v="519244.75"/>
    <n v="543488.84"/>
  </r>
  <r>
    <x v="3"/>
    <s v="5019 - ATENCAO PRIMARIA A SAUDE"/>
    <x v="86"/>
    <n v="2105000"/>
    <n v="2105000"/>
    <n v="2105000"/>
  </r>
  <r>
    <x v="3"/>
    <s v="5013 - EDUCACAO SUPERIOR - GRADUACAO, POS-GRADUACAO, ENSINO, PESQUISA E EXTENSAO"/>
    <x v="793"/>
    <n v="72388502.989999995"/>
    <n v="73220316.689999998"/>
    <n v="66327875.670000002"/>
  </r>
  <r>
    <x v="3"/>
    <s v="5016 - SEGURANCA PUBLICA, COMBATE A CORRUPCAO, AO CRIME ORGANIZADO E AO CRIME VIOLENTO"/>
    <x v="703"/>
    <n v="24859435.210000001"/>
    <n v="19235552.539999999"/>
    <n v="11756406.939999999"/>
  </r>
  <r>
    <x v="3"/>
    <s v="0032 - PROGRAMA DE GESTAO E MANUTENCAO DO PODER EXECUTIVO"/>
    <x v="984"/>
    <n v="1617524.61"/>
    <n v="0"/>
    <n v="0"/>
  </r>
  <r>
    <x v="3"/>
    <s v="6012 - DEFESA NACIONAL"/>
    <x v="773"/>
    <n v="10310272.390000001"/>
    <n v="2747555.44"/>
    <n v="2349794.5099999998"/>
  </r>
  <r>
    <x v="3"/>
    <s v="0032 - PROGRAMA DE GESTAO E MANUTENCAO DO PODER EXECUTIVO"/>
    <x v="791"/>
    <n v="1309354193.45"/>
    <n v="5681804578.79"/>
    <n v="5619569525.29"/>
  </r>
  <r>
    <x v="3"/>
    <s v="1041 - CONSERVACAO E USO SUSTENTAVEL DA BIODIVERSIDADE E DOS RECURSOS NATURAIS"/>
    <x v="568"/>
    <n v="157568.26"/>
    <n v="418374.52"/>
    <n v="461550.08000000002"/>
  </r>
  <r>
    <x v="3"/>
    <s v="5016 - SEGURANCA PUBLICA, COMBATE A CORRUPCAO, AO CRIME ORGANIZADO E AO CRIME VIOLENTO"/>
    <x v="785"/>
    <n v="103867264.73999999"/>
    <n v="18582979.059999999"/>
    <n v="15578393.699999999"/>
  </r>
  <r>
    <x v="3"/>
    <s v="2221 - RECURSOS HIDRICOS"/>
    <x v="465"/>
    <n v="14851958.65"/>
    <n v="2463731.6800000002"/>
    <n v="2399894.13"/>
  </r>
  <r>
    <x v="3"/>
    <s v="0032 - PROGRAMA DE GESTAO E MANUTENCAO DO PODER EXECUTIVO"/>
    <x v="383"/>
    <n v="602378832.72000003"/>
    <n v="2486297886.1199999"/>
    <n v="2635300491.4899998"/>
  </r>
  <r>
    <x v="3"/>
    <s v="5033 - SEGURANCA ALIMENTAR E NUTRICIONAL"/>
    <x v="557"/>
    <n v="18125602.050000001"/>
    <n v="3094343.76"/>
    <n v="3092343.76"/>
  </r>
  <r>
    <x v="3"/>
    <s v="6012 - DEFESA NACIONAL"/>
    <x v="639"/>
    <n v="256554842.66"/>
    <n v="28913913.640000001"/>
    <n v="25829425.02"/>
  </r>
  <r>
    <x v="3"/>
    <s v="2080 - EDUCACAO DE QUALIDADE PARA TODOS"/>
    <x v="865"/>
    <n v="0"/>
    <n v="0"/>
    <n v="0"/>
  </r>
  <r>
    <x v="3"/>
    <s v="5034 - PROTECAO A VIDA, FORTALECIMENTO DA FAMILIA, PROMOCAO E DEFESA DOS DIREITOS HUMANOS PARA TODOS"/>
    <x v="911"/>
    <n v="14318751.800000001"/>
    <n v="11300.17"/>
    <n v="11300.17"/>
  </r>
  <r>
    <x v="3"/>
    <s v="5012 - EDUCACAO PROFISSIONAL E TECNOLOGICA"/>
    <x v="526"/>
    <n v="300000"/>
    <n v="0"/>
    <n v="0"/>
  </r>
  <r>
    <x v="3"/>
    <s v="1040 - GOVERNANCA FUNDIARIA"/>
    <x v="737"/>
    <n v="551720.43999999994"/>
    <n v="509796.53"/>
    <n v="459644.71"/>
  </r>
  <r>
    <x v="3"/>
    <s v="2221 - RECURSOS HIDRICOS"/>
    <x v="880"/>
    <n v="0"/>
    <n v="0"/>
    <n v="0"/>
  </r>
  <r>
    <x v="3"/>
    <s v="2222 - SANEAMENTO BASICO"/>
    <x v="706"/>
    <n v="-5000"/>
    <n v="0"/>
    <n v="11374.91"/>
  </r>
  <r>
    <x v="3"/>
    <s v="6012 - DEFESA NACIONAL"/>
    <x v="886"/>
    <n v="2065233.9"/>
    <n v="206483.74"/>
    <n v="24490.99"/>
  </r>
  <r>
    <x v="3"/>
    <s v="0033 - PROGRAMA DE GESTAO E MANUTENCAO DO PODER JUDICIARIO"/>
    <x v="297"/>
    <n v="16162"/>
    <n v="16173.18"/>
    <n v="123998.81"/>
  </r>
  <r>
    <x v="3"/>
    <s v="1031 - AGROPECUARIA SUSTENTAVEL"/>
    <x v="756"/>
    <n v="428159.95"/>
    <n v="339222.89"/>
    <n v="373466.65"/>
  </r>
  <r>
    <x v="3"/>
    <s v="2209 - BRASIL, NOSSO PROPOSITO"/>
    <x v="750"/>
    <n v="11922503.51"/>
    <n v="3774427.95"/>
    <n v="3842404.73"/>
  </r>
  <r>
    <x v="3"/>
    <s v="0032 - PROGRAMA DE GESTAO E MANUTENCAO DO PODER EXECUTIVO"/>
    <x v="681"/>
    <n v="1162094425.72"/>
    <n v="95298255.709999993"/>
    <n v="95298255.709999993"/>
  </r>
  <r>
    <x v="3"/>
    <s v="6012 - DEFESA NACIONAL"/>
    <x v="499"/>
    <n v="210035092.03"/>
    <n v="27598837.649999999"/>
    <n v="1998502.15"/>
  </r>
  <r>
    <x v="3"/>
    <s v="0032 - PROGRAMA DE GESTAO E MANUTENCAO DO PODER EXECUTIVO"/>
    <x v="489"/>
    <n v="185126372.81999999"/>
    <n v="80103485.040000007"/>
    <n v="82233005.430000007"/>
  </r>
  <r>
    <x v="3"/>
    <s v="3002 - GEOLOGIA, MINERACAO E TRANSFORMACAO MINERAL"/>
    <x v="607"/>
    <n v="3425739.61"/>
    <n v="706484.76"/>
    <n v="864039.16"/>
  </r>
  <r>
    <x v="3"/>
    <s v="1031 - AGROPECUARIA SUSTENTAVEL"/>
    <x v="723"/>
    <n v="11506476.01"/>
    <n v="9026202.3000000007"/>
    <n v="8743104.3399999999"/>
  </r>
  <r>
    <x v="3"/>
    <s v="6012 - DEFESA NACIONAL"/>
    <x v="378"/>
    <n v="3167.23"/>
    <n v="215588.77"/>
    <n v="219485.98"/>
  </r>
  <r>
    <x v="3"/>
    <s v="0032 - PROGRAMA DE GESTAO E MANUTENCAO DO PODER EXECUTIVO"/>
    <x v="699"/>
    <n v="40383360.369999997"/>
    <n v="24477853.199999999"/>
    <n v="13225475.619999999"/>
  </r>
  <r>
    <x v="3"/>
    <s v="2216 - POLITICA EXTERNA"/>
    <x v="583"/>
    <n v="27120893.120000001"/>
    <n v="6247162.2599999998"/>
    <n v="6434174.0700000003"/>
  </r>
  <r>
    <x v="3"/>
    <s v="3006 - TRANSPORTE TERRESTRE E TRANSITO"/>
    <x v="651"/>
    <n v="2997810"/>
    <n v="0"/>
    <n v="0"/>
  </r>
  <r>
    <x v="3"/>
    <s v="0032 - PROGRAMA DE GESTAO E MANUTENCAO DO PODER EXECUTIVO"/>
    <x v="779"/>
    <n v="442485.69"/>
    <n v="237168.92"/>
    <n v="234029.58"/>
  </r>
  <r>
    <x v="3"/>
    <s v="6013 - OCEANOS, ZONA COSTEIRA E ANTARTICA"/>
    <x v="413"/>
    <n v="640391.5"/>
    <n v="643017.73"/>
    <n v="36730.97"/>
  </r>
  <r>
    <x v="3"/>
    <s v="6012 - DEFESA NACIONAL"/>
    <x v="25"/>
    <n v="8551618.8000000007"/>
    <n v="3387512.18"/>
    <n v="3135396.03"/>
  </r>
  <r>
    <x v="3"/>
    <s v="2077 - AGROPECUARIA SUSTENTAVEL"/>
    <x v="713"/>
    <n v="0"/>
    <n v="0"/>
    <n v="0"/>
  </r>
  <r>
    <x v="3"/>
    <s v="0032 - PROGRAMA DE GESTAO E MANUTENCAO DO PODER EXECUTIVO"/>
    <x v="588"/>
    <n v="3206000"/>
    <n v="263013.51"/>
    <n v="50104.86"/>
  </r>
  <r>
    <x v="3"/>
    <s v="5013 - EDUCACAO SUPERIOR - GRADUACAO, POS-GRADUACAO, ENSINO, PESQUISA E EXTENSAO"/>
    <x v="504"/>
    <n v="17122753.890000001"/>
    <n v="18531855.719999999"/>
    <n v="18222245.789999999"/>
  </r>
  <r>
    <x v="3"/>
    <s v="0032 - PROGRAMA DE GESTAO E MANUTENCAO DO PODER EXECUTIVO"/>
    <x v="493"/>
    <n v="22577197.460000001"/>
    <n v="79710374.209999993"/>
    <n v="80829937.959999993"/>
  </r>
  <r>
    <x v="3"/>
    <s v="0032 - PROGRAMA DE GESTAO E MANUTENCAO DO PODER EXECUTIVO"/>
    <x v="628"/>
    <n v="341047592.75"/>
    <n v="1162044949.54"/>
    <n v="1161343506.6199999"/>
  </r>
  <r>
    <x v="3"/>
    <s v="2216 - POLITICA EXTERNA"/>
    <x v="781"/>
    <n v="364280641.94"/>
    <n v="73967922.489999995"/>
    <n v="73543879.959999993"/>
  </r>
  <r>
    <x v="3"/>
    <s v="2214 - NOVA PREVIDENCIA"/>
    <x v="740"/>
    <n v="3652637.61"/>
    <n v="80290.75"/>
    <n v="102863.85"/>
  </r>
  <r>
    <x v="3"/>
    <s v="6012 - DEFESA NACIONAL"/>
    <x v="736"/>
    <n v="1312559.72"/>
    <n v="1247418.94"/>
    <n v="854343.34"/>
  </r>
  <r>
    <x v="3"/>
    <s v="4004 - TRANSPARENCIA, INTEGRIDADE E COMBATE A CORRUPCAO"/>
    <x v="715"/>
    <n v="49110309.609999999"/>
    <n v="6787166.8399999999"/>
    <n v="7450350.2800000003"/>
  </r>
  <r>
    <x v="3"/>
    <s v="6012 - DEFESA NACIONAL"/>
    <x v="761"/>
    <n v="1922105.42"/>
    <n v="1411009.51"/>
    <n v="1152643.6000000001"/>
  </r>
  <r>
    <x v="3"/>
    <s v="3006 - TRANSPORTE TERRESTRE E TRANSITO"/>
    <x v="367"/>
    <n v="1334825610.1700001"/>
    <n v="243733944.22"/>
    <n v="230058346.00999999"/>
  </r>
  <r>
    <x v="3"/>
    <s v="1031 - AGROPECUARIA SUSTENTAVEL"/>
    <x v="713"/>
    <n v="3800"/>
    <n v="7403.69"/>
    <n v="7261.26"/>
  </r>
  <r>
    <x v="3"/>
    <s v="2217 - DESENVOLVIMENTO REGIONAL, TERRITORIAL E URBANO"/>
    <x v="757"/>
    <n v="9326046.1799999997"/>
    <n v="3945.1"/>
    <n v="0"/>
  </r>
  <r>
    <x v="3"/>
    <s v="0032 - PROGRAMA DE GESTAO E MANUTENCAO DO PODER EXECUTIVO"/>
    <x v="782"/>
    <n v="2419403907.7800002"/>
    <n v="7491914578.25"/>
    <n v="7132988209.5"/>
  </r>
  <r>
    <x v="3"/>
    <s v="0032 - PROGRAMA DE GESTAO E MANUTENCAO DO PODER EXECUTIVO"/>
    <x v="40"/>
    <n v="5049060.72"/>
    <n v="2477742.9300000002"/>
    <n v="2125580.73"/>
  </r>
  <r>
    <x v="3"/>
    <s v="6012 - DEFESA NACIONAL"/>
    <x v="38"/>
    <n v="0"/>
    <n v="0"/>
    <n v="0"/>
  </r>
  <r>
    <x v="3"/>
    <s v="2203 - PESQUISA E INOVACAO AGROPECUARIA"/>
    <x v="270"/>
    <n v="28374286.789999999"/>
    <n v="13661780.710000001"/>
    <n v="12581591.15"/>
  </r>
  <r>
    <x v="3"/>
    <s v="6011 - COOPERACAO COM O DESENVOLVIMENTO NACIONAL"/>
    <x v="662"/>
    <n v="5841358.04"/>
    <n v="719568.79"/>
    <n v="503135.5"/>
  </r>
  <r>
    <x v="3"/>
    <s v="6012 - DEFESA NACIONAL"/>
    <x v="758"/>
    <n v="24374176.84"/>
    <n v="4951920.1900000004"/>
    <n v="3695601.03"/>
  </r>
  <r>
    <x v="3"/>
    <s v="6011 - COOPERACAO COM O DESENVOLVIMENTO NACIONAL"/>
    <x v="134"/>
    <n v="0"/>
    <n v="0"/>
    <n v="0"/>
  </r>
  <r>
    <x v="3"/>
    <s v="0032 - PROGRAMA DE GESTAO E MANUTENCAO DO PODER EXECUTIVO"/>
    <x v="770"/>
    <n v="103265644.84999999"/>
    <n v="47100143.030000001"/>
    <n v="46537218.170000002"/>
  </r>
  <r>
    <x v="3"/>
    <s v="5012 - EDUCACAO PROFISSIONAL E TECNOLOGICA"/>
    <x v="759"/>
    <n v="3597605.66"/>
    <n v="1068178.02"/>
    <n v="633347.06999999995"/>
  </r>
  <r>
    <x v="3"/>
    <s v="5011 - EDUCACAO BASICA DE QUALIDADE"/>
    <x v="188"/>
    <n v="10540704.24"/>
    <n v="492255333.66000003"/>
    <n v="492102071.48000002"/>
  </r>
  <r>
    <x v="3"/>
    <s v="6012 - DEFESA NACIONAL"/>
    <x v="652"/>
    <n v="91582229.099999994"/>
    <n v="19782160.510000002"/>
    <n v="22130815.210000001"/>
  </r>
  <r>
    <x v="3"/>
    <s v="1040 - GOVERNANCA FUNDIARIA"/>
    <x v="81"/>
    <n v="33342.6"/>
    <n v="4908.67"/>
    <n v="5680.41"/>
  </r>
  <r>
    <x v="3"/>
    <s v="5020 - DESENVOLVIMENTO CIENTIFICO, TECNOLOGICO E PRODUTIVO EM SAUDE"/>
    <x v="579"/>
    <n v="42392082.93"/>
    <n v="30952949.789999999"/>
    <n v="28065278.469999999"/>
  </r>
  <r>
    <x v="3"/>
    <s v="6012 - DEFESA NACIONAL"/>
    <x v="787"/>
    <n v="274057407.75"/>
    <n v="25104453.120000001"/>
    <n v="24339985.559999999"/>
  </r>
  <r>
    <x v="3"/>
    <s v="1031 - AGROPECUARIA SUSTENTAVEL"/>
    <x v="461"/>
    <n v="41806.74"/>
    <n v="18753.59"/>
    <n v="13794.56"/>
  </r>
  <r>
    <x v="3"/>
    <s v="1041 - CONSERVACAO E USO SUSTENTAVEL DA BIODIVERSIDADE E DOS RECURSOS NATURAIS"/>
    <x v="702"/>
    <n v="2277767.92"/>
    <n v="882590.79"/>
    <n v="883918.19"/>
  </r>
  <r>
    <x v="3"/>
    <s v="5012 - EDUCACAO PROFISSIONAL E TECNOLOGICA"/>
    <x v="365"/>
    <n v="458419870.89999998"/>
    <n v="113771987.98999999"/>
    <n v="106018231.62"/>
  </r>
  <r>
    <x v="3"/>
    <s v="5013 - EDUCACAO SUPERIOR - GRADUACAO, POS-GRADUACAO, ENSINO, PESQUISA E EXTENSAO"/>
    <x v="798"/>
    <n v="47655955.009999998"/>
    <n v="26471240.460000001"/>
    <n v="25259354.620000001"/>
  </r>
  <r>
    <x v="3"/>
    <s v="1031 - AGROPECUARIA SUSTENTAVEL"/>
    <x v="15"/>
    <n v="484087639.25999999"/>
    <n v="226967714.69"/>
    <n v="226967714.69"/>
  </r>
  <r>
    <x v="3"/>
    <s v="4002 - SEGURANCA INSTITUCIONAL"/>
    <x v="438"/>
    <n v="20696979.960000001"/>
    <n v="4746838.9000000004"/>
    <n v="4901867.72"/>
  </r>
  <r>
    <x v="3"/>
    <s v="5012 - EDUCACAO PROFISSIONAL E TECNOLOGICA"/>
    <x v="454"/>
    <n v="124463817.88"/>
    <n v="29465828.98"/>
    <n v="24225490.359999999"/>
  </r>
  <r>
    <x v="3"/>
    <s v="2213 - MODERNIZACAO TRABALHISTA E TRABALHO DIGNO"/>
    <x v="534"/>
    <n v="1454647.97"/>
    <n v="1039526.49"/>
    <n v="1033167.48"/>
  </r>
  <r>
    <x v="3"/>
    <s v="1041 - CONSERVACAO E USO SUSTENTAVEL DA BIODIVERSIDADE E DOS RECURSOS NATURAIS"/>
    <x v="711"/>
    <n v="32506821.329999998"/>
    <n v="5961593"/>
    <n v="6684061"/>
  </r>
  <r>
    <x v="3"/>
    <s v="2080 - EDUCACAO DE QUALIDADE PARA TODOS"/>
    <x v="454"/>
    <n v="0"/>
    <n v="0"/>
    <n v="0"/>
  </r>
  <r>
    <x v="3"/>
    <s v="5012 - EDUCACAO PROFISSIONAL E TECNOLOGICA"/>
    <x v="682"/>
    <n v="7547636.3700000001"/>
    <n v="3778189.59"/>
    <n v="1927243.69"/>
  </r>
  <r>
    <x v="3"/>
    <s v="2203 - PESQUISA E INOVACAO AGROPECUARIA"/>
    <x v="780"/>
    <n v="-1574"/>
    <n v="2727.44"/>
    <n v="2687.44"/>
  </r>
  <r>
    <x v="3"/>
    <s v="0032 - PROGRAMA DE GESTAO E MANUTENCAO DO PODER EXECUTIVO"/>
    <x v="709"/>
    <n v="2677462.0099999998"/>
    <n v="1376766.77"/>
    <n v="1345533.97"/>
  </r>
  <r>
    <x v="3"/>
    <s v="5013 - EDUCACAO SUPERIOR - GRADUACAO, POS-GRADUACAO, ENSINO, PESQUISA E EXTENSAO"/>
    <x v="784"/>
    <n v="292263799.38"/>
    <n v="83697479.5"/>
    <n v="64834290.200000003"/>
  </r>
  <r>
    <x v="3"/>
    <s v="5011 - EDUCACAO BASICA DE QUALIDADE"/>
    <x v="752"/>
    <n v="1195359.99"/>
    <n v="1265176.81"/>
    <n v="1081833.97"/>
  </r>
  <r>
    <x v="3"/>
    <s v="0032 - PROGRAMA DE GESTAO E MANUTENCAO DO PODER EXECUTIVO"/>
    <x v="796"/>
    <n v="302239660.5"/>
    <n v="690439639.51999998"/>
    <n v="656067645.83000004"/>
  </r>
  <r>
    <x v="3"/>
    <s v="6011 - COOPERACAO COM O DESENVOLVIMENTO NACIONAL"/>
    <x v="55"/>
    <n v="-2162.04"/>
    <n v="0"/>
    <n v="0"/>
  </r>
  <r>
    <x v="3"/>
    <s v="0032 - PROGRAMA DE GESTAO E MANUTENCAO DO PODER EXECUTIVO"/>
    <x v="52"/>
    <n v="2266724220.7399998"/>
    <n v="582766114.41999996"/>
    <n v="574924303.88"/>
  </r>
  <r>
    <x v="3"/>
    <s v="6012 - DEFESA NACIONAL"/>
    <x v="788"/>
    <n v="20813478.370000001"/>
    <n v="27390405.329999998"/>
    <n v="30061770.809999999"/>
  </r>
  <r>
    <x v="3"/>
    <s v="5031 - PROTECAO SOCIAL NO AMBITO DO SISTEMA UNICO DE ASSISTENCIA SOCIAL (SUAS)"/>
    <x v="463"/>
    <n v="50932862"/>
    <n v="0"/>
    <n v="0"/>
  </r>
  <r>
    <x v="3"/>
    <s v="5013 - EDUCACAO SUPERIOR - GRADUACAO, POS-GRADUACAO, ENSINO, PESQUISA E EXTENSAO"/>
    <x v="769"/>
    <n v="831364665.48000002"/>
    <n v="310070352.57999998"/>
    <n v="290403382.22000003"/>
  </r>
  <r>
    <x v="3"/>
    <s v="0032 - PROGRAMA DE GESTAO E MANUTENCAO DO PODER EXECUTIVO"/>
    <x v="295"/>
    <n v="0"/>
    <n v="34197.870000000003"/>
    <n v="34197.870000000003"/>
  </r>
  <r>
    <x v="3"/>
    <s v="0032 - PROGRAMA DE GESTAO E MANUTENCAO DO PODER EXECUTIVO"/>
    <x v="114"/>
    <n v="396417998.17000002"/>
    <n v="401320595.38"/>
    <n v="409666098.97000003"/>
  </r>
  <r>
    <x v="4"/>
    <s v="2080 - EDUCACAO DE QUALIDADE PARA TODOS"/>
    <x v="386"/>
    <n v="0"/>
    <n v="0"/>
    <n v="0"/>
  </r>
  <r>
    <x v="4"/>
    <s v="1214 - ATENCAO BASICA EM SAUDE"/>
    <x v="286"/>
    <n v="0"/>
    <n v="0"/>
    <n v="0"/>
  </r>
  <r>
    <x v="4"/>
    <s v="5028 - INCLUSAO SOCIAL POR MEIO DO BOLSA FAMILIA E DA ARTICULACAO DE POLITICAS PUBLICAS"/>
    <x v="152"/>
    <n v="0"/>
    <n v="0"/>
    <n v="0"/>
  </r>
  <r>
    <x v="4"/>
    <s v="0617 - PROTECAO E PROMOCAO DOS DIREITOS DOS POVOS INDIGENAS"/>
    <x v="819"/>
    <n v="0"/>
    <n v="0"/>
    <n v="0"/>
  </r>
  <r>
    <x v="4"/>
    <s v="2208 - TECNOLOGIAS APLICADAS, INOVACAO E DESENVOLVIMENTO SUSTENTAVEL"/>
    <x v="749"/>
    <n v="538547.05000000005"/>
    <n v="538547.05000000005"/>
    <n v="538547.05000000005"/>
  </r>
  <r>
    <x v="4"/>
    <s v="0910 - OPERACOES ESPECIAIS: GESTAO DA PARTICIPACAO EM ORGANISMOS E ENTIDADES NACIONAIS E INTERNACIONAIS"/>
    <x v="1037"/>
    <n v="0"/>
    <n v="0"/>
    <n v="0"/>
  </r>
  <r>
    <x v="4"/>
    <s v="0032 - PROGRAMA DE GESTAO E MANUTENCAO DO PODER EXECUTIVO"/>
    <x v="143"/>
    <n v="0"/>
    <n v="0"/>
    <n v="0"/>
  </r>
  <r>
    <x v="4"/>
    <s v="3003 - PETROLEO, GAS, DERIVADOS E BIOCOMBUSTIVEIS"/>
    <x v="122"/>
    <n v="0"/>
    <n v="227312.5"/>
    <n v="227312.5"/>
  </r>
  <r>
    <x v="4"/>
    <s v="5028 - INCLUSAO SOCIAL POR MEIO DO BOLSA FAMILIA E DA ARTICULACAO DE POLITICAS PUBLICAS"/>
    <x v="228"/>
    <n v="0"/>
    <n v="0"/>
    <n v="0"/>
  </r>
  <r>
    <x v="4"/>
    <s v="0310 - GESTAO DA POLITICA DE DESENVOLVIMENTO URBANO"/>
    <x v="545"/>
    <n v="0"/>
    <n v="0"/>
    <n v="0"/>
  </r>
  <r>
    <x v="4"/>
    <s v="2015 - FORTALECIMENTO DO SISTEMA UNICO DE SAUDE (SUS)"/>
    <x v="771"/>
    <n v="0"/>
    <n v="0"/>
    <n v="0"/>
  </r>
  <r>
    <x v="4"/>
    <s v="2221 - RECURSOS HIDRICOS"/>
    <x v="880"/>
    <n v="0"/>
    <n v="0"/>
    <n v="0"/>
  </r>
  <r>
    <x v="4"/>
    <s v="3006 - TRANSPORTE TERRESTRE E TRANSITO"/>
    <x v="68"/>
    <n v="0"/>
    <n v="0"/>
    <n v="0"/>
  </r>
  <r>
    <x v="4"/>
    <s v="2066 - REFORMA AGRARIA E GOVERNANCA FUNDIARIA"/>
    <x v="585"/>
    <n v="0"/>
    <n v="0"/>
    <n v="0"/>
  </r>
  <r>
    <x v="4"/>
    <s v="2021 - CIENCIA, TECNOLOGIA E INOVACAO"/>
    <x v="674"/>
    <n v="0"/>
    <n v="0"/>
    <n v="0"/>
  </r>
  <r>
    <x v="4"/>
    <s v="1031 - AGROPECUARIA SUSTENTAVEL"/>
    <x v="1070"/>
    <n v="468040642"/>
    <n v="156013547"/>
    <n v="156013547"/>
  </r>
  <r>
    <x v="4"/>
    <s v="2206 - POLITICA NUCLEAR"/>
    <x v="851"/>
    <n v="0"/>
    <n v="0"/>
    <n v="0"/>
  </r>
  <r>
    <x v="4"/>
    <s v="2015 - FORTALECIMENTO DO SISTEMA UNICO DE SAUDE (SUS)"/>
    <x v="318"/>
    <n v="0"/>
    <n v="0"/>
    <n v="0"/>
  </r>
  <r>
    <x v="4"/>
    <s v="0151 - PROTECAO DE TERRAS INDIGENAS, GESTAO TERRITORIAL E ETNODESENVOLVIMENTO"/>
    <x v="558"/>
    <n v="0"/>
    <n v="0"/>
    <n v="0"/>
  </r>
  <r>
    <x v="4"/>
    <s v="3006 - TRANSPORTE TERRESTRE E TRANSITO"/>
    <x v="350"/>
    <n v="0"/>
    <n v="0"/>
    <n v="0"/>
  </r>
  <r>
    <x v="4"/>
    <s v="6012 - DEFESA NACIONAL"/>
    <x v="951"/>
    <n v="0"/>
    <n v="638179.35"/>
    <n v="611371.30000000005"/>
  </r>
  <r>
    <x v="4"/>
    <s v="1041 - CONSERVACAO E USO SUSTENTAVEL DA BIODIVERSIDADE E DOS RECURSOS NATURAIS"/>
    <x v="164"/>
    <n v="175424.68"/>
    <n v="474149.48"/>
    <n v="435703.53"/>
  </r>
  <r>
    <x v="4"/>
    <s v="2080 - EDUCACAO DE QUALIDADE PARA TODOS"/>
    <x v="504"/>
    <n v="0"/>
    <n v="0"/>
    <n v="0"/>
  </r>
  <r>
    <x v="4"/>
    <s v="0910 - OPERACOES ESPECIAIS: GESTAO DA PARTICIPACAO EM ORGANISMOS E ENTIDADES NACIONAIS E INTERNACIONAIS"/>
    <x v="1071"/>
    <n v="0"/>
    <n v="0"/>
    <n v="0"/>
  </r>
  <r>
    <x v="4"/>
    <s v="0909 - OPERACOES ESPECIAIS: OUTROS ENCARGOS ESPECIAIS"/>
    <x v="104"/>
    <n v="23246293.550000001"/>
    <n v="23246293.550000001"/>
    <n v="23246293.550000001"/>
  </r>
  <r>
    <x v="4"/>
    <s v="5016 - SEGURANCA PUBLICA, COMBATE A CORRUPCAO, AO CRIME ORGANIZADO E AO CRIME VIOLENTO"/>
    <x v="1072"/>
    <n v="0"/>
    <n v="0"/>
    <n v="0"/>
  </r>
  <r>
    <x v="4"/>
    <s v="6012 - DEFESA NACIONAL"/>
    <x v="881"/>
    <n v="29557.54"/>
    <n v="0"/>
    <n v="0"/>
  </r>
  <r>
    <x v="4"/>
    <s v="2015 - FORTALECIMENTO DO SISTEMA UNICO DE SAUDE (SUS)"/>
    <x v="829"/>
    <n v="0"/>
    <n v="0"/>
    <n v="0"/>
  </r>
  <r>
    <x v="4"/>
    <s v="2211 - INSERCAO ECONOMICA INTERNACIONAL"/>
    <x v="56"/>
    <n v="40000000"/>
    <n v="120000000"/>
    <n v="120000000"/>
  </r>
  <r>
    <x v="4"/>
    <s v="3001 - ENERGIA ELETRICA"/>
    <x v="304"/>
    <n v="90500"/>
    <n v="342497.34"/>
    <n v="330344.8"/>
  </r>
  <r>
    <x v="4"/>
    <s v="0903 - OPERACOES ESPECIAIS: TRANSFERENCIAS CONSTITUCIONAIS E AS DECORRENTES DE LEGISLACAO ESPECIFICA"/>
    <x v="64"/>
    <n v="3149035203"/>
    <n v="11886062278.379999"/>
    <n v="11886062278.379999"/>
  </r>
  <r>
    <x v="4"/>
    <s v="3005 - TRANSPORTE AQUAVIARIO"/>
    <x v="890"/>
    <n v="91806894.840000004"/>
    <n v="27950524.170000002"/>
    <n v="27950524.170000002"/>
  </r>
  <r>
    <x v="4"/>
    <s v="2216 - POLITICA EXTERNA"/>
    <x v="849"/>
    <n v="0"/>
    <n v="215212"/>
    <n v="215212"/>
  </r>
  <r>
    <x v="4"/>
    <s v="1031 - AGROPECUARIA SUSTENTAVEL"/>
    <x v="399"/>
    <n v="0"/>
    <n v="603652.03"/>
    <n v="603652.03"/>
  </r>
  <r>
    <x v="4"/>
    <s v="2221 - RECURSOS HIDRICOS"/>
    <x v="913"/>
    <n v="3034120.39"/>
    <n v="0"/>
    <n v="0"/>
  </r>
  <r>
    <x v="4"/>
    <s v="3006 - TRANSPORTE TERRESTRE E TRANSITO"/>
    <x v="835"/>
    <n v="0"/>
    <n v="0"/>
    <n v="0"/>
  </r>
  <r>
    <x v="4"/>
    <s v="0031 - PROGRAMA DE GESTAO E MANUTENCAO DO MINISTERIO PUBLICO"/>
    <x v="67"/>
    <n v="0"/>
    <n v="28939.97"/>
    <n v="28939.97"/>
  </r>
  <r>
    <x v="4"/>
    <s v="2208 - TECNOLOGIAS APLICADAS, INOVACAO E DESENVOLVIMENTO SUSTENTAVEL"/>
    <x v="916"/>
    <n v="502388.09"/>
    <n v="502388.09"/>
    <n v="0"/>
  </r>
  <r>
    <x v="4"/>
    <s v="1041 - CONSERVACAO E USO SUSTENTAVEL DA BIODIVERSIDADE E DOS RECURSOS NATURAIS"/>
    <x v="293"/>
    <n v="0"/>
    <n v="71577.73"/>
    <n v="69562.91"/>
  </r>
  <r>
    <x v="4"/>
    <s v="2068 - SANEAMENTO BASICO"/>
    <x v="543"/>
    <n v="0"/>
    <n v="0"/>
    <n v="0"/>
  </r>
  <r>
    <x v="4"/>
    <s v="0902 - OPERACOES ESPECIAIS: FINANCIAMENTOS COM RETORNO"/>
    <x v="290"/>
    <n v="109850064"/>
    <n v="414630079.50999999"/>
    <n v="414630079.50999999"/>
  </r>
  <r>
    <x v="4"/>
    <s v="2207 - PROGRAMA ESPACIAL BRASILEIRO"/>
    <x v="1073"/>
    <n v="0"/>
    <n v="0"/>
    <n v="0"/>
  </r>
  <r>
    <x v="4"/>
    <s v="1041 - CONSERVACAO E USO SUSTENTAVEL DA BIODIVERSIDADE E DOS RECURSOS NATURAIS"/>
    <x v="977"/>
    <n v="111307.98"/>
    <n v="41980.75"/>
    <n v="37598.21"/>
  </r>
  <r>
    <x v="4"/>
    <s v="0030 - PROGRAMA DE GESTAO E MANUTENCAO DA DEFENSORIA PUBLICA DA UNIAO"/>
    <x v="131"/>
    <n v="0"/>
    <n v="142"/>
    <n v="142"/>
  </r>
  <r>
    <x v="4"/>
    <s v="2204 - BRASIL NA FRONTEIRA DO CONHECIMENTO"/>
    <x v="29"/>
    <n v="170000"/>
    <n v="268008.55"/>
    <n v="268008.55"/>
  </r>
  <r>
    <x v="4"/>
    <s v="3006 - TRANSPORTE TERRESTRE E TRANSITO"/>
    <x v="838"/>
    <n v="2000000"/>
    <n v="0"/>
    <n v="0"/>
  </r>
  <r>
    <x v="4"/>
    <s v="2221 - RECURSOS HIDRICOS"/>
    <x v="339"/>
    <n v="3772482.28"/>
    <n v="94.8"/>
    <n v="3717.79"/>
  </r>
  <r>
    <x v="4"/>
    <s v="6012 - DEFESA NACIONAL"/>
    <x v="544"/>
    <n v="0"/>
    <n v="0"/>
    <n v="0"/>
  </r>
  <r>
    <x v="4"/>
    <s v="2111 - PROGRAMA DE GESTAO E MANUTENCAO DO MINISTERIO DO DESENVOLVIMENTO REGIONAL"/>
    <x v="52"/>
    <n v="0"/>
    <n v="0"/>
    <n v="0"/>
  </r>
  <r>
    <x v="4"/>
    <s v="3001 - ENERGIA ELETRICA"/>
    <x v="240"/>
    <n v="16015670.050000001"/>
    <n v="1663480.36"/>
    <n v="1617368.52"/>
  </r>
  <r>
    <x v="4"/>
    <s v="2080 - EDUCACAO DE QUALIDADE PARA TODOS"/>
    <x v="401"/>
    <n v="0"/>
    <n v="0"/>
    <n v="0"/>
  </r>
  <r>
    <x v="4"/>
    <s v="2080 - EDUCACAO DE QUALIDADE PARA TODOS"/>
    <x v="501"/>
    <n v="0"/>
    <n v="0"/>
    <n v="0"/>
  </r>
  <r>
    <x v="4"/>
    <s v="5029 - PRODUCAO DE DADOS E CONHECIMENTO PARA O APRIMORAMENTO DE POLITICAS PUBLICAS"/>
    <x v="265"/>
    <n v="19645167.329999998"/>
    <n v="1083896.6399999999"/>
    <n v="1066708.96"/>
  </r>
  <r>
    <x v="4"/>
    <s v="2015 - FORTALECIMENTO DO SISTEMA UNICO DE SAUDE (SUS)"/>
    <x v="124"/>
    <n v="0"/>
    <n v="0"/>
    <n v="0"/>
  </r>
  <r>
    <x v="4"/>
    <s v="3006 - TRANSPORTE TERRESTRE E TRANSITO"/>
    <x v="1040"/>
    <n v="0"/>
    <n v="0"/>
    <n v="0"/>
  </r>
  <r>
    <x v="4"/>
    <s v="0903 - OPERACOES ESPECIAIS: TRANSFERENCIAS CONSTITUCIONAIS E AS DECORRENTES DE LEGISLACAO ESPECIFICA"/>
    <x v="654"/>
    <n v="86152665"/>
    <n v="86017925.329999998"/>
    <n v="85971138.909999996"/>
  </r>
  <r>
    <x v="4"/>
    <s v="1058 - MUDANCA DO CLIMA"/>
    <x v="620"/>
    <n v="0"/>
    <n v="0"/>
    <n v="0"/>
  </r>
  <r>
    <x v="4"/>
    <s v="4002 - SEGURANCA INSTITUCIONAL"/>
    <x v="431"/>
    <n v="10000"/>
    <n v="8826.74"/>
    <n v="8826.74"/>
  </r>
  <r>
    <x v="4"/>
    <s v="3006 - TRANSPORTE TERRESTRE E TRANSITO"/>
    <x v="420"/>
    <n v="10088135.49"/>
    <n v="2812592.85"/>
    <n v="9745.69"/>
  </r>
  <r>
    <x v="4"/>
    <s v="3006 - TRANSPORTE TERRESTRE E TRANSITO"/>
    <x v="332"/>
    <n v="500000"/>
    <n v="1689678.02"/>
    <n v="1689678.02"/>
  </r>
  <r>
    <x v="4"/>
    <s v="2035 - ESPORTE, CIDADANIA E DESENVOLVIMENTO"/>
    <x v="533"/>
    <n v="0"/>
    <n v="0"/>
    <n v="0"/>
  </r>
  <r>
    <x v="4"/>
    <s v="2068 - SANEAMENTO BASICO"/>
    <x v="267"/>
    <n v="0"/>
    <n v="0"/>
    <n v="0"/>
  </r>
  <r>
    <x v="4"/>
    <s v="5025 - CULTURA"/>
    <x v="553"/>
    <n v="63528"/>
    <n v="55125.2"/>
    <n v="44140.2"/>
  </r>
  <r>
    <x v="4"/>
    <s v="2081 - JUSTICA, CIDADANIA E SEGURANCA PUBLICA"/>
    <x v="958"/>
    <n v="0"/>
    <n v="0"/>
    <n v="0"/>
  </r>
  <r>
    <x v="4"/>
    <s v="2021 - CIENCIA, TECNOLOGIA E INOVACAO"/>
    <x v="11"/>
    <n v="0"/>
    <n v="0"/>
    <n v="0"/>
  </r>
  <r>
    <x v="4"/>
    <s v="4002 - SEGURANCA INSTITUCIONAL"/>
    <x v="193"/>
    <n v="164676.94"/>
    <n v="128661.7"/>
    <n v="122061.7"/>
  </r>
  <r>
    <x v="4"/>
    <s v="1031 - AGROPECUARIA SUSTENTAVEL"/>
    <x v="48"/>
    <n v="0"/>
    <n v="0"/>
    <n v="0"/>
  </r>
  <r>
    <x v="4"/>
    <s v="2015 - FORTALECIMENTO DO SISTEMA UNICO DE SAUDE (SUS)"/>
    <x v="1074"/>
    <n v="0"/>
    <n v="0"/>
    <n v="0"/>
  </r>
  <r>
    <x v="4"/>
    <s v="3006 - TRANSPORTE TERRESTRE E TRANSITO"/>
    <x v="827"/>
    <n v="0"/>
    <n v="13590.85"/>
    <n v="0"/>
  </r>
  <r>
    <x v="4"/>
    <s v="5031 - PROTECAO SOCIAL NO AMBITO DO SISTEMA UNICO DE ASSISTENCIA SOCIAL (SUAS)"/>
    <x v="377"/>
    <n v="185399005.40000001"/>
    <n v="113875847.7"/>
    <n v="113875847.7"/>
  </r>
  <r>
    <x v="4"/>
    <s v="0033 - PROGRAMA DE GESTAO E MANUTENCAO DO PODER JUDICIARIO"/>
    <x v="415"/>
    <n v="0"/>
    <n v="0"/>
    <n v="0"/>
  </r>
  <r>
    <x v="4"/>
    <s v="2218 - GESTAO DE RISCOS E DE DESASTRES"/>
    <x v="1075"/>
    <n v="54076531.729999997"/>
    <n v="0"/>
    <n v="0"/>
  </r>
  <r>
    <x v="4"/>
    <s v="1058 - MUDANCA DO CLIMA"/>
    <x v="738"/>
    <n v="155802.76"/>
    <n v="35042.400000000001"/>
    <n v="35042.400000000001"/>
  </r>
  <r>
    <x v="4"/>
    <s v="5017 - ASSISTENCIA FARMACEUTICA NO SUS"/>
    <x v="735"/>
    <n v="18083649.25"/>
    <n v="40245748.960000001"/>
    <n v="39358662.210000001"/>
  </r>
  <r>
    <x v="4"/>
    <s v="6012 - DEFESA NACIONAL"/>
    <x v="65"/>
    <n v="234541.91"/>
    <n v="460650.38"/>
    <n v="328048.34999999998"/>
  </r>
  <r>
    <x v="4"/>
    <s v="5018 - ATENCAO ESPECIALIZADA A SAUDE"/>
    <x v="479"/>
    <n v="0"/>
    <n v="0"/>
    <n v="0"/>
  </r>
  <r>
    <x v="4"/>
    <s v="2213 - MODERNIZACAO TRABALHISTA E TRABALHO DIGNO"/>
    <x v="648"/>
    <n v="13297179.07"/>
    <n v="0"/>
    <n v="0"/>
  </r>
  <r>
    <x v="4"/>
    <s v="6012 - DEFESA NACIONAL"/>
    <x v="1076"/>
    <n v="1546729"/>
    <n v="0"/>
    <n v="0"/>
  </r>
  <r>
    <x v="4"/>
    <s v="2049 - MORADIA DIGNA"/>
    <x v="36"/>
    <n v="0"/>
    <n v="0"/>
    <n v="0"/>
  </r>
  <r>
    <x v="4"/>
    <s v="3006 - TRANSPORTE TERRESTRE E TRANSITO"/>
    <x v="892"/>
    <n v="0"/>
    <n v="0"/>
    <n v="0"/>
  </r>
  <r>
    <x v="4"/>
    <s v="2221 - RECURSOS HIDRICOS"/>
    <x v="1077"/>
    <n v="0"/>
    <n v="0"/>
    <n v="0"/>
  </r>
  <r>
    <x v="4"/>
    <s v="0032 - PROGRAMA DE GESTAO E MANUTENCAO DO PODER EXECUTIVO"/>
    <x v="691"/>
    <n v="85979.65"/>
    <n v="49296.78"/>
    <n v="49296.78"/>
  </r>
  <r>
    <x v="4"/>
    <s v="3001 - ENERGIA ELETRICA"/>
    <x v="613"/>
    <n v="0"/>
    <n v="1456.06"/>
    <n v="1588.85"/>
  </r>
  <r>
    <x v="4"/>
    <s v="5021 - GESTAO E ORGANIZACAO DO SUS"/>
    <x v="20"/>
    <n v="1201666.6599999999"/>
    <n v="1201666.6599999999"/>
    <n v="1201666.6599999999"/>
  </r>
  <r>
    <x v="4"/>
    <s v="5018 - ATENCAO ESPECIALIZADA A SAUDE"/>
    <x v="1043"/>
    <n v="0"/>
    <n v="132859"/>
    <n v="159241.10999999999"/>
  </r>
  <r>
    <x v="4"/>
    <s v="2015 - FORTALECIMENTO DO SISTEMA UNICO DE SAUDE (SUS)"/>
    <x v="866"/>
    <n v="0"/>
    <n v="0"/>
    <n v="0"/>
  </r>
  <r>
    <x v="4"/>
    <s v="3006 - TRANSPORTE TERRESTRE E TRANSITO"/>
    <x v="133"/>
    <n v="15092595.210000001"/>
    <n v="0"/>
    <n v="0"/>
  </r>
  <r>
    <x v="4"/>
    <s v="2037 - CONSOLIDACAO DO SISTEMA UNICO DE ASSISTENCIA SOCIAL (SUAS)"/>
    <x v="41"/>
    <n v="0"/>
    <n v="0"/>
    <n v="0"/>
  </r>
  <r>
    <x v="4"/>
    <s v="2212 - MELHORIA DO AMBIENTE DE NEGOCIOS E DA PRODUTIVIDADE"/>
    <x v="99"/>
    <n v="110000"/>
    <n v="2346.91"/>
    <n v="3369.92"/>
  </r>
  <r>
    <x v="4"/>
    <s v="5021 - GESTAO E ORGANIZACAO DO SUS"/>
    <x v="165"/>
    <n v="5767235.3899999997"/>
    <n v="5098483.99"/>
    <n v="5070667.6100000003"/>
  </r>
  <r>
    <x v="4"/>
    <s v="3006 - TRANSPORTE TERRESTRE E TRANSITO"/>
    <x v="1078"/>
    <n v="1024549"/>
    <n v="0"/>
    <n v="0"/>
  </r>
  <r>
    <x v="4"/>
    <s v="0034 - PROGRAMA DE GESTAO E MANUTENCAO DO PODER LEGISLATIVO"/>
    <x v="834"/>
    <n v="0"/>
    <n v="0"/>
    <n v="0"/>
  </r>
  <r>
    <x v="4"/>
    <s v="2208 - TECNOLOGIAS APLICADAS, INOVACAO E DESENVOLVIMENTO SUSTENTAVEL"/>
    <x v="5"/>
    <n v="21759971.829999998"/>
    <n v="21759971.829999998"/>
    <n v="21759971.829999998"/>
  </r>
  <r>
    <x v="4"/>
    <s v="2221 - RECURSOS HIDRICOS"/>
    <x v="876"/>
    <n v="400000"/>
    <n v="0"/>
    <n v="0"/>
  </r>
  <r>
    <x v="4"/>
    <s v="5023 - VIGILANCIA EM SAUDE"/>
    <x v="115"/>
    <n v="110220327.48999999"/>
    <n v="110245818.73999999"/>
    <n v="110245818.73999999"/>
  </r>
  <r>
    <x v="4"/>
    <s v="0032 - PROGRAMA DE GESTAO E MANUTENCAO DO PODER EXECUTIVO"/>
    <x v="354"/>
    <n v="2000000"/>
    <n v="1800000"/>
    <n v="1800000"/>
  </r>
  <r>
    <x v="4"/>
    <s v="2220 - MORADIA DIGNA"/>
    <x v="36"/>
    <n v="0"/>
    <n v="0"/>
    <n v="0"/>
  </r>
  <r>
    <x v="4"/>
    <s v="0032 - PROGRAMA DE GESTAO E MANUTENCAO DO PODER EXECUTIVO"/>
    <x v="802"/>
    <n v="0"/>
    <n v="101648.7"/>
    <n v="95579.49"/>
  </r>
  <r>
    <x v="4"/>
    <s v="2222 - SANEAMENTO BASICO"/>
    <x v="797"/>
    <n v="120000"/>
    <n v="81561.77"/>
    <n v="86625.52"/>
  </r>
  <r>
    <x v="4"/>
    <s v="2220 - MORADIA DIGNA"/>
    <x v="712"/>
    <n v="0"/>
    <n v="0"/>
    <n v="0"/>
  </r>
  <r>
    <x v="4"/>
    <s v="2221 - RECURSOS HIDRICOS"/>
    <x v="204"/>
    <n v="20797.96"/>
    <n v="20375.79"/>
    <n v="11125.19"/>
  </r>
  <r>
    <x v="4"/>
    <s v="2130 - PROGRAMA DE GESTAO E MANUTENCAO DA ADVOCACIA-GERAL DA UNIAO"/>
    <x v="647"/>
    <n v="0"/>
    <n v="0"/>
    <n v="0"/>
  </r>
  <r>
    <x v="4"/>
    <s v="5013 - EDUCACAO SUPERIOR - GRADUACAO, POS-GRADUACAO, ENSINO, PESQUISA E EXTENSAO"/>
    <x v="163"/>
    <n v="91000000"/>
    <n v="11601240.300000001"/>
    <n v="11601240.300000001"/>
  </r>
  <r>
    <x v="4"/>
    <s v="3006 - TRANSPORTE TERRESTRE E TRANSITO"/>
    <x v="481"/>
    <n v="0"/>
    <n v="2014158.81"/>
    <n v="2014158.81"/>
  </r>
  <r>
    <x v="4"/>
    <s v="5031 - PROTECAO SOCIAL NO AMBITO DO SISTEMA UNICO DE ASSISTENCIA SOCIAL (SUAS)"/>
    <x v="772"/>
    <n v="0"/>
    <n v="158760.64000000001"/>
    <n v="156866.78"/>
  </r>
  <r>
    <x v="4"/>
    <s v="0913 - OPERACOES ESPECIAIS - INTEGRALIZACAO DE COTAS EM ORGANISMOS FINANCEIROS INTERNACIONAIS"/>
    <x v="1018"/>
    <n v="0"/>
    <n v="0"/>
    <n v="0"/>
  </r>
  <r>
    <x v="4"/>
    <s v="0151 - PROTECAO DE TERRAS INDIGENAS, GESTAO TERRITORIAL E ETNODESENVOLVIMENTO"/>
    <x v="1060"/>
    <n v="3714.19"/>
    <n v="29061.88"/>
    <n v="29061.88"/>
  </r>
  <r>
    <x v="4"/>
    <s v="2221 - RECURSOS HIDRICOS"/>
    <x v="807"/>
    <n v="0"/>
    <n v="0"/>
    <n v="0"/>
  </r>
  <r>
    <x v="4"/>
    <s v="2068 - SANEAMENTO BASICO"/>
    <x v="1057"/>
    <n v="0"/>
    <n v="0"/>
    <n v="0"/>
  </r>
  <r>
    <x v="4"/>
    <s v="0910 - OPERACOES ESPECIAIS: GESTAO DA PARTICIPACAO EM ORGANISMOS E ENTIDADES NACIONAIS E INTERNACIONAIS"/>
    <x v="1009"/>
    <n v="-247378.02"/>
    <n v="0"/>
    <n v="0"/>
  </r>
  <r>
    <x v="4"/>
    <s v="2217 - DESENVOLVIMENTO REGIONAL, TERRITORIAL E URBANO"/>
    <x v="839"/>
    <n v="0"/>
    <n v="0"/>
    <n v="0"/>
  </r>
  <r>
    <x v="4"/>
    <s v="6014 - PREVENCAO E CONTROLE DO DESMATAMENTO E DOS INCENDIOS NOS BIOMAS"/>
    <x v="185"/>
    <n v="5452099.8899999997"/>
    <n v="7784212.75"/>
    <n v="8468280.9399999995"/>
  </r>
  <r>
    <x v="4"/>
    <s v="0903 - OPERACOES ESPECIAIS: TRANSFERENCIAS CONSTITUCIONAIS E AS DECORRENTES DE LEGISLACAO ESPECIFICA"/>
    <x v="670"/>
    <n v="43169923.100000001"/>
    <n v="43120990.880000003"/>
    <n v="42920484.75"/>
  </r>
  <r>
    <x v="4"/>
    <s v="3005 - TRANSPORTE AQUAVIARIO"/>
    <x v="863"/>
    <n v="1080000"/>
    <n v="0"/>
    <n v="0"/>
  </r>
  <r>
    <x v="4"/>
    <s v="2204 - BRASIL NA FRONTEIRA DO CONHECIMENTO"/>
    <x v="519"/>
    <n v="301902.45"/>
    <n v="303430.8"/>
    <n v="303430.8"/>
  </r>
  <r>
    <x v="4"/>
    <s v="3006 - TRANSPORTE TERRESTRE E TRANSITO"/>
    <x v="120"/>
    <n v="1067974.1100000001"/>
    <n v="0"/>
    <n v="0"/>
  </r>
  <r>
    <x v="4"/>
    <s v="2015 - FORTALECIMENTO DO SISTEMA UNICO DE SAUDE (SUS)"/>
    <x v="479"/>
    <n v="0"/>
    <n v="0"/>
    <n v="0"/>
  </r>
  <r>
    <x v="4"/>
    <s v="2208 - TECNOLOGIAS APLICADAS, INOVACAO E DESENVOLVIMENTO SUSTENTAVEL"/>
    <x v="218"/>
    <n v="50830157.5"/>
    <n v="73903647.709999993"/>
    <n v="54707759.219999999"/>
  </r>
  <r>
    <x v="4"/>
    <s v="3006 - TRANSPORTE TERRESTRE E TRANSITO"/>
    <x v="1079"/>
    <n v="10008555.26"/>
    <n v="0"/>
    <n v="0"/>
  </r>
  <r>
    <x v="4"/>
    <s v="0902 - OPERACOES ESPECIAIS: FINANCIAMENTOS COM RETORNO"/>
    <x v="24"/>
    <n v="-1436803433.72"/>
    <n v="414630079.50999999"/>
    <n v="414630079.50999999"/>
  </r>
  <r>
    <x v="4"/>
    <s v="3006 - TRANSPORTE TERRESTRE E TRANSITO"/>
    <x v="964"/>
    <n v="0"/>
    <n v="0"/>
    <n v="0"/>
  </r>
  <r>
    <x v="4"/>
    <s v="0032 - PROGRAMA DE GESTAO E MANUTENCAO DO PODER EXECUTIVO"/>
    <x v="73"/>
    <n v="0"/>
    <n v="1511380.29"/>
    <n v="40643.339999999997"/>
  </r>
  <r>
    <x v="4"/>
    <s v="5011 - EDUCACAO BASICA DE QUALIDADE"/>
    <x v="407"/>
    <n v="59408409.25"/>
    <n v="5586459.4800000004"/>
    <n v="5625544.8799999999"/>
  </r>
  <r>
    <x v="4"/>
    <s v="9991 - HABITACAO DE INTERESSE SOCIAL"/>
    <x v="999"/>
    <n v="0"/>
    <n v="0"/>
    <n v="0"/>
  </r>
  <r>
    <x v="4"/>
    <s v="0461 - PROMOCAO DA PESQUISA E DO DESENVOLVIMENTO CIENTIFICO E TECNOLOGICO"/>
    <x v="71"/>
    <n v="29404.42"/>
    <n v="29404.42"/>
    <n v="29404.42"/>
  </r>
  <r>
    <x v="4"/>
    <s v="0033 - PROGRAMA DE GESTAO E MANUTENCAO DO PODER JUDICIARIO"/>
    <x v="205"/>
    <n v="0"/>
    <n v="0"/>
    <n v="1350"/>
  </r>
  <r>
    <x v="4"/>
    <s v="3001 - ENERGIA ELETRICA"/>
    <x v="581"/>
    <n v="30000"/>
    <n v="1194137.8799999999"/>
    <n v="1194137.8799999999"/>
  </r>
  <r>
    <x v="4"/>
    <s v="0903 - OPERACOES ESPECIAIS: TRANSFERENCIAS CONSTITUCIONAIS E AS DECORRENTES DE LEGISLACAO ESPECIFICA"/>
    <x v="28"/>
    <n v="0"/>
    <n v="338593916.89999998"/>
    <n v="338593916.89999998"/>
  </r>
  <r>
    <x v="4"/>
    <s v="1031 - AGROPECUARIA SUSTENTAVEL"/>
    <x v="259"/>
    <n v="0"/>
    <n v="3898905.09"/>
    <n v="3898905.09"/>
  </r>
  <r>
    <x v="4"/>
    <s v="0903 - OPERACOES ESPECIAIS: TRANSFERENCIAS CONSTITUCIONAIS E AS DECORRENTES DE LEGISLACAO ESPECIFICA"/>
    <x v="43"/>
    <n v="8490233436"/>
    <n v="12438902533.799999"/>
    <n v="12438902533.799999"/>
  </r>
  <r>
    <x v="4"/>
    <s v="2109 - PROGRAMA DE GESTAO E MANUTENCAO DO MINISTERIO DA EDUCACAO"/>
    <x v="40"/>
    <n v="0"/>
    <n v="0"/>
    <n v="0"/>
  </r>
  <r>
    <x v="4"/>
    <s v="0905 - OPERACOES ESPECIAIS: SERVICO DA DIVIDA INTERNA (JUROS EAMORTIZACOES)"/>
    <x v="70"/>
    <n v="290000000"/>
    <n v="2409136.19"/>
    <n v="2409136.19"/>
  </r>
  <r>
    <x v="4"/>
    <s v="2208 - TECNOLOGIAS APLICADAS, INOVACAO E DESENVOLVIMENTO SUSTENTAVEL"/>
    <x v="801"/>
    <n v="7299024.5999999996"/>
    <n v="404963.22"/>
    <n v="945339.83"/>
  </r>
  <r>
    <x v="4"/>
    <s v="1031 - AGROPECUARIA SUSTENTAVEL"/>
    <x v="138"/>
    <n v="17000000"/>
    <n v="126891892.23999999"/>
    <n v="126891892.23999999"/>
  </r>
  <r>
    <x v="4"/>
    <s v="2222 - SANEAMENTO BASICO"/>
    <x v="449"/>
    <n v="0"/>
    <n v="0"/>
    <n v="0"/>
  </r>
  <r>
    <x v="4"/>
    <s v="2204 - BRASIL NA FRONTEIRA DO CONHECIMENTO"/>
    <x v="208"/>
    <n v="742114.35"/>
    <n v="5742944.3499999996"/>
    <n v="2797664.35"/>
  </r>
  <r>
    <x v="4"/>
    <s v="3006 - TRANSPORTE TERRESTRE E TRANSITO"/>
    <x v="27"/>
    <n v="0"/>
    <n v="573951.49"/>
    <n v="573951.49"/>
  </r>
  <r>
    <x v="4"/>
    <s v="0033 - PROGRAMA DE GESTAO E MANUTENCAO DO PODER JUDICIARIO"/>
    <x v="335"/>
    <n v="0"/>
    <n v="0"/>
    <n v="0"/>
  </r>
  <r>
    <x v="4"/>
    <s v="0903 - OPERACOES ESPECIAIS: TRANSFERENCIAS CONSTITUCIONAIS E AS DECORRENTES DE LEGISLACAO ESPECIFICA"/>
    <x v="448"/>
    <n v="790933571.94000006"/>
    <n v="35025085.100000001"/>
    <n v="658434313.37"/>
  </r>
  <r>
    <x v="4"/>
    <s v="2208 - TECNOLOGIAS APLICADAS, INOVACAO E DESENVOLVIMENTO SUSTENTAVEL"/>
    <x v="285"/>
    <n v="68029870.980000004"/>
    <n v="10962300.9"/>
    <n v="50033060.850000001"/>
  </r>
  <r>
    <x v="4"/>
    <s v="3006 - TRANSPORTE TERRESTRE E TRANSITO"/>
    <x v="405"/>
    <n v="-2406779.66"/>
    <n v="187119.76"/>
    <n v="187119.76"/>
  </r>
  <r>
    <x v="4"/>
    <s v="5018 - ATENCAO ESPECIALIZADA A SAUDE"/>
    <x v="1053"/>
    <n v="1442402163"/>
    <n v="0"/>
    <n v="0"/>
  </r>
  <r>
    <x v="4"/>
    <s v="6012 - DEFESA NACIONAL"/>
    <x v="134"/>
    <n v="0"/>
    <n v="0"/>
    <n v="0"/>
  </r>
  <r>
    <x v="4"/>
    <s v="2048 - MOBILIDADE URBANA E TRANSITO"/>
    <x v="925"/>
    <n v="0"/>
    <n v="0"/>
    <n v="0"/>
  </r>
  <r>
    <x v="4"/>
    <s v="2066 - REFORMA AGRARIA E GOVERNANCA FUNDIARIA"/>
    <x v="737"/>
    <n v="0"/>
    <n v="0"/>
    <n v="0"/>
  </r>
  <r>
    <x v="4"/>
    <s v="6012 - DEFESA NACIONAL"/>
    <x v="301"/>
    <n v="5108171.4800000004"/>
    <n v="0"/>
    <n v="0"/>
  </r>
  <r>
    <x v="4"/>
    <s v="3006 - TRANSPORTE TERRESTRE E TRANSITO"/>
    <x v="274"/>
    <n v="32161.41"/>
    <n v="34109.699999999997"/>
    <n v="16559.7"/>
  </r>
  <r>
    <x v="4"/>
    <s v="2206 - POLITICA NUCLEAR"/>
    <x v="594"/>
    <n v="0"/>
    <n v="0"/>
    <n v="0"/>
  </r>
  <r>
    <x v="4"/>
    <s v="0032 - PROGRAMA DE GESTAO E MANUTENCAO DO PODER EXECUTIVO"/>
    <x v="745"/>
    <n v="0"/>
    <n v="2689458406.5"/>
    <n v="2689458406.5"/>
  </r>
  <r>
    <x v="4"/>
    <s v="5020 - DESENVOLVIMENTO CIENTIFICO, TECNOLOGICO E PRODUTIVO EM SAUDE"/>
    <x v="61"/>
    <n v="0"/>
    <n v="31520.83"/>
    <n v="31520.83"/>
  </r>
  <r>
    <x v="4"/>
    <s v="2208 - TECNOLOGIAS APLICADAS, INOVACAO E DESENVOLVIMENTO SUSTENTAVEL"/>
    <x v="658"/>
    <n v="0"/>
    <n v="0"/>
    <n v="0"/>
  </r>
  <r>
    <x v="4"/>
    <s v="2204 - BRASIL NA FRONTEIRA DO CONHECIMENTO"/>
    <x v="23"/>
    <n v="0"/>
    <n v="0"/>
    <n v="0"/>
  </r>
  <r>
    <x v="4"/>
    <s v="0903 - OPERACOES ESPECIAIS: TRANSFERENCIAS CONSTITUCIONAIS E AS DECORRENTES DE LEGISLACAO ESPECIFICA"/>
    <x v="623"/>
    <n v="56320173"/>
    <n v="56267880.859999999"/>
    <n v="56940589.390000001"/>
  </r>
  <r>
    <x v="4"/>
    <s v="2052 - PESCA E AQUICULTURA"/>
    <x v="452"/>
    <n v="0"/>
    <n v="0"/>
    <n v="0"/>
  </r>
  <r>
    <x v="4"/>
    <s v="0032 - PROGRAMA DE GESTAO E MANUTENCAO DO PODER EXECUTIVO"/>
    <x v="17"/>
    <n v="5004087.91"/>
    <n v="3665650.78"/>
    <n v="3651904.48"/>
  </r>
  <r>
    <x v="4"/>
    <s v="2084 - RECURSOS HIDRICOS"/>
    <x v="1019"/>
    <n v="0"/>
    <n v="0"/>
    <n v="0"/>
  </r>
  <r>
    <x v="4"/>
    <s v="5018 - ATENCAO ESPECIALIZADA A SAUDE"/>
    <x v="76"/>
    <n v="108269"/>
    <n v="144002"/>
    <n v="0"/>
  </r>
  <r>
    <x v="4"/>
    <s v="0032 - PROGRAMA DE GESTAO E MANUTENCAO DO PODER EXECUTIVO"/>
    <x v="731"/>
    <n v="0"/>
    <n v="0"/>
    <n v="0"/>
  </r>
  <r>
    <x v="4"/>
    <s v="2222 - SANEAMENTO BASICO"/>
    <x v="266"/>
    <n v="0"/>
    <n v="0"/>
    <n v="0"/>
  </r>
  <r>
    <x v="4"/>
    <s v="5019 - ATENCAO PRIMARIA A SAUDE"/>
    <x v="1034"/>
    <n v="2608027071"/>
    <n v="0"/>
    <n v="0"/>
  </r>
  <r>
    <x v="4"/>
    <s v="2208 - TECNOLOGIAS APLICADAS, INOVACAO E DESENVOLVIMENTO SUSTENTAVEL"/>
    <x v="191"/>
    <n v="7899735.4400000004"/>
    <n v="1880456.76"/>
    <n v="1888964.18"/>
  </r>
  <r>
    <x v="4"/>
    <s v="0032 - PROGRAMA DE GESTAO E MANUTENCAO DO PODER EXECUTIVO"/>
    <x v="946"/>
    <n v="0"/>
    <n v="0"/>
    <n v="52615.23"/>
  </r>
  <r>
    <x v="4"/>
    <s v="4003 - GARANTIA DA ESTABILIDADE MONETARIA E FINANCEIRA"/>
    <x v="625"/>
    <n v="939295.55"/>
    <n v="534395.47"/>
    <n v="500915.53"/>
  </r>
  <r>
    <x v="4"/>
    <s v="2217 - DESENVOLVIMENTO REGIONAL, TERRITORIAL E URBANO"/>
    <x v="222"/>
    <n v="802708.43"/>
    <n v="2166.75"/>
    <n v="55175.88"/>
  </r>
  <r>
    <x v="4"/>
    <s v="2015 - FORTALECIMENTO DO SISTEMA UNICO DE SAUDE (SUS)"/>
    <x v="286"/>
    <n v="0"/>
    <n v="0"/>
    <n v="0"/>
  </r>
  <r>
    <x v="4"/>
    <s v="2214 - NOVA PREVIDENCIA"/>
    <x v="546"/>
    <n v="0"/>
    <n v="0"/>
    <n v="0"/>
  </r>
  <r>
    <x v="4"/>
    <s v="0031 - PROGRAMA DE GESTAO E MANUTENCAO DO MINISTERIO PUBLICO"/>
    <x v="812"/>
    <n v="0"/>
    <n v="0"/>
    <n v="0"/>
  </r>
  <r>
    <x v="4"/>
    <s v="0910 - OPERACOES ESPECIAIS: GESTAO DA PARTICIPACAO EM ORGANISMOS E ENTIDADES NACIONAIS E INTERNACIONAIS"/>
    <x v="1080"/>
    <n v="0"/>
    <n v="0"/>
    <n v="0"/>
  </r>
  <r>
    <x v="4"/>
    <s v="1058 - MUDANCA DO CLIMA"/>
    <x v="1044"/>
    <n v="40000"/>
    <n v="86444.93"/>
    <n v="88255.06"/>
  </r>
  <r>
    <x v="4"/>
    <s v="2222 - SANEAMENTO BASICO"/>
    <x v="1081"/>
    <n v="0"/>
    <n v="0"/>
    <n v="0"/>
  </r>
  <r>
    <x v="4"/>
    <s v="5016 - SEGURANCA PUBLICA, COMBATE A CORRUPCAO, AO CRIME ORGANIZADO E AO CRIME VIOLENTO"/>
    <x v="636"/>
    <n v="599117.63"/>
    <n v="613317.63"/>
    <n v="585017.63"/>
  </r>
  <r>
    <x v="4"/>
    <s v="0910 - OPERACOES ESPECIAIS: GESTAO DA PARTICIPACAO EM ORGANISMOS E ENTIDADES NACIONAIS E INTERNACIONAIS"/>
    <x v="962"/>
    <n v="0"/>
    <n v="0"/>
    <n v="0"/>
  </r>
  <r>
    <x v="4"/>
    <s v="0910 - OPERACOES ESPECIAIS: GESTAO DA PARTICIPACAO EM ORGANISMOS E ENTIDADES NACIONAIS E INTERNACIONAIS"/>
    <x v="928"/>
    <n v="800000"/>
    <n v="702706.12"/>
    <n v="702706.12"/>
  </r>
  <r>
    <x v="4"/>
    <s v="2221 - RECURSOS HIDRICOS"/>
    <x v="1082"/>
    <n v="6227018.3200000003"/>
    <n v="0"/>
    <n v="0"/>
  </r>
  <r>
    <x v="4"/>
    <s v="2015 - FORTALECIMENTO DO SISTEMA UNICO DE SAUDE (SUS)"/>
    <x v="507"/>
    <n v="0"/>
    <n v="0"/>
    <n v="0"/>
  </r>
  <r>
    <x v="4"/>
    <s v="1031 - AGROPECUARIA SUSTENTAVEL"/>
    <x v="824"/>
    <n v="254827.75"/>
    <n v="0"/>
    <n v="0"/>
  </r>
  <r>
    <x v="4"/>
    <s v="0909 - OPERACOES ESPECIAIS: OUTROS ENCARGOS ESPECIAIS"/>
    <x v="943"/>
    <n v="0"/>
    <n v="30508.74"/>
    <n v="30508.74"/>
  </r>
  <r>
    <x v="4"/>
    <s v="3001 - ENERGIA ELETRICA"/>
    <x v="6"/>
    <n v="-5824.24"/>
    <n v="59376.76"/>
    <n v="59536.93"/>
  </r>
  <r>
    <x v="4"/>
    <s v="1043 - QUALIDADE AMBIENTAL URBANA"/>
    <x v="109"/>
    <n v="298991.45"/>
    <n v="14464.49"/>
    <n v="14464.49"/>
  </r>
  <r>
    <x v="4"/>
    <s v="2217 - DESENVOLVIMENTO REGIONAL, TERRITORIAL E URBANO"/>
    <x v="460"/>
    <n v="0"/>
    <n v="17601.5"/>
    <n v="0"/>
  </r>
  <r>
    <x v="4"/>
    <s v="0909 - OPERACOES ESPECIAIS: OUTROS ENCARGOS ESPECIAIS"/>
    <x v="18"/>
    <n v="24529299.300000001"/>
    <n v="24529299.300000001"/>
    <n v="24529299.300000001"/>
  </r>
  <r>
    <x v="4"/>
    <s v="2080 - EDUCACAO DE QUALIDADE PARA TODOS"/>
    <x v="657"/>
    <n v="0"/>
    <n v="0"/>
    <n v="0"/>
  </r>
  <r>
    <x v="4"/>
    <s v="3006 - TRANSPORTE TERRESTRE E TRANSITO"/>
    <x v="860"/>
    <n v="0"/>
    <n v="0"/>
    <n v="0"/>
  </r>
  <r>
    <x v="4"/>
    <s v="2206 - POLITICA NUCLEAR"/>
    <x v="496"/>
    <n v="91000"/>
    <n v="19249.34"/>
    <n v="19249.34"/>
  </r>
  <r>
    <x v="4"/>
    <s v="2213 - MODERNIZACAO TRABALHISTA E TRABALHO DIGNO"/>
    <x v="214"/>
    <n v="4445728395.7299995"/>
    <n v="4445728395.7299995"/>
    <n v="4445728395.7299995"/>
  </r>
  <r>
    <x v="4"/>
    <s v="2222 - SANEAMENTO BASICO"/>
    <x v="1035"/>
    <n v="0"/>
    <n v="0"/>
    <n v="0"/>
  </r>
  <r>
    <x v="4"/>
    <s v="0910 - OPERACOES ESPECIAIS: GESTAO DA PARTICIPACAO EM ORGANISMOS E ENTIDADES NACIONAIS E INTERNACIONAIS"/>
    <x v="1083"/>
    <n v="0"/>
    <n v="0"/>
    <n v="0"/>
  </r>
  <r>
    <x v="4"/>
    <s v="5011 - EDUCACAO BASICA DE QUALIDADE"/>
    <x v="464"/>
    <n v="1500000"/>
    <n v="1333200"/>
    <n v="1333200"/>
  </r>
  <r>
    <x v="4"/>
    <s v="2049 - MORADIA DIGNA"/>
    <x v="924"/>
    <n v="0"/>
    <n v="0"/>
    <n v="0"/>
  </r>
  <r>
    <x v="4"/>
    <s v="0903 - OPERACOES ESPECIAIS: TRANSFERENCIAS CONSTITUCIONAIS E AS DECORRENTES DE LEGISLACAO ESPECIFICA"/>
    <x v="628"/>
    <n v="14913425"/>
    <n v="14839796.529999999"/>
    <n v="14861622.630000001"/>
  </r>
  <r>
    <x v="4"/>
    <s v="2035 - ESPORTE, CIDADANIA E DESENVOLVIMENTO"/>
    <x v="1084"/>
    <n v="0"/>
    <n v="0"/>
    <n v="0"/>
  </r>
  <r>
    <x v="4"/>
    <s v="5019 - ATENCAO PRIMARIA A SAUDE"/>
    <x v="412"/>
    <n v="4122000"/>
    <n v="4125000"/>
    <n v="4125000"/>
  </r>
  <r>
    <x v="4"/>
    <s v="3004 - AVIACAO CIVIL"/>
    <x v="813"/>
    <n v="2436000"/>
    <n v="0"/>
    <n v="0"/>
  </r>
  <r>
    <x v="4"/>
    <s v="0151 - PROTECAO DE TERRAS INDIGENAS, GESTAO TERRITORIAL E ETNODESENVOLVIMENTO"/>
    <x v="1008"/>
    <n v="0"/>
    <n v="13048.99"/>
    <n v="53490.85"/>
  </r>
  <r>
    <x v="4"/>
    <s v="2208 - TECNOLOGIAS APLICADAS, INOVACAO E DESENVOLVIMENTO SUSTENTAVEL"/>
    <x v="189"/>
    <n v="0"/>
    <n v="0"/>
    <n v="0"/>
  </r>
  <r>
    <x v="4"/>
    <s v="2223 - A HORA DO TURISMO"/>
    <x v="529"/>
    <n v="0"/>
    <n v="15000"/>
    <n v="15000"/>
  </r>
  <r>
    <x v="4"/>
    <s v="0906 - OPERACOES ESPECIAIS: SERVICO DA DIVIDA EXTERNA (JUROS EAMORTIZACOES)"/>
    <x v="127"/>
    <n v="1291947181.8499999"/>
    <n v="1291947181.8499999"/>
    <n v="1291947181.8499999"/>
  </r>
  <r>
    <x v="4"/>
    <s v="6012 - DEFESA NACIONAL"/>
    <x v="1085"/>
    <n v="0"/>
    <n v="0"/>
    <n v="0"/>
  </r>
  <r>
    <x v="4"/>
    <s v="6014 - PREVENCAO E CONTROLE DO DESMATAMENTO E DOS INCENDIOS NOS BIOMAS"/>
    <x v="1048"/>
    <n v="6013600.6600000001"/>
    <n v="4940498.01"/>
    <n v="1112263.04"/>
  </r>
  <r>
    <x v="4"/>
    <s v="5018 - ATENCAO ESPECIALIZADA A SAUDE"/>
    <x v="825"/>
    <n v="0"/>
    <n v="0"/>
    <n v="0"/>
  </r>
  <r>
    <x v="4"/>
    <s v="5021 - GESTAO E ORGANIZACAO DO SUS"/>
    <x v="245"/>
    <n v="0"/>
    <n v="3018.18"/>
    <n v="3018.18"/>
  </r>
  <r>
    <x v="4"/>
    <s v="2213 - MODERNIZACAO TRABALHISTA E TRABALHO DIGNO"/>
    <x v="353"/>
    <n v="69937063.840000004"/>
    <n v="12955662.609999999"/>
    <n v="1224310.1200000001"/>
  </r>
  <r>
    <x v="4"/>
    <s v="1031 - AGROPECUARIA SUSTENTAVEL"/>
    <x v="294"/>
    <n v="425050814.68000001"/>
    <n v="408850920.43000001"/>
    <n v="182517484.81"/>
  </r>
  <r>
    <x v="4"/>
    <s v="2052 - PESCA E AQUICULTURA"/>
    <x v="30"/>
    <n v="0"/>
    <n v="0"/>
    <n v="0"/>
  </r>
  <r>
    <x v="4"/>
    <s v="3006 - TRANSPORTE TERRESTRE E TRANSITO"/>
    <x v="853"/>
    <n v="1400000"/>
    <n v="656804.44999999995"/>
    <n v="0"/>
  </r>
  <r>
    <x v="4"/>
    <s v="1041 - CONSERVACAO E USO SUSTENTAVEL DA BIODIVERSIDADE E DOS RECURSOS NATURAIS"/>
    <x v="718"/>
    <n v="102491.27"/>
    <n v="56561.3"/>
    <n v="44017.68"/>
  </r>
  <r>
    <x v="4"/>
    <s v="3006 - TRANSPORTE TERRESTRE E TRANSITO"/>
    <x v="531"/>
    <n v="0"/>
    <n v="42564.32"/>
    <n v="42564.32"/>
  </r>
  <r>
    <x v="4"/>
    <s v="1031 - AGROPECUARIA SUSTENTAVEL"/>
    <x v="981"/>
    <n v="0"/>
    <n v="0"/>
    <n v="0"/>
  </r>
  <r>
    <x v="4"/>
    <s v="2052 - PESCA E AQUICULTURA"/>
    <x v="1086"/>
    <n v="0"/>
    <n v="0"/>
    <n v="0"/>
  </r>
  <r>
    <x v="4"/>
    <s v="5013 - EDUCACAO SUPERIOR - GRADUACAO, POS-GRADUACAO, ENSINO, PESQUISA E EXTENSAO"/>
    <x v="95"/>
    <n v="316393.71999999997"/>
    <n v="0"/>
    <n v="0"/>
  </r>
  <r>
    <x v="4"/>
    <s v="2208 - TECNOLOGIAS APLICADAS, INOVACAO E DESENVOLVIMENTO SUSTENTAVEL"/>
    <x v="239"/>
    <n v="86000"/>
    <n v="54934.17"/>
    <n v="54934.17"/>
  </r>
  <r>
    <x v="4"/>
    <s v="3006 - TRANSPORTE TERRESTRE E TRANSITO"/>
    <x v="975"/>
    <n v="0"/>
    <n v="0"/>
    <n v="0"/>
  </r>
  <r>
    <x v="4"/>
    <s v="2217 - DESENVOLVIMENTO REGIONAL, TERRITORIAL E URBANO"/>
    <x v="1027"/>
    <n v="0"/>
    <n v="0"/>
    <n v="0"/>
  </r>
  <r>
    <x v="4"/>
    <s v="5011 - EDUCACAO BASICA DE QUALIDADE"/>
    <x v="929"/>
    <n v="70592163.430000007"/>
    <n v="97156140.239999995"/>
    <n v="161120231.53999999"/>
  </r>
  <r>
    <x v="4"/>
    <s v="5021 - GESTAO E ORGANIZACAO DO SUS"/>
    <x v="94"/>
    <n v="0"/>
    <n v="0"/>
    <n v="0"/>
  </r>
  <r>
    <x v="4"/>
    <s v="2217 - DESENVOLVIMENTO REGIONAL, TERRITORIAL E URBANO"/>
    <x v="382"/>
    <n v="0"/>
    <n v="0"/>
    <n v="0"/>
  </r>
  <r>
    <x v="4"/>
    <s v="2029 - DESENVOLVIMENTO REGIONAL E TERRITORIAL"/>
    <x v="1055"/>
    <n v="0"/>
    <n v="0"/>
    <n v="0"/>
  </r>
  <r>
    <x v="4"/>
    <s v="5013 - EDUCACAO SUPERIOR - GRADUACAO, POS-GRADUACAO, ENSINO, PESQUISA E EXTENSAO"/>
    <x v="401"/>
    <n v="1414604"/>
    <n v="0"/>
    <n v="0"/>
  </r>
  <r>
    <x v="4"/>
    <s v="5034 - PROTECAO A VIDA, FORTALECIMENTO DA FAMILIA, PROMOCAO E DEFESA DOS DIREITOS HUMANOS PARA TODOS"/>
    <x v="305"/>
    <n v="0"/>
    <n v="704740.74"/>
    <n v="704740.74"/>
  </r>
  <r>
    <x v="4"/>
    <s v="0909 - OPERACOES ESPECIAIS: OUTROS ENCARGOS ESPECIAIS"/>
    <x v="246"/>
    <n v="-24438.080000000002"/>
    <n v="14715.38"/>
    <n v="14715.38"/>
  </r>
  <r>
    <x v="4"/>
    <s v="5024 - ATENCAO INTEGRAL A PRIMEIRA INFANCIA"/>
    <x v="998"/>
    <n v="37853731.850000001"/>
    <n v="36539150.450000003"/>
    <n v="33603961.259999998"/>
  </r>
  <r>
    <x v="4"/>
    <s v="0910 - OPERACOES ESPECIAIS: GESTAO DA PARTICIPACAO EM ORGANISMOS E ENTIDADES NACIONAIS E INTERNACIONAIS"/>
    <x v="989"/>
    <n v="0"/>
    <n v="0"/>
    <n v="0"/>
  </r>
  <r>
    <x v="4"/>
    <s v="3006 - TRANSPORTE TERRESTRE E TRANSITO"/>
    <x v="1087"/>
    <n v="25205973.600000001"/>
    <n v="0"/>
    <n v="0"/>
  </r>
  <r>
    <x v="4"/>
    <s v="3006 - TRANSPORTE TERRESTRE E TRANSITO"/>
    <x v="1088"/>
    <n v="0"/>
    <n v="0"/>
    <n v="0"/>
  </r>
  <r>
    <x v="4"/>
    <s v="0083 - PREVIDENCIA SOCIAL BASICA"/>
    <x v="489"/>
    <n v="0"/>
    <n v="0"/>
    <n v="0"/>
  </r>
  <r>
    <x v="4"/>
    <s v="3006 - TRANSPORTE TERRESTRE E TRANSITO"/>
    <x v="7"/>
    <n v="25772868"/>
    <n v="0"/>
    <n v="0"/>
  </r>
  <r>
    <x v="4"/>
    <s v="5011 - EDUCACAO BASICA DE QUALIDADE"/>
    <x v="865"/>
    <n v="0"/>
    <n v="600000"/>
    <n v="600000"/>
  </r>
  <r>
    <x v="4"/>
    <s v="6012 - DEFESA NACIONAL"/>
    <x v="508"/>
    <n v="19158990.629999999"/>
    <n v="10578474.35"/>
    <n v="1167711.3799999999"/>
  </r>
  <r>
    <x v="4"/>
    <s v="0032 - PROGRAMA DE GESTAO E MANUTENCAO DO PODER EXECUTIVO"/>
    <x v="541"/>
    <n v="0"/>
    <n v="0"/>
    <n v="0"/>
  </r>
  <r>
    <x v="4"/>
    <s v="5017 - ASSISTENCIA FARMACEUTICA NO SUS"/>
    <x v="121"/>
    <n v="180884429.90000001"/>
    <n v="-61158.46"/>
    <n v="-61158.46"/>
  </r>
  <r>
    <x v="4"/>
    <s v="2214 - NOVA PREVIDENCIA"/>
    <x v="3"/>
    <n v="24256341.539999999"/>
    <n v="17195751.989999998"/>
    <n v="8050119.46"/>
  </r>
  <r>
    <x v="4"/>
    <s v="6012 - DEFESA NACIONAL"/>
    <x v="220"/>
    <n v="57401490.789999999"/>
    <n v="50860525.039999999"/>
    <n v="49565454.049999997"/>
  </r>
  <r>
    <x v="4"/>
    <s v="5035 - PROMOCAO DE CIDADANIA POR MEIO DO AUXILIO BRASIL E DA ARTICULACAO DE POLITICAS PUBLICAS"/>
    <x v="299"/>
    <n v="15000000"/>
    <n v="2792767.62"/>
    <n v="2792767.62"/>
  </r>
  <r>
    <x v="4"/>
    <s v="5013 - EDUCACAO SUPERIOR - GRADUACAO, POS-GRADUACAO, ENSINO, PESQUISA E EXTENSAO"/>
    <x v="409"/>
    <n v="4865968.2"/>
    <n v="4864248.5999999996"/>
    <n v="4865968.2"/>
  </r>
  <r>
    <x v="4"/>
    <s v="2211 - INSERCAO ECONOMICA INTERNACIONAL"/>
    <x v="147"/>
    <n v="110312"/>
    <n v="146729.67000000001"/>
    <n v="139564.5"/>
  </r>
  <r>
    <x v="4"/>
    <s v="5016 - SEGURANCA PUBLICA, COMBATE A CORRUPCAO, AO CRIME ORGANIZADO E AO CRIME VIOLENTO"/>
    <x v="814"/>
    <n v="0"/>
    <n v="10036.91"/>
    <n v="8867.98"/>
  </r>
  <r>
    <x v="4"/>
    <s v="2030 - EDUCACAO BASICA"/>
    <x v="436"/>
    <n v="0"/>
    <n v="0"/>
    <n v="0"/>
  </r>
  <r>
    <x v="4"/>
    <s v="2058 - DEFESA NACIONAL"/>
    <x v="589"/>
    <n v="0"/>
    <n v="0"/>
    <n v="0"/>
  </r>
  <r>
    <x v="4"/>
    <s v="2217 - DESENVOLVIMENTO REGIONAL, TERRITORIAL E URBANO"/>
    <x v="287"/>
    <n v="6752106.9800000004"/>
    <n v="4244.6400000000003"/>
    <n v="4618.42"/>
  </r>
  <r>
    <x v="4"/>
    <s v="0910 - OPERACOES ESPECIAIS: GESTAO DA PARTICIPACAO EM ORGANISMOS E ENTIDADES NACIONAIS E INTERNACIONAIS"/>
    <x v="941"/>
    <n v="0"/>
    <n v="0"/>
    <n v="0"/>
  </r>
  <r>
    <x v="4"/>
    <s v="5028 - INCLUSAO SOCIAL POR MEIO DO BOLSA FAMILIA E DA ARTICULACAO DE POLITICAS PUBLICAS"/>
    <x v="227"/>
    <n v="0"/>
    <n v="0"/>
    <n v="0"/>
  </r>
  <r>
    <x v="4"/>
    <s v="2217 - DESENVOLVIMENTO REGIONAL, TERRITORIAL E URBANO"/>
    <x v="107"/>
    <n v="0"/>
    <n v="0"/>
    <n v="0"/>
  </r>
  <r>
    <x v="4"/>
    <s v="0903 - OPERACOES ESPECIAIS: TRANSFERENCIAS CONSTITUCIONAIS E AS DECORRENTES DE LEGISLACAO ESPECIFICA"/>
    <x v="2"/>
    <n v="1668457145"/>
    <n v="6173576693.4700003"/>
    <n v="6173576693.4700003"/>
  </r>
  <r>
    <x v="4"/>
    <s v="2206 - POLITICA NUCLEAR"/>
    <x v="659"/>
    <n v="694402.82"/>
    <n v="5231.25"/>
    <n v="5231.25"/>
  </r>
  <r>
    <x v="4"/>
    <s v="6012 - DEFESA NACIONAL"/>
    <x v="257"/>
    <n v="99197756.25"/>
    <n v="12492.65"/>
    <n v="12492.65"/>
  </r>
  <r>
    <x v="4"/>
    <s v="3006 - TRANSPORTE TERRESTRE E TRANSITO"/>
    <x v="497"/>
    <n v="0"/>
    <n v="461469.92"/>
    <n v="230734.96"/>
  </r>
  <r>
    <x v="4"/>
    <s v="5019 - ATENCAO PRIMARIA A SAUDE"/>
    <x v="402"/>
    <n v="663785760"/>
    <n v="663785760"/>
    <n v="663785760"/>
  </r>
  <r>
    <x v="4"/>
    <s v="2204 - BRASIL NA FRONTEIRA DO CONHECIMENTO"/>
    <x v="183"/>
    <n v="81124414.920000002"/>
    <n v="81703092.980000004"/>
    <n v="81561615.099999994"/>
  </r>
  <r>
    <x v="4"/>
    <s v="6012 - DEFESA NACIONAL"/>
    <x v="276"/>
    <n v="1103802.6200000001"/>
    <n v="493316.31"/>
    <n v="449059.18"/>
  </r>
  <r>
    <x v="4"/>
    <s v="3006 - TRANSPORTE TERRESTRE E TRANSITO"/>
    <x v="241"/>
    <n v="63170000"/>
    <n v="5592365.8300000001"/>
    <n v="9131009.4000000004"/>
  </r>
  <r>
    <x v="4"/>
    <s v="5018 - ATENCAO ESPECIALIZADA A SAUDE"/>
    <x v="283"/>
    <n v="1090000"/>
    <n v="1090000"/>
    <n v="1090000"/>
  </r>
  <r>
    <x v="4"/>
    <s v="0910 - OPERACOES ESPECIAIS: GESTAO DA PARTICIPACAO EM ORGANISMOS E ENTIDADES NACIONAIS E INTERNACIONAIS"/>
    <x v="1012"/>
    <n v="0"/>
    <n v="0"/>
    <n v="0"/>
  </r>
  <r>
    <x v="4"/>
    <s v="3006 - TRANSPORTE TERRESTRE E TRANSITO"/>
    <x v="651"/>
    <n v="1828696"/>
    <n v="380244.41"/>
    <n v="380244.41"/>
  </r>
  <r>
    <x v="4"/>
    <s v="2204 - BRASIL NA FRONTEIRA DO CONHECIMENTO"/>
    <x v="117"/>
    <n v="0"/>
    <n v="0"/>
    <n v="0"/>
  </r>
  <r>
    <x v="4"/>
    <s v="0903 - OPERACOES ESPECIAIS: TRANSFERENCIAS CONSTITUCIONAIS E AS DECORRENTES DE LEGISLACAO ESPECIFICA"/>
    <x v="298"/>
    <n v="229291406"/>
    <n v="30748994.780000001"/>
    <n v="30748994.780000001"/>
  </r>
  <r>
    <x v="4"/>
    <s v="2223 - A HORA DO TURISMO"/>
    <x v="269"/>
    <n v="150000"/>
    <n v="3357.38"/>
    <n v="3357.38"/>
  </r>
  <r>
    <x v="4"/>
    <s v="5018 - ATENCAO ESPECIALIZADA A SAUDE"/>
    <x v="292"/>
    <n v="3081604.31"/>
    <n v="5311013.47"/>
    <n v="6721924.0899999999"/>
  </r>
  <r>
    <x v="4"/>
    <s v="5021 - GESTAO E ORGANIZACAO DO SUS"/>
    <x v="211"/>
    <n v="1580821.21"/>
    <n v="1149965.9099999999"/>
    <n v="1165232.8700000001"/>
  </r>
  <r>
    <x v="4"/>
    <s v="3006 - TRANSPORTE TERRESTRE E TRANSITO"/>
    <x v="537"/>
    <n v="0"/>
    <n v="5715428.6299999999"/>
    <n v="5715428.6299999999"/>
  </r>
  <r>
    <x v="4"/>
    <s v="3005 - TRANSPORTE AQUAVIARIO"/>
    <x v="963"/>
    <n v="0"/>
    <n v="93503391"/>
    <n v="93503391"/>
  </r>
  <r>
    <x v="4"/>
    <s v="0910 - OPERACOES ESPECIAIS: GESTAO DA PARTICIPACAO EM ORGANISMOS E ENTIDADES NACIONAIS E INTERNACIONAIS"/>
    <x v="940"/>
    <n v="-137174.47"/>
    <n v="-137174.47"/>
    <n v="4362825.53"/>
  </r>
  <r>
    <x v="4"/>
    <s v="3001 - ENERGIA ELETRICA"/>
    <x v="868"/>
    <n v="101000"/>
    <n v="17999.86"/>
    <n v="17999.86"/>
  </r>
  <r>
    <x v="4"/>
    <s v="2015 - FORTALECIMENTO DO SISTEMA UNICO DE SAUDE (SUS)"/>
    <x v="366"/>
    <n v="0"/>
    <n v="0"/>
    <n v="0"/>
  </r>
  <r>
    <x v="4"/>
    <s v="0034 - PROGRAMA DE GESTAO E MANUTENCAO DO PODER LEGISLATIVO"/>
    <x v="696"/>
    <n v="308091.53999999998"/>
    <n v="229527.46"/>
    <n v="225344.54"/>
  </r>
  <r>
    <x v="4"/>
    <s v="3006 - TRANSPORTE TERRESTRE E TRANSITO"/>
    <x v="883"/>
    <n v="100000"/>
    <n v="0"/>
    <n v="0"/>
  </r>
  <r>
    <x v="4"/>
    <s v="2217 - DESENVOLVIMENTO REGIONAL, TERRITORIAL E URBANO"/>
    <x v="783"/>
    <n v="-157353594.30000001"/>
    <n v="0"/>
    <n v="0"/>
  </r>
  <r>
    <x v="4"/>
    <s v="0151 - PROTECAO DE TERRAS INDIGENAS, GESTAO TERRITORIAL E ETNODESENVOLVIMENTO"/>
    <x v="1016"/>
    <n v="5760"/>
    <n v="8205.9500000000007"/>
    <n v="7343.65"/>
  </r>
  <r>
    <x v="4"/>
    <s v="2218 - GESTAO DE RISCOS E DE DESASTRES"/>
    <x v="1089"/>
    <n v="0"/>
    <n v="0"/>
    <n v="0"/>
  </r>
  <r>
    <x v="4"/>
    <s v="0902 - OPERACOES ESPECIAIS: FINANCIAMENTOS COM RETORNO"/>
    <x v="390"/>
    <n v="389681.55"/>
    <n v="289681.55"/>
    <n v="289681.55"/>
  </r>
  <r>
    <x v="4"/>
    <s v="0910 - OPERACOES ESPECIAIS: GESTAO DA PARTICIPACAO EM ORGANISMOS E ENTIDADES NACIONAIS E INTERNACIONAIS"/>
    <x v="993"/>
    <n v="17795431.469999999"/>
    <n v="17422686.59"/>
    <n v="17422686.59"/>
  </r>
  <r>
    <x v="4"/>
    <s v="2221 - RECURSOS HIDRICOS"/>
    <x v="1019"/>
    <n v="0"/>
    <n v="0"/>
    <n v="0"/>
  </r>
  <r>
    <x v="4"/>
    <s v="0617 - PROTECAO E PROMOCAO DOS DIREITOS DOS POVOS INDIGENAS"/>
    <x v="373"/>
    <n v="0"/>
    <n v="0"/>
    <n v="0"/>
  </r>
  <r>
    <x v="4"/>
    <s v="2221 - RECURSOS HIDRICOS"/>
    <x v="235"/>
    <n v="212470.08"/>
    <n v="19121.650000000001"/>
    <n v="2071.3000000000002"/>
  </r>
  <r>
    <x v="4"/>
    <s v="6012 - DEFESA NACIONAL"/>
    <x v="442"/>
    <n v="127795.49"/>
    <n v="23803.35"/>
    <n v="28462.35"/>
  </r>
  <r>
    <x v="4"/>
    <s v="2084 - RECURSOS HIDRICOS"/>
    <x v="167"/>
    <n v="0"/>
    <n v="0"/>
    <n v="0"/>
  </r>
  <r>
    <x v="4"/>
    <s v="1041 - CONSERVACAO E USO SUSTENTAVEL DA BIODIVERSIDADE E DOS RECURSOS NATURAIS"/>
    <x v="1090"/>
    <n v="4723.04"/>
    <n v="0"/>
    <n v="0"/>
  </r>
  <r>
    <x v="4"/>
    <s v="1040 - GOVERNANCA FUNDIARIA"/>
    <x v="957"/>
    <n v="0"/>
    <n v="0"/>
    <n v="0"/>
  </r>
  <r>
    <x v="4"/>
    <s v="2080 - EDUCACAO DE QUALIDADE PARA TODOS"/>
    <x v="454"/>
    <n v="0"/>
    <n v="0"/>
    <n v="0"/>
  </r>
  <r>
    <x v="4"/>
    <s v="0032 - PROGRAMA DE GESTAO E MANUTENCAO DO PODER EXECUTIVO"/>
    <x v="1091"/>
    <n v="0"/>
    <n v="0"/>
    <n v="0"/>
  </r>
  <r>
    <x v="4"/>
    <s v="3003 - PETROLEO, GAS, DERIVADOS E BIOCOMBUSTIVEIS"/>
    <x v="688"/>
    <n v="2458943.21"/>
    <n v="4278407.34"/>
    <n v="3832542.9"/>
  </r>
  <r>
    <x v="4"/>
    <s v="5018 - ATENCAO ESPECIALIZADA A SAUDE"/>
    <x v="502"/>
    <n v="0"/>
    <n v="2531112.4"/>
    <n v="2531112.4"/>
  </r>
  <r>
    <x v="4"/>
    <s v="3006 - TRANSPORTE TERRESTRE E TRANSITO"/>
    <x v="216"/>
    <n v="0"/>
    <n v="17746.03"/>
    <n v="17746.03"/>
  </r>
  <r>
    <x v="4"/>
    <s v="2222 - SANEAMENTO BASICO"/>
    <x v="554"/>
    <n v="0"/>
    <n v="0"/>
    <n v="0"/>
  </r>
  <r>
    <x v="4"/>
    <s v="1031 - AGROPECUARIA SUSTENTAVEL"/>
    <x v="77"/>
    <n v="0"/>
    <n v="0"/>
    <n v="0"/>
  </r>
  <r>
    <x v="4"/>
    <s v="0907 - OPERACOES ESPECIAIS: REFINANCIAMENTO DA DIVIDA INTERNA"/>
    <x v="328"/>
    <n v="165750000000"/>
    <n v="163357964020.14999"/>
    <n v="163357964020.14999"/>
  </r>
  <r>
    <x v="4"/>
    <s v="2052 - PESCA E AQUICULTURA"/>
    <x v="608"/>
    <n v="0"/>
    <n v="0"/>
    <n v="0"/>
  </r>
  <r>
    <x v="4"/>
    <s v="2212 - MELHORIA DO AMBIENTE DE NEGOCIOS E DA PRODUTIVIDADE"/>
    <x v="238"/>
    <n v="199628.36"/>
    <n v="1725057.19"/>
    <n v="1724868.91"/>
  </r>
  <r>
    <x v="4"/>
    <s v="2215 - POLITICA ECONOMICA E EQUILIBRIO FISCAL"/>
    <x v="364"/>
    <n v="4656982.62"/>
    <n v="744506.7"/>
    <n v="716169.79"/>
  </r>
  <r>
    <x v="4"/>
    <s v="1041 - CONSERVACAO E USO SUSTENTAVEL DA BIODIVERSIDADE E DOS RECURSOS NATURAIS"/>
    <x v="154"/>
    <n v="521548.16"/>
    <n v="308401.94"/>
    <n v="300242.24"/>
  </r>
  <r>
    <x v="4"/>
    <s v="2216 - POLITICA EXTERNA"/>
    <x v="1092"/>
    <n v="983317.91"/>
    <n v="983317.91"/>
    <n v="983317.91"/>
  </r>
  <r>
    <x v="4"/>
    <s v="3001 - ENERGIA ELETRICA"/>
    <x v="915"/>
    <n v="50000"/>
    <n v="17499.37"/>
    <n v="17499.37"/>
  </r>
  <r>
    <x v="4"/>
    <s v="2208 - TECNOLOGIAS APLICADAS, INOVACAO E DESENVOLVIMENTO SUSTENTAVEL"/>
    <x v="179"/>
    <n v="3835778.35"/>
    <n v="2636645.2400000002"/>
    <n v="2651468.04"/>
  </r>
  <r>
    <x v="4"/>
    <s v="0903 - OPERACOES ESPECIAIS: TRANSFERENCIAS CONSTITUCIONAIS E AS DECORRENTES DE LEGISLACAO ESPECIFICA"/>
    <x v="135"/>
    <n v="0"/>
    <n v="180037213.09"/>
    <n v="180037213.09"/>
  </r>
  <r>
    <x v="4"/>
    <s v="2212 - MELHORIA DO AMBIENTE DE NEGOCIOS E DA PRODUTIVIDADE"/>
    <x v="50"/>
    <n v="0"/>
    <n v="0"/>
    <n v="0"/>
  </r>
  <r>
    <x v="4"/>
    <s v="0903 - OPERACOES ESPECIAIS: TRANSFERENCIAS CONSTITUCIONAIS E AS DECORRENTES DE LEGISLACAO ESPECIFICA"/>
    <x v="215"/>
    <n v="0"/>
    <n v="101666779.05"/>
    <n v="101666779.05"/>
  </r>
  <r>
    <x v="4"/>
    <s v="2040 - GESTAO DE RISCOS E DE DESASTRES"/>
    <x v="342"/>
    <n v="0"/>
    <n v="0"/>
    <n v="0"/>
  </r>
  <r>
    <x v="4"/>
    <s v="2221 - RECURSOS HIDRICOS"/>
    <x v="88"/>
    <n v="142536076"/>
    <n v="23604856.109999999"/>
    <n v="23604856.109999999"/>
  </r>
  <r>
    <x v="4"/>
    <s v="3006 - TRANSPORTE TERRESTRE E TRANSITO"/>
    <x v="263"/>
    <n v="0"/>
    <n v="0"/>
    <n v="0"/>
  </r>
  <r>
    <x v="4"/>
    <s v="0901 - OPERACOES ESPECIAIS: CUMPRIMENTO DE SENTENCAS JUDICIAIS"/>
    <x v="244"/>
    <n v="159346892.09"/>
    <n v="50780867.740000002"/>
    <n v="50780867.740000002"/>
  </r>
  <r>
    <x v="4"/>
    <s v="2221 - RECURSOS HIDRICOS"/>
    <x v="486"/>
    <n v="93256.28"/>
    <n v="214458.98"/>
    <n v="231935.72"/>
  </r>
  <r>
    <x v="4"/>
    <s v="2015 - FORTALECIMENTO DO SISTEMA UNICO DE SAUDE (SUS)"/>
    <x v="121"/>
    <n v="0"/>
    <n v="0"/>
    <n v="0"/>
  </r>
  <r>
    <x v="4"/>
    <s v="0910 - OPERACOES ESPECIAIS: GESTAO DA PARTICIPACAO EM ORGANISMOS E ENTIDADES NACIONAIS E INTERNACIONAIS"/>
    <x v="952"/>
    <n v="610000"/>
    <n v="500778.89"/>
    <n v="500778.89"/>
  </r>
  <r>
    <x v="4"/>
    <s v="6012 - DEFESA NACIONAL"/>
    <x v="313"/>
    <n v="0"/>
    <n v="0"/>
    <n v="0"/>
  </r>
  <r>
    <x v="4"/>
    <s v="5023 - VIGILANCIA EM SAUDE"/>
    <x v="917"/>
    <n v="0"/>
    <n v="20471326"/>
    <n v="20471326"/>
  </r>
  <r>
    <x v="4"/>
    <s v="5022 - PROTECAO, PROMOCAO E RECUPERACAO DA SAUDE INDIGENA"/>
    <x v="842"/>
    <n v="0"/>
    <n v="0"/>
    <n v="0"/>
  </r>
  <r>
    <x v="4"/>
    <s v="3006 - TRANSPORTE TERRESTRE E TRANSITO"/>
    <x v="980"/>
    <n v="0"/>
    <n v="0"/>
    <n v="0"/>
  </r>
  <r>
    <x v="4"/>
    <s v="0910 - OPERACOES ESPECIAIS: GESTAO DA PARTICIPACAO EM ORGANISMOS E ENTIDADES NACIONAIS E INTERNACIONAIS"/>
    <x v="1093"/>
    <n v="25000"/>
    <n v="0"/>
    <n v="0"/>
  </r>
  <r>
    <x v="4"/>
    <s v="2054 - PLANEJAMENTO URBANO"/>
    <x v="382"/>
    <n v="0"/>
    <n v="0"/>
    <n v="0"/>
  </r>
  <r>
    <x v="4"/>
    <s v="2205 - CONECTA BRASIL"/>
    <x v="148"/>
    <n v="122306180.79000001"/>
    <n v="11856434.369999999"/>
    <n v="12650121.880000001"/>
  </r>
  <r>
    <x v="4"/>
    <s v="5021 - GESTAO E ORGANIZACAO DO SUS"/>
    <x v="477"/>
    <n v="250000"/>
    <n v="114692.16"/>
    <n v="96445.95"/>
  </r>
  <r>
    <x v="4"/>
    <s v="0909 - OPERACOES ESPECIAIS: OUTROS ENCARGOS ESPECIAIS"/>
    <x v="1094"/>
    <n v="11845171"/>
    <n v="0"/>
    <n v="0"/>
  </r>
  <r>
    <x v="4"/>
    <s v="5014 - ESTATISTICAS E AVALIACOES EDUCACIONAIS"/>
    <x v="707"/>
    <n v="19084589.620000001"/>
    <n v="6869961.5899999999"/>
    <n v="6826429.2699999996"/>
  </r>
  <r>
    <x v="4"/>
    <s v="5031 - PROTECAO SOCIAL NO AMBITO DO SISTEMA UNICO DE ASSISTENCIA SOCIAL (SUAS)"/>
    <x v="197"/>
    <n v="101100.15"/>
    <n v="433873.64"/>
    <n v="430498.84"/>
  </r>
  <r>
    <x v="4"/>
    <s v="5014 - ESTATISTICAS E AVALIACOES EDUCACIONAIS"/>
    <x v="132"/>
    <n v="317563.24"/>
    <n v="441917.18"/>
    <n v="440569.49"/>
  </r>
  <r>
    <x v="4"/>
    <s v="2205 - CONECTA BRASIL"/>
    <x v="34"/>
    <n v="0"/>
    <n v="0"/>
    <n v="0"/>
  </r>
  <r>
    <x v="4"/>
    <s v="0032 - PROGRAMA DE GESTAO E MANUTENCAO DO PODER EXECUTIVO"/>
    <x v="78"/>
    <n v="468257.89"/>
    <n v="468257.89"/>
    <n v="468261.51"/>
  </r>
  <r>
    <x v="4"/>
    <s v="5015 - JUSTICA"/>
    <x v="246"/>
    <n v="0"/>
    <n v="398457.55"/>
    <n v="398457.55"/>
  </r>
  <r>
    <x v="4"/>
    <s v="2208 - TECNOLOGIAS APLICADAS, INOVACAO E DESENVOLVIMENTO SUSTENTAVEL"/>
    <x v="559"/>
    <n v="0"/>
    <n v="0"/>
    <n v="0"/>
  </r>
  <r>
    <x v="4"/>
    <s v="5020 - DESENVOLVIMENTO CIENTIFICO, TECNOLOGICO E PRODUTIVO EM SAUDE"/>
    <x v="833"/>
    <n v="0"/>
    <n v="0"/>
    <n v="0"/>
  </r>
  <r>
    <x v="4"/>
    <s v="2208 - TECNOLOGIAS APLICADAS, INOVACAO E DESENVOLVIMENTO SUSTENTAVEL"/>
    <x v="373"/>
    <n v="0"/>
    <n v="0"/>
    <n v="0"/>
  </r>
  <r>
    <x v="4"/>
    <s v="4003 - GARANTIA DA ESTABILIDADE MONETARIA E FINANCEIRA"/>
    <x v="358"/>
    <n v="56353.77"/>
    <n v="15265.11"/>
    <n v="15265.11"/>
  </r>
  <r>
    <x v="4"/>
    <s v="2208 - TECNOLOGIAS APLICADAS, INOVACAO E DESENVOLVIMENTO SUSTENTAVEL"/>
    <x v="900"/>
    <n v="0"/>
    <n v="0"/>
    <n v="0"/>
  </r>
  <r>
    <x v="4"/>
    <s v="3006 - TRANSPORTE TERRESTRE E TRANSITO"/>
    <x v="141"/>
    <n v="23000000"/>
    <n v="4208143.12"/>
    <n v="0"/>
  </r>
  <r>
    <x v="4"/>
    <s v="2205 - CONECTA BRASIL"/>
    <x v="250"/>
    <n v="824513.87"/>
    <n v="1037946.93"/>
    <n v="1037565.79"/>
  </r>
  <r>
    <x v="4"/>
    <s v="1031 - AGROPECUARIA SUSTENTAVEL"/>
    <x v="323"/>
    <n v="230000000"/>
    <n v="318618246.00999999"/>
    <n v="318618246.00999999"/>
  </r>
  <r>
    <x v="4"/>
    <s v="1040 - GOVERNANCA FUNDIARIA"/>
    <x v="236"/>
    <n v="0"/>
    <n v="0"/>
    <n v="0"/>
  </r>
  <r>
    <x v="4"/>
    <s v="2213 - MODERNIZACAO TRABALHISTA E TRABALHO DIGNO"/>
    <x v="315"/>
    <n v="322000"/>
    <n v="321389.2"/>
    <n v="321389.2"/>
  </r>
  <r>
    <x v="4"/>
    <s v="0909 - OPERACOES ESPECIAIS: OUTROS ENCARGOS ESPECIAIS"/>
    <x v="36"/>
    <n v="0"/>
    <n v="0"/>
    <n v="0"/>
  </r>
  <r>
    <x v="4"/>
    <s v="5018 - ATENCAO ESPECIALIZADA A SAUDE"/>
    <x v="857"/>
    <n v="938408.59"/>
    <n v="882803"/>
    <n v="787964.82"/>
  </r>
  <r>
    <x v="4"/>
    <s v="6012 - DEFESA NACIONAL"/>
    <x v="199"/>
    <n v="0"/>
    <n v="0"/>
    <n v="0"/>
  </r>
  <r>
    <x v="4"/>
    <s v="5031 - PROTECAO SOCIAL NO AMBITO DO SISTEMA UNICO DE ASSISTENCIA SOCIAL (SUAS)"/>
    <x v="251"/>
    <n v="100110.18"/>
    <n v="228234.12"/>
    <n v="196952.68"/>
  </r>
  <r>
    <x v="4"/>
    <s v="1031 - AGROPECUARIA SUSTENTAVEL"/>
    <x v="614"/>
    <n v="0"/>
    <n v="0"/>
    <n v="0"/>
  </r>
  <r>
    <x v="4"/>
    <s v="3006 - TRANSPORTE TERRESTRE E TRANSITO"/>
    <x v="837"/>
    <n v="0"/>
    <n v="0"/>
    <n v="8000000"/>
  </r>
  <r>
    <x v="4"/>
    <s v="2080 - EDUCACAO DE QUALIDADE PARA TODOS"/>
    <x v="798"/>
    <n v="0"/>
    <n v="0"/>
    <n v="0"/>
  </r>
  <r>
    <x v="4"/>
    <s v="3004 - AVIACAO CIVIL"/>
    <x v="85"/>
    <n v="2431578.91"/>
    <n v="0"/>
    <n v="0"/>
  </r>
  <r>
    <x v="4"/>
    <s v="2220 - MORADIA DIGNA"/>
    <x v="924"/>
    <n v="0"/>
    <n v="0"/>
    <n v="0"/>
  </r>
  <r>
    <x v="4"/>
    <s v="5026 - ESPORTE"/>
    <x v="300"/>
    <n v="5834450.4500000002"/>
    <n v="6780"/>
    <n v="2808"/>
  </r>
  <r>
    <x v="4"/>
    <s v="2213 - MODERNIZACAO TRABALHISTA E TRABALHO DIGNO"/>
    <x v="828"/>
    <n v="0"/>
    <n v="0"/>
    <n v="0"/>
  </r>
  <r>
    <x v="4"/>
    <s v="2212 - MELHORIA DO AMBIENTE DE NEGOCIOS E DA PRODUTIVIDADE"/>
    <x v="887"/>
    <n v="0"/>
    <n v="2912.76"/>
    <n v="3353.98"/>
  </r>
  <r>
    <x v="4"/>
    <s v="1041 - CONSERVACAO E USO SUSTENTAVEL DA BIODIVERSIDADE E DOS RECURSOS NATURAIS"/>
    <x v="604"/>
    <n v="0"/>
    <n v="146575.95000000001"/>
    <n v="192068.82"/>
  </r>
  <r>
    <x v="4"/>
    <s v="0032 - PROGRAMA DE GESTAO E MANUTENCAO DO PODER EXECUTIVO"/>
    <x v="178"/>
    <n v="0"/>
    <n v="0"/>
    <n v="0"/>
  </r>
  <r>
    <x v="4"/>
    <s v="5011 - EDUCACAO BASICA DE QUALIDADE"/>
    <x v="1049"/>
    <n v="338367853.44999999"/>
    <n v="262813280"/>
    <n v="262813280"/>
  </r>
  <r>
    <x v="4"/>
    <s v="3002 - GEOLOGIA, MINERACAO E TRANSFORMACAO MINERAL"/>
    <x v="877"/>
    <n v="6519396.2599999998"/>
    <n v="894326.1"/>
    <n v="894326.1"/>
  </r>
  <r>
    <x v="4"/>
    <s v="2221 - RECURSOS HIDRICOS"/>
    <x v="424"/>
    <n v="926578.5"/>
    <n v="530945.23"/>
    <n v="484759.11"/>
  </r>
  <r>
    <x v="4"/>
    <s v="2076 - DESENVOLVIMENTO E PROMOCAO DO TURISMO"/>
    <x v="13"/>
    <n v="0"/>
    <n v="0"/>
    <n v="0"/>
  </r>
  <r>
    <x v="4"/>
    <s v="3006 - TRANSPORTE TERRESTRE E TRANSITO"/>
    <x v="421"/>
    <n v="60000"/>
    <n v="4898667.5999999996"/>
    <n v="3721370.24"/>
  </r>
  <r>
    <x v="4"/>
    <s v="2206 - POLITICA NUCLEAR"/>
    <x v="256"/>
    <n v="122381.11"/>
    <n v="16133.01"/>
    <n v="16133.01"/>
  </r>
  <r>
    <x v="4"/>
    <s v="2221 - RECURSOS HIDRICOS"/>
    <x v="645"/>
    <n v="61897.48"/>
    <n v="40669.360000000001"/>
    <n v="399386.64"/>
  </r>
  <r>
    <x v="4"/>
    <s v="3006 - TRANSPORTE TERRESTRE E TRANSITO"/>
    <x v="832"/>
    <n v="0"/>
    <n v="0"/>
    <n v="0"/>
  </r>
  <r>
    <x v="4"/>
    <s v="0032 - PROGRAMA DE GESTAO E MANUTENCAO DO PODER EXECUTIVO"/>
    <x v="446"/>
    <n v="15228797.640000001"/>
    <n v="0"/>
    <n v="0"/>
  </r>
  <r>
    <x v="4"/>
    <s v="3004 - AVIACAO CIVIL"/>
    <x v="31"/>
    <n v="2388309.31"/>
    <n v="0"/>
    <n v="0"/>
  </r>
  <r>
    <x v="4"/>
    <s v="0032 - PROGRAMA DE GESTAO E MANUTENCAO DO PODER EXECUTIVO"/>
    <x v="689"/>
    <n v="26612469.309999999"/>
    <n v="0"/>
    <n v="0"/>
  </r>
  <r>
    <x v="4"/>
    <s v="2080 - EDUCACAO DE QUALIDADE PARA TODOS"/>
    <x v="859"/>
    <n v="0"/>
    <n v="0"/>
    <n v="0"/>
  </r>
  <r>
    <x v="4"/>
    <s v="5034 - PROTECAO A VIDA, FORTALECIMENTO DA FAMILIA, PROMOCAO E DEFESA DOS DIREITOS HUMANOS PARA TODOS"/>
    <x v="338"/>
    <n v="12640.96"/>
    <n v="2631914.9300000002"/>
    <n v="2631914.9300000002"/>
  </r>
  <r>
    <x v="4"/>
    <s v="0151 - PROTECAO DE TERRAS INDIGENAS, GESTAO TERRITORIAL E ETNODESENVOLVIMENTO"/>
    <x v="919"/>
    <n v="249000"/>
    <n v="73962.740000000005"/>
    <n v="71902.59"/>
  </r>
  <r>
    <x v="4"/>
    <s v="3005 - TRANSPORTE AQUAVIARIO"/>
    <x v="155"/>
    <n v="9551356.3300000001"/>
    <n v="0"/>
    <n v="0"/>
  </r>
  <r>
    <x v="4"/>
    <s v="2222 - SANEAMENTO BASICO"/>
    <x v="444"/>
    <n v="0"/>
    <n v="0"/>
    <n v="0"/>
  </r>
  <r>
    <x v="4"/>
    <s v="2213 - MODERNIZACAO TRABALHISTA E TRABALHO DIGNO"/>
    <x v="314"/>
    <n v="0"/>
    <n v="0"/>
    <n v="0"/>
  </r>
  <r>
    <x v="4"/>
    <s v="3006 - TRANSPORTE TERRESTRE E TRANSITO"/>
    <x v="510"/>
    <n v="0"/>
    <n v="0"/>
    <n v="0"/>
  </r>
  <r>
    <x v="4"/>
    <s v="5011 - EDUCACAO BASICA DE QUALIDADE"/>
    <x v="386"/>
    <n v="15717288.75"/>
    <n v="37176728.030000001"/>
    <n v="53311279.659999996"/>
  </r>
  <r>
    <x v="4"/>
    <s v="2035 - ESPORTE, CIDADANIA E DESENVOLVIMENTO"/>
    <x v="1095"/>
    <n v="0"/>
    <n v="0"/>
    <n v="0"/>
  </r>
  <r>
    <x v="4"/>
    <s v="5019 - ATENCAO PRIMARIA A SAUDE"/>
    <x v="668"/>
    <n v="254149439.55000001"/>
    <n v="82273899.450000003"/>
    <n v="82273899.450000003"/>
  </r>
  <r>
    <x v="4"/>
    <s v="3006 - TRANSPORTE TERRESTRE E TRANSITO"/>
    <x v="808"/>
    <n v="0"/>
    <n v="41262.94"/>
    <n v="41262.94"/>
  </r>
  <r>
    <x v="4"/>
    <s v="2203 - PESQUISA E INOVACAO AGROPECUARIA"/>
    <x v="974"/>
    <n v="0"/>
    <n v="0"/>
    <n v="0"/>
  </r>
  <r>
    <x v="4"/>
    <s v="2211 - INSERCAO ECONOMICA INTERNACIONAL"/>
    <x v="352"/>
    <n v="17824499"/>
    <n v="0"/>
    <n v="0"/>
  </r>
  <r>
    <x v="4"/>
    <s v="0909 - OPERACOES ESPECIAIS: OUTROS ENCARGOS ESPECIAIS"/>
    <x v="1065"/>
    <n v="0"/>
    <n v="61789915.689999998"/>
    <n v="61789915.689999998"/>
  </r>
  <r>
    <x v="4"/>
    <s v="2213 - MODERNIZACAO TRABALHISTA E TRABALHO DIGNO"/>
    <x v="201"/>
    <n v="4324578831"/>
    <n v="4324578831"/>
    <n v="4324578831"/>
  </r>
  <r>
    <x v="4"/>
    <s v="2221 - RECURSOS HIDRICOS"/>
    <x v="203"/>
    <n v="0"/>
    <n v="0"/>
    <n v="0"/>
  </r>
  <r>
    <x v="4"/>
    <s v="3006 - TRANSPORTE TERRESTRE E TRANSITO"/>
    <x v="277"/>
    <n v="8000"/>
    <n v="125267.22"/>
    <n v="69403.16"/>
  </r>
  <r>
    <x v="4"/>
    <s v="6012 - DEFESA NACIONAL"/>
    <x v="254"/>
    <n v="43539906"/>
    <n v="59078.62"/>
    <n v="59078.62"/>
  </r>
  <r>
    <x v="4"/>
    <s v="2223 - A HORA DO TURISMO"/>
    <x v="217"/>
    <n v="-1270.99"/>
    <n v="29680.959999999999"/>
    <n v="29971.88"/>
  </r>
  <r>
    <x v="4"/>
    <s v="2049 - MORADIA DIGNA"/>
    <x v="319"/>
    <n v="0"/>
    <n v="0"/>
    <n v="0"/>
  </r>
  <r>
    <x v="4"/>
    <s v="2081 - JUSTICA, CIDADANIA E SEGURANCA PUBLICA"/>
    <x v="1000"/>
    <n v="0"/>
    <n v="0"/>
    <n v="0"/>
  </r>
  <r>
    <x v="4"/>
    <s v="0905 - OPERACOES ESPECIAIS: SERVICO DA DIVIDA INTERNA (JUROS EAMORTIZACOES)"/>
    <x v="0"/>
    <n v="116753413509.00999"/>
    <n v="115846684706.19"/>
    <n v="115846684706.19"/>
  </r>
  <r>
    <x v="4"/>
    <s v="3006 - TRANSPORTE TERRESTRE E TRANSITO"/>
    <x v="310"/>
    <n v="0"/>
    <n v="11566177.470000001"/>
    <n v="10246177.460000001"/>
  </r>
  <r>
    <x v="4"/>
    <s v="2027 - CULTURA: DIMENSAO ESSENCIAL DO DESENVOLVIMENTO"/>
    <x v="271"/>
    <n v="0"/>
    <n v="0"/>
    <n v="0"/>
  </r>
  <r>
    <x v="4"/>
    <s v="2208 - TECNOLOGIAS APLICADAS, INOVACAO E DESENVOLVIMENTO SUSTENTAVEL"/>
    <x v="33"/>
    <n v="15657353.810000001"/>
    <n v="13609071"/>
    <n v="0"/>
  </r>
  <r>
    <x v="4"/>
    <s v="2212 - MELHORIA DO AMBIENTE DE NEGOCIOS E DA PRODUTIVIDADE"/>
    <x v="168"/>
    <n v="0"/>
    <n v="0"/>
    <n v="0"/>
  </r>
  <r>
    <x v="4"/>
    <s v="3006 - TRANSPORTE TERRESTRE E TRANSITO"/>
    <x v="522"/>
    <n v="0"/>
    <n v="0"/>
    <n v="0"/>
  </r>
  <r>
    <x v="4"/>
    <s v="0032 - PROGRAMA DE GESTAO E MANUTENCAO DO PODER EXECUTIVO"/>
    <x v="349"/>
    <n v="2160600.52"/>
    <n v="616217.63"/>
    <n v="671493.11"/>
  </r>
  <r>
    <x v="4"/>
    <s v="2221 - RECURSOS HIDRICOS"/>
    <x v="327"/>
    <n v="0"/>
    <n v="0"/>
    <n v="0"/>
  </r>
  <r>
    <x v="4"/>
    <s v="0910 - OPERACOES ESPECIAIS: GESTAO DA PARTICIPACAO EM ORGANISMOS E ENTIDADES NACIONAIS E INTERNACIONAIS"/>
    <x v="1096"/>
    <n v="0"/>
    <n v="0"/>
    <n v="0"/>
  </r>
  <r>
    <x v="4"/>
    <s v="2217 - DESENVOLVIMENTO REGIONAL, TERRITORIAL E URBANO"/>
    <x v="403"/>
    <n v="15802"/>
    <n v="0"/>
    <n v="0"/>
  </r>
  <r>
    <x v="4"/>
    <s v="2058 - DEFESA NACIONAL"/>
    <x v="1097"/>
    <n v="0"/>
    <n v="0"/>
    <n v="0"/>
  </r>
  <r>
    <x v="4"/>
    <s v="5013 - EDUCACAO SUPERIOR - GRADUACAO, POS-GRADUACAO, ENSINO, PESQUISA E EXTENSAO"/>
    <x v="400"/>
    <n v="5037117.96"/>
    <n v="4440277.43"/>
    <n v="4440277.43"/>
  </r>
  <r>
    <x v="4"/>
    <s v="3006 - TRANSPORTE TERRESTRE E TRANSITO"/>
    <x v="360"/>
    <n v="1648256.86"/>
    <n v="0"/>
    <n v="0"/>
  </r>
  <r>
    <x v="4"/>
    <s v="5011 - EDUCACAO BASICA DE QUALIDADE"/>
    <x v="859"/>
    <n v="0"/>
    <n v="0"/>
    <n v="0"/>
  </r>
  <r>
    <x v="4"/>
    <s v="0910 - OPERACOES ESPECIAIS: GESTAO DA PARTICIPACAO EM ORGANISMOS E ENTIDADES NACIONAIS E INTERNACIONAIS"/>
    <x v="1098"/>
    <n v="0"/>
    <n v="0"/>
    <n v="0"/>
  </r>
  <r>
    <x v="4"/>
    <s v="1041 - CONSERVACAO E USO SUSTENTAVEL DA BIODIVERSIDADE E DOS RECURSOS NATURAIS"/>
    <x v="177"/>
    <n v="27165.5"/>
    <n v="73084.5"/>
    <n v="73084.5"/>
  </r>
  <r>
    <x v="4"/>
    <s v="3006 - TRANSPORTE TERRESTRE E TRANSITO"/>
    <x v="530"/>
    <n v="1429538.6"/>
    <n v="2011320.96"/>
    <n v="1926504.77"/>
  </r>
  <r>
    <x v="4"/>
    <s v="0031 - PROGRAMA DE GESTAO E MANUTENCAO DO MINISTERIO PUBLICO"/>
    <x v="799"/>
    <n v="0"/>
    <n v="0"/>
    <n v="0"/>
  </r>
  <r>
    <x v="4"/>
    <s v="2027 - CULTURA: DIMENSAO ESSENCIAL DO DESENVOLVIMENTO"/>
    <x v="986"/>
    <n v="0"/>
    <n v="0"/>
    <n v="0"/>
  </r>
  <r>
    <x v="4"/>
    <s v="5013 - EDUCACAO SUPERIOR - GRADUACAO, POS-GRADUACAO, ENSINO, PESQUISA E EXTENSAO"/>
    <x v="123"/>
    <n v="14884800"/>
    <n v="25293800"/>
    <n v="25293800"/>
  </r>
  <r>
    <x v="4"/>
    <s v="2080 - EDUCACAO DE QUALIDADE PARA TODOS"/>
    <x v="769"/>
    <n v="0"/>
    <n v="0"/>
    <n v="0"/>
  </r>
  <r>
    <x v="4"/>
    <s v="2208 - TECNOLOGIAS APLICADAS, INOVACAO E DESENVOLVIMENTO SUSTENTAVEL"/>
    <x v="804"/>
    <n v="10628.72"/>
    <n v="0"/>
    <n v="0"/>
  </r>
  <r>
    <x v="4"/>
    <s v="5015 - JUSTICA"/>
    <x v="714"/>
    <n v="9935297.3499999996"/>
    <n v="2589590.61"/>
    <n v="1980968.73"/>
  </r>
  <r>
    <x v="4"/>
    <s v="5021 - GESTAO E ORGANIZACAO DO SUS"/>
    <x v="560"/>
    <n v="18915962.129999999"/>
    <n v="10117269.48"/>
    <n v="9921763.8200000003"/>
  </r>
  <r>
    <x v="4"/>
    <s v="2214 - NOVA PREVIDENCIA"/>
    <x v="345"/>
    <n v="63759138.780000001"/>
    <n v="82199500.629999995"/>
    <n v="79213636.920000002"/>
  </r>
  <r>
    <x v="4"/>
    <s v="6012 - DEFESA NACIONAL"/>
    <x v="878"/>
    <n v="8846270.8399999999"/>
    <n v="938.06"/>
    <n v="938.06"/>
  </r>
  <r>
    <x v="4"/>
    <s v="6011 - COOPERACAO COM O DESENVOLVIMENTO NACIONAL"/>
    <x v="55"/>
    <n v="0"/>
    <n v="2258.15"/>
    <n v="0"/>
  </r>
  <r>
    <x v="4"/>
    <s v="5026 - ESPORTE"/>
    <x v="92"/>
    <n v="41851250"/>
    <n v="5587225.75"/>
    <n v="5587225.75"/>
  </r>
  <r>
    <x v="4"/>
    <s v="1031 - AGROPECUARIA SUSTENTAVEL"/>
    <x v="468"/>
    <n v="15466.31"/>
    <n v="126181.73"/>
    <n v="126318.44"/>
  </r>
  <r>
    <x v="4"/>
    <s v="0032 - PROGRAMA DE GESTAO E MANUTENCAO DO PODER EXECUTIVO"/>
    <x v="729"/>
    <n v="297887113.06999999"/>
    <n v="1951563178.04"/>
    <n v="1942373988.4300001"/>
  </r>
  <r>
    <x v="4"/>
    <s v="5018 - ATENCAO ESPECIALIZADA A SAUDE"/>
    <x v="186"/>
    <n v="108333333.33"/>
    <n v="108333333.33"/>
    <n v="108333333.33"/>
  </r>
  <r>
    <x v="4"/>
    <s v="0032 - PROGRAMA DE GESTAO E MANUTENCAO DO PODER EXECUTIVO"/>
    <x v="679"/>
    <n v="68000"/>
    <n v="621068.80000000005"/>
    <n v="673851.19"/>
  </r>
  <r>
    <x v="4"/>
    <s v="5029 - PRODUCAO DE DADOS E CONHECIMENTO PARA O APRIMORAMENTO DE POLITICAS PUBLICAS"/>
    <x v="320"/>
    <n v="0"/>
    <n v="233966.02"/>
    <n v="233966.02"/>
  </r>
  <r>
    <x v="4"/>
    <s v="0032 - PROGRAMA DE GESTAO E MANUTENCAO DO PODER EXECUTIVO"/>
    <x v="295"/>
    <n v="0"/>
    <n v="149084.25"/>
    <n v="45884.12"/>
  </r>
  <r>
    <x v="4"/>
    <s v="2206 - POLITICA NUCLEAR"/>
    <x v="708"/>
    <n v="2960800"/>
    <n v="403461.64"/>
    <n v="403461.64"/>
  </r>
  <r>
    <x v="4"/>
    <s v="2209 - BRASIL, NOSSO PROPOSITO"/>
    <x v="428"/>
    <n v="6700"/>
    <n v="83616.81"/>
    <n v="86264.24"/>
  </r>
  <r>
    <x v="4"/>
    <s v="2134 - PROGRAMA DE GESTAO E MANUTENCAO DO MINISTERIO DA MULHER, DA FAMILIA E DOS DIREITOS HUMANOS"/>
    <x v="52"/>
    <n v="0"/>
    <n v="0"/>
    <n v="0"/>
  </r>
  <r>
    <x v="4"/>
    <s v="0032 - PROGRAMA DE GESTAO E MANUTENCAO DO PODER EXECUTIVO"/>
    <x v="341"/>
    <n v="1400925.11"/>
    <n v="235168.3"/>
    <n v="272031.09000000003"/>
  </r>
  <r>
    <x v="4"/>
    <s v="3006 - TRANSPORTE TERRESTRE E TRANSITO"/>
    <x v="841"/>
    <n v="30000000"/>
    <n v="107452.02"/>
    <n v="0"/>
  </r>
  <r>
    <x v="4"/>
    <s v="2222 - SANEAMENTO BASICO"/>
    <x v="150"/>
    <n v="351822967.06"/>
    <n v="0"/>
    <n v="0"/>
  </r>
  <r>
    <x v="4"/>
    <s v="0909 - OPERACOES ESPECIAIS: OUTROS ENCARGOS ESPECIAIS"/>
    <x v="556"/>
    <n v="2329978.4500000002"/>
    <n v="611580.21"/>
    <n v="1208776.8799999999"/>
  </r>
  <r>
    <x v="4"/>
    <s v="5021 - GESTAO E ORGANIZACAO DO SUS"/>
    <x v="46"/>
    <n v="4115870.06"/>
    <n v="251444.89"/>
    <n v="244864.59"/>
  </r>
  <r>
    <x v="4"/>
    <s v="3001 - ENERGIA ELETRICA"/>
    <x v="106"/>
    <n v="658169.03"/>
    <n v="2175076.0699999998"/>
    <n v="3473301.18"/>
  </r>
  <r>
    <x v="4"/>
    <s v="5025 - CULTURA"/>
    <x v="1011"/>
    <n v="0"/>
    <n v="0"/>
    <n v="0"/>
  </r>
  <r>
    <x v="4"/>
    <s v="1041 - CONSERVACAO E USO SUSTENTAVEL DA BIODIVERSIDADE E DOS RECURSOS NATURAIS"/>
    <x v="19"/>
    <n v="30000"/>
    <n v="2022.77"/>
    <n v="2022.77"/>
  </r>
  <r>
    <x v="4"/>
    <s v="5021 - GESTAO E ORGANIZACAO DO SUS"/>
    <x v="695"/>
    <n v="4472240.13"/>
    <n v="130700.59"/>
    <n v="130965.34"/>
  </r>
  <r>
    <x v="4"/>
    <s v="3006 - TRANSPORTE TERRESTRE E TRANSITO"/>
    <x v="1099"/>
    <n v="0"/>
    <n v="0"/>
    <n v="0"/>
  </r>
  <r>
    <x v="4"/>
    <s v="0903 - OPERACOES ESPECIAIS: TRANSFERENCIAS CONSTITUCIONAIS E AS DECORRENTES DE LEGISLACAO ESPECIFICA"/>
    <x v="174"/>
    <n v="275471972"/>
    <n v="0"/>
    <n v="0"/>
  </r>
  <r>
    <x v="4"/>
    <s v="2223 - A HORA DO TURISMO"/>
    <x v="854"/>
    <n v="23650000"/>
    <n v="0"/>
    <n v="0"/>
  </r>
  <r>
    <x v="4"/>
    <s v="2209 - BRASIL, NOSSO PROPOSITO"/>
    <x v="705"/>
    <n v="-18900000"/>
    <n v="0"/>
    <n v="0"/>
  </r>
  <r>
    <x v="4"/>
    <s v="5011 - EDUCACAO BASICA DE QUALIDADE"/>
    <x v="432"/>
    <n v="136485"/>
    <n v="80099555"/>
    <n v="75962555"/>
  </r>
  <r>
    <x v="4"/>
    <s v="6012 - DEFESA NACIONAL"/>
    <x v="340"/>
    <n v="347705.92"/>
    <n v="17982.93"/>
    <n v="17982.93"/>
  </r>
  <r>
    <x v="4"/>
    <s v="3006 - TRANSPORTE TERRESTRE E TRANSITO"/>
    <x v="392"/>
    <n v="6300352.6500000004"/>
    <n v="1479706.79"/>
    <n v="1479706.79"/>
  </r>
  <r>
    <x v="4"/>
    <s v="5018 - ATENCAO ESPECIALIZADA A SAUDE"/>
    <x v="83"/>
    <n v="22601670.440000001"/>
    <n v="47421589.060000002"/>
    <n v="40376374.68"/>
  </r>
  <r>
    <x v="4"/>
    <s v="2054 - PLANEJAMENTO URBANO"/>
    <x v="545"/>
    <n v="0"/>
    <n v="0"/>
    <n v="0"/>
  </r>
  <r>
    <x v="4"/>
    <s v="0903 - OPERACOES ESPECIAIS: TRANSFERENCIAS CONSTITUCIONAIS E AS DECORRENTES DE LEGISLACAO ESPECIFICA"/>
    <x v="587"/>
    <n v="0"/>
    <n v="346901813.67000002"/>
    <n v="346901813.67000002"/>
  </r>
  <r>
    <x v="4"/>
    <s v="2221 - RECURSOS HIDRICOS"/>
    <x v="22"/>
    <n v="0"/>
    <n v="0"/>
    <n v="0"/>
  </r>
  <r>
    <x v="4"/>
    <s v="0910 - OPERACOES ESPECIAIS: GESTAO DA PARTICIPACAO EM ORGANISMOS E ENTIDADES NACIONAIS E INTERNACIONAIS"/>
    <x v="1100"/>
    <n v="0"/>
    <n v="0"/>
    <n v="0"/>
  </r>
  <r>
    <x v="4"/>
    <s v="5035 - PROMOCAO DE CIDADANIA POR MEIO DO AUXILIO BRASIL E DA ARTICULACAO DE POLITICAS PUBLICAS"/>
    <x v="1033"/>
    <n v="-54792.13"/>
    <n v="156923004.41"/>
    <n v="156923004.41"/>
  </r>
  <r>
    <x v="4"/>
    <s v="2066 - REFORMA AGRARIA E GOVERNANCA FUNDIARIA"/>
    <x v="231"/>
    <n v="0"/>
    <n v="0"/>
    <n v="0"/>
  </r>
  <r>
    <x v="4"/>
    <s v="0032 - PROGRAMA DE GESTAO E MANUTENCAO DO PODER EXECUTIVO"/>
    <x v="348"/>
    <n v="18325252.5"/>
    <n v="423514.02"/>
    <n v="386843.82"/>
  </r>
  <r>
    <x v="4"/>
    <s v="3006 - TRANSPORTE TERRESTRE E TRANSITO"/>
    <x v="140"/>
    <n v="520000"/>
    <n v="0"/>
    <n v="0"/>
  </r>
  <r>
    <x v="4"/>
    <s v="3006 - TRANSPORTE TERRESTRE E TRANSITO"/>
    <x v="671"/>
    <n v="1120000"/>
    <n v="0"/>
    <n v="0"/>
  </r>
  <r>
    <x v="4"/>
    <s v="1031 - AGROPECUARIA SUSTENTAVEL"/>
    <x v="512"/>
    <n v="1432088.58"/>
    <n v="571802.28"/>
    <n v="565886.87"/>
  </r>
  <r>
    <x v="4"/>
    <s v="5033 - SEGURANCA ALIMENTAR E NUTRICIONAL"/>
    <x v="370"/>
    <n v="26956.86"/>
    <n v="57180.87"/>
    <n v="57180.87"/>
  </r>
  <r>
    <x v="4"/>
    <s v="5020 - DESENVOLVIMENTO CIENTIFICO, TECNOLOGICO E PRODUTIVO EM SAUDE"/>
    <x v="515"/>
    <n v="0"/>
    <n v="0"/>
    <n v="0"/>
  </r>
  <r>
    <x v="4"/>
    <s v="3006 - TRANSPORTE TERRESTRE E TRANSITO"/>
    <x v="864"/>
    <n v="0"/>
    <n v="0"/>
    <n v="0"/>
  </r>
  <r>
    <x v="4"/>
    <s v="2212 - MELHORIA DO AMBIENTE DE NEGOCIOS E DA PRODUTIVIDADE"/>
    <x v="329"/>
    <n v="33597158.200000003"/>
    <n v="33259491.350000001"/>
    <n v="33362866.350000001"/>
  </r>
  <r>
    <x v="4"/>
    <s v="0032 - PROGRAMA DE GESTAO E MANUTENCAO DO PODER EXECUTIVO"/>
    <x v="640"/>
    <n v="10481.91"/>
    <n v="3417.39"/>
    <n v="0"/>
  </r>
  <r>
    <x v="4"/>
    <s v="6012 - DEFESA NACIONAL"/>
    <x v="518"/>
    <n v="63815"/>
    <n v="28275"/>
    <n v="28275"/>
  </r>
  <r>
    <x v="4"/>
    <s v="2204 - BRASIL NA FRONTEIRA DO CONHECIMENTO"/>
    <x v="674"/>
    <n v="98000"/>
    <n v="18000"/>
    <n v="18000"/>
  </r>
  <r>
    <x v="4"/>
    <s v="2080 - EDUCACAO DE QUALIDADE PARA TODOS"/>
    <x v="365"/>
    <n v="0"/>
    <n v="0"/>
    <n v="0"/>
  </r>
  <r>
    <x v="4"/>
    <s v="2118 - PROGRAMA DE GESTAO E MANUTENCAO DO MINISTERIO DAS RELACOES EXTERIORES"/>
    <x v="52"/>
    <n v="0"/>
    <n v="0"/>
    <n v="0"/>
  </r>
  <r>
    <x v="4"/>
    <s v="0033 - PROGRAMA DE GESTAO E MANUTENCAO DO PODER JUDICIARIO"/>
    <x v="297"/>
    <n v="119130.7"/>
    <n v="16162"/>
    <n v="16162"/>
  </r>
  <r>
    <x v="4"/>
    <s v="1031 - AGROPECUARIA SUSTENTAVEL"/>
    <x v="899"/>
    <n v="154845.26"/>
    <n v="0"/>
    <n v="0"/>
  </r>
  <r>
    <x v="4"/>
    <s v="2208 - TECNOLOGIAS APLICADAS, INOVACAO E DESENVOLVIMENTO SUSTENTAVEL"/>
    <x v="823"/>
    <n v="0"/>
    <n v="0"/>
    <n v="0"/>
  </r>
  <r>
    <x v="4"/>
    <s v="2206 - POLITICA NUCLEAR"/>
    <x v="664"/>
    <n v="43576"/>
    <n v="18518.59"/>
    <n v="22738.02"/>
  </r>
  <r>
    <x v="4"/>
    <s v="2201 - BRASIL MODERNIZA"/>
    <x v="451"/>
    <n v="1100328.75"/>
    <n v="1619305"/>
    <n v="1656914.1"/>
  </r>
  <r>
    <x v="4"/>
    <s v="2205 - CONECTA BRASIL"/>
    <x v="47"/>
    <n v="16574.2"/>
    <n v="1109214.24"/>
    <n v="1093427.8999999999"/>
  </r>
  <r>
    <x v="4"/>
    <s v="0910 - OPERACOES ESPECIAIS: GESTAO DA PARTICIPACAO EM ORGANISMOS E ENTIDADES NACIONAIS E INTERNACIONAIS"/>
    <x v="1101"/>
    <n v="2900117"/>
    <n v="1000000"/>
    <n v="0"/>
  </r>
  <r>
    <x v="4"/>
    <s v="5035 - PROMOCAO DE CIDADANIA POR MEIO DO AUXILIO BRASIL E DA ARTICULACAO DE POLITICAS PUBLICAS"/>
    <x v="462"/>
    <n v="0"/>
    <n v="373607.54"/>
    <n v="373607.54"/>
  </r>
  <r>
    <x v="4"/>
    <s v="2206 - POLITICA NUCLEAR"/>
    <x v="429"/>
    <n v="137116764.12"/>
    <n v="14054205.27"/>
    <n v="8093587.1399999997"/>
  </r>
  <r>
    <x v="4"/>
    <s v="0906 - OPERACOES ESPECIAIS: SERVICO DA DIVIDA EXTERNA (JUROS EAMORTIZACOES)"/>
    <x v="1062"/>
    <n v="30131650.969999999"/>
    <n v="30131650.969999999"/>
    <n v="30131650.969999999"/>
  </r>
  <r>
    <x v="4"/>
    <s v="6012 - DEFESA NACIONAL"/>
    <x v="596"/>
    <n v="3732287.71"/>
    <n v="956915.47"/>
    <n v="756323.66"/>
  </r>
  <r>
    <x v="4"/>
    <s v="1040 - GOVERNANCA FUNDIARIA"/>
    <x v="905"/>
    <n v="118142.04"/>
    <n v="74028.539999999994"/>
    <n v="73839.48"/>
  </r>
  <r>
    <x v="4"/>
    <s v="2217 - DESENVOLVIMENTO REGIONAL, TERRITORIAL E URBANO"/>
    <x v="610"/>
    <n v="0"/>
    <n v="0"/>
    <n v="0"/>
  </r>
  <r>
    <x v="4"/>
    <s v="2207 - PROGRAMA ESPACIAL BRASILEIRO"/>
    <x v="381"/>
    <n v="8072819.3799999999"/>
    <n v="2896709.89"/>
    <n v="1689536.07"/>
  </r>
  <r>
    <x v="4"/>
    <s v="3006 - TRANSPORTE TERRESTRE E TRANSITO"/>
    <x v="539"/>
    <n v="80000000"/>
    <n v="20204030.199999999"/>
    <n v="17241238.870000001"/>
  </r>
  <r>
    <x v="4"/>
    <s v="0905 - OPERACOES ESPECIAIS: SERVICO DA DIVIDA INTERNA (JUROS EAMORTIZACOES)"/>
    <x v="347"/>
    <n v="0"/>
    <n v="5533432.0599999996"/>
    <n v="5533432.0599999996"/>
  </r>
  <r>
    <x v="4"/>
    <s v="0903 - OPERACOES ESPECIAIS: TRANSFERENCIAS CONSTITUCIONAIS E AS DECORRENTES DE LEGISLACAO ESPECIFICA"/>
    <x v="375"/>
    <n v="0"/>
    <n v="432371539.35000002"/>
    <n v="432371539.35000002"/>
  </r>
  <r>
    <x v="4"/>
    <s v="2021 - CIENCIA, TECNOLOGIA E INOVACAO"/>
    <x v="183"/>
    <n v="0"/>
    <n v="0"/>
    <n v="0"/>
  </r>
  <r>
    <x v="4"/>
    <s v="5023 - VIGILANCIA EM SAUDE"/>
    <x v="324"/>
    <n v="1760520.98"/>
    <n v="1518882.44"/>
    <n v="2175374.81"/>
  </r>
  <r>
    <x v="4"/>
    <s v="1031 - AGROPECUARIA SUSTENTAVEL"/>
    <x v="535"/>
    <n v="2052122.42"/>
    <n v="1824015.06"/>
    <n v="998821.84"/>
  </r>
  <r>
    <x v="4"/>
    <s v="4001 - COMUNICACAO PUBLICA E DIVULGACAO DE ATOS E MATERIAS DO GOVERNO FEDERAL"/>
    <x v="84"/>
    <n v="20865892.260000002"/>
    <n v="3987682.95"/>
    <n v="3914033.2"/>
  </r>
  <r>
    <x v="4"/>
    <s v="1031 - AGROPECUARIA SUSTENTAVEL"/>
    <x v="93"/>
    <n v="0"/>
    <n v="594126.96"/>
    <n v="594126.96"/>
  </r>
  <r>
    <x v="4"/>
    <s v="0901 - OPERACOES ESPECIAIS: CUMPRIMENTO DE SENTENCAS JUDICIAIS"/>
    <x v="606"/>
    <n v="29678929.120000001"/>
    <n v="39344227.100000001"/>
    <n v="39344227.100000001"/>
  </r>
  <r>
    <x v="4"/>
    <s v="6012 - DEFESA NACIONAL"/>
    <x v="321"/>
    <n v="912413.41"/>
    <n v="12435014.07"/>
    <n v="12435014.07"/>
  </r>
  <r>
    <x v="4"/>
    <s v="2110 - PROGRAMA DE GESTAO E MANUTENCAO DO MINISTERIO DA ECONOMIA"/>
    <x v="52"/>
    <n v="0"/>
    <n v="0"/>
    <n v="0"/>
  </r>
  <r>
    <x v="4"/>
    <s v="0902 - OPERACOES ESPECIAIS: FINANCIAMENTOS COM RETORNO"/>
    <x v="555"/>
    <n v="0"/>
    <n v="423573520.81"/>
    <n v="423582949.70999998"/>
  </r>
  <r>
    <x v="4"/>
    <s v="2205 - CONECTA BRASIL"/>
    <x v="861"/>
    <n v="3531343.15"/>
    <n v="3531343.15"/>
    <n v="3531343.15"/>
  </r>
  <r>
    <x v="4"/>
    <s v="0909 - OPERACOES ESPECIAIS: OUTROS ENCARGOS ESPECIAIS"/>
    <x v="306"/>
    <n v="0"/>
    <n v="700000000"/>
    <n v="700000000"/>
  </r>
  <r>
    <x v="4"/>
    <s v="0032 - PROGRAMA DE GESTAO E MANUTENCAO DO PODER EXECUTIVO"/>
    <x v="91"/>
    <n v="8832562.9199999999"/>
    <n v="8309665.3700000001"/>
    <n v="8309665.3700000001"/>
  </r>
  <r>
    <x v="4"/>
    <s v="2216 - POLITICA EXTERNA"/>
    <x v="362"/>
    <n v="3382.88"/>
    <n v="3382.88"/>
    <n v="3382.88"/>
  </r>
  <r>
    <x v="4"/>
    <s v="2110 - PROGRAMA DE GESTAO E MANUTENCAO DO MINISTERIO DA ECONOMIA"/>
    <x v="575"/>
    <n v="0"/>
    <n v="0"/>
    <n v="0"/>
  </r>
  <r>
    <x v="4"/>
    <s v="3006 - TRANSPORTE TERRESTRE E TRANSITO"/>
    <x v="894"/>
    <n v="0"/>
    <n v="0"/>
    <n v="0"/>
  </r>
  <r>
    <x v="4"/>
    <s v="6012 - DEFESA NACIONAL"/>
    <x v="886"/>
    <n v="1355016.32"/>
    <n v="523995.06"/>
    <n v="208311.45"/>
  </r>
  <r>
    <x v="4"/>
    <s v="2203 - PESQUISA E INOVACAO AGROPECUARIA"/>
    <x v="618"/>
    <n v="638472.61"/>
    <n v="3767.61"/>
    <n v="3560.61"/>
  </r>
  <r>
    <x v="4"/>
    <s v="1031 - AGROPECUARIA SUSTENTAVEL"/>
    <x v="474"/>
    <n v="121120"/>
    <n v="0"/>
    <n v="0"/>
  </r>
  <r>
    <x v="4"/>
    <s v="0032 - PROGRAMA DE GESTAO E MANUTENCAO DO PODER EXECUTIVO"/>
    <x v="435"/>
    <n v="68392.03"/>
    <n v="56982.03"/>
    <n v="53068.08"/>
  </r>
  <r>
    <x v="4"/>
    <s v="5025 - CULTURA"/>
    <x v="303"/>
    <n v="8492608.2400000002"/>
    <n v="68685.98"/>
    <n v="68305.98"/>
  </r>
  <r>
    <x v="4"/>
    <s v="0032 - PROGRAMA DE GESTAO E MANUTENCAO DO PODER EXECUTIVO"/>
    <x v="356"/>
    <n v="62094738.859999999"/>
    <n v="19579831.850000001"/>
    <n v="19882010.559999999"/>
  </r>
  <r>
    <x v="4"/>
    <s v="2035 - ESPORTE, CIDADANIA E DESENVOLVIMENTO"/>
    <x v="223"/>
    <n v="0"/>
    <n v="0"/>
    <n v="0"/>
  </r>
  <r>
    <x v="4"/>
    <s v="1040 - GOVERNANCA FUNDIARIA"/>
    <x v="281"/>
    <n v="86335.26"/>
    <n v="24244.51"/>
    <n v="23967.63"/>
  </r>
  <r>
    <x v="4"/>
    <s v="2216 - POLITICA EXTERNA"/>
    <x v="289"/>
    <n v="152308.18"/>
    <n v="536346.55000000005"/>
    <n v="513533.33"/>
  </r>
  <r>
    <x v="4"/>
    <s v="2208 - TECNOLOGIAS APLICADAS, INOVACAO E DESENVOLVIMENTO SUSTENTAVEL"/>
    <x v="879"/>
    <n v="0"/>
    <n v="0"/>
    <n v="0"/>
  </r>
  <r>
    <x v="4"/>
    <s v="5018 - ATENCAO ESPECIALIZADA A SAUDE"/>
    <x v="330"/>
    <n v="4328756.5599999996"/>
    <n v="21942975.27"/>
    <n v="19685743.629999999"/>
  </r>
  <r>
    <x v="4"/>
    <s v="2218 - GESTAO DE RISCOS E DE DESASTRES"/>
    <x v="536"/>
    <n v="7927221.9699999997"/>
    <n v="2386769.6800000002"/>
    <n v="2370060.1"/>
  </r>
  <r>
    <x v="4"/>
    <s v="5020 - DESENVOLVIMENTO CIENTIFICO, TECNOLOGICO E PRODUTIVO EM SAUDE"/>
    <x v="909"/>
    <n v="450069.51"/>
    <n v="4345973.1500000004"/>
    <n v="0"/>
  </r>
  <r>
    <x v="4"/>
    <s v="5035 - PROMOCAO DE CIDADANIA POR MEIO DO AUXILIO BRASIL E DA ARTICULACAO DE POLITICAS PUBLICAS"/>
    <x v="550"/>
    <n v="2008200"/>
    <n v="14030963519.559999"/>
    <n v="14030963519.559999"/>
  </r>
  <r>
    <x v="4"/>
    <s v="5027 - INCLUSAO PRODUTIVA DE PESSOAS EM SITUACAO DE VULNERABILIDADE SOCIAL"/>
    <x v="311"/>
    <n v="15000"/>
    <n v="5940.6"/>
    <n v="5940.6"/>
  </r>
  <r>
    <x v="4"/>
    <s v="2222 - SANEAMENTO BASICO"/>
    <x v="1102"/>
    <n v="8890772.2400000002"/>
    <n v="0"/>
    <n v="0"/>
  </r>
  <r>
    <x v="4"/>
    <s v="2221 - RECURSOS HIDRICOS"/>
    <x v="149"/>
    <n v="11191.27"/>
    <n v="2768241.81"/>
    <n v="4407380.95"/>
  </r>
  <r>
    <x v="4"/>
    <s v="5021 - GESTAO E ORGANIZACAO DO SUS"/>
    <x v="49"/>
    <n v="-618370.28"/>
    <n v="-63581.919999999998"/>
    <n v="1160813.5"/>
  </r>
  <r>
    <x v="4"/>
    <s v="2217 - DESENVOLVIMENTO REGIONAL, TERRITORIAL E URBANO"/>
    <x v="322"/>
    <n v="29356.99"/>
    <n v="11441.94"/>
    <n v="8586.51"/>
  </r>
  <r>
    <x v="4"/>
    <s v="0902 - OPERACOES ESPECIAIS: FINANCIAMENTOS COM RETORNO"/>
    <x v="44"/>
    <n v="1706238103.3900001"/>
    <n v="1706238103.3900001"/>
    <n v="1706238103.3900001"/>
  </r>
  <r>
    <x v="4"/>
    <s v="2220 - MORADIA DIGNA"/>
    <x v="822"/>
    <n v="659184385"/>
    <n v="862709320.21000004"/>
    <n v="862709320.21000004"/>
  </r>
  <r>
    <x v="4"/>
    <s v="2206 - POLITICA NUCLEAR"/>
    <x v="10"/>
    <n v="36281804.039999999"/>
    <n v="4800759.46"/>
    <n v="5816857.4500000002"/>
  </r>
  <r>
    <x v="4"/>
    <s v="2212 - MELHORIA DO AMBIENTE DE NEGOCIOS E DA PRODUTIVIDADE"/>
    <x v="37"/>
    <n v="-27941.69"/>
    <n v="37602.03"/>
    <n v="0"/>
  </r>
  <r>
    <x v="4"/>
    <s v="5025 - CULTURA"/>
    <x v="74"/>
    <n v="0"/>
    <n v="0"/>
    <n v="0"/>
  </r>
  <r>
    <x v="4"/>
    <s v="5019 - ATENCAO PRIMARIA A SAUDE"/>
    <x v="86"/>
    <n v="2116000"/>
    <n v="2116000"/>
    <n v="2116000"/>
  </r>
  <r>
    <x v="4"/>
    <s v="2221 - RECURSOS HIDRICOS"/>
    <x v="280"/>
    <n v="0"/>
    <n v="1248.5999999999999"/>
    <n v="1248.5999999999999"/>
  </r>
  <r>
    <x v="4"/>
    <s v="2040 - GESTAO DE RISCOS E DE DESASTRES"/>
    <x v="467"/>
    <n v="0"/>
    <n v="0"/>
    <n v="0"/>
  </r>
  <r>
    <x v="4"/>
    <s v="0032 - PROGRAMA DE GESTAO E MANUTENCAO DO PODER EXECUTIVO"/>
    <x v="984"/>
    <n v="3363852.77"/>
    <n v="147038.9"/>
    <n v="0"/>
  </r>
  <r>
    <x v="4"/>
    <s v="5015 - JUSTICA"/>
    <x v="221"/>
    <n v="5898889.6100000003"/>
    <n v="4088524.68"/>
    <n v="3720328.12"/>
  </r>
  <r>
    <x v="4"/>
    <s v="5020 - DESENVOLVIMENTO CIENTIFICO, TECNOLOGICO E PRODUTIVO EM SAUDE"/>
    <x v="612"/>
    <n v="1880389"/>
    <n v="1317036"/>
    <n v="2611916"/>
  </r>
  <r>
    <x v="4"/>
    <s v="0901 - OPERACOES ESPECIAIS: CUMPRIMENTO DE SENTENCAS JUDICIAIS"/>
    <x v="882"/>
    <n v="0"/>
    <n v="0"/>
    <n v="0"/>
  </r>
  <r>
    <x v="4"/>
    <s v="2214 - NOVA PREVIDENCIA"/>
    <x v="506"/>
    <n v="190980.89"/>
    <n v="221377.63"/>
    <n v="26263.81"/>
  </r>
  <r>
    <x v="4"/>
    <s v="5013 - EDUCACAO SUPERIOR - GRADUACAO, POS-GRADUACAO, ENSINO, PESQUISA E EXTENSAO"/>
    <x v="850"/>
    <n v="0"/>
    <n v="0"/>
    <n v="0"/>
  </r>
  <r>
    <x v="4"/>
    <s v="5013 - EDUCACAO SUPERIOR - GRADUACAO, POS-GRADUACAO, ENSINO, PESQUISA E EXTENSAO"/>
    <x v="571"/>
    <n v="41512.1"/>
    <n v="36416.15"/>
    <n v="62123.71"/>
  </r>
  <r>
    <x v="4"/>
    <s v="2058 - DEFESA NACIONAL"/>
    <x v="134"/>
    <n v="0"/>
    <n v="0"/>
    <n v="0"/>
  </r>
  <r>
    <x v="4"/>
    <s v="3004 - AVIACAO CIVIL"/>
    <x v="996"/>
    <n v="0"/>
    <n v="0"/>
    <n v="0"/>
  </r>
  <r>
    <x v="4"/>
    <s v="0032 - PROGRAMA DE GESTAO E MANUTENCAO DO PODER EXECUTIVO"/>
    <x v="678"/>
    <n v="440563055.12"/>
    <n v="117423358.13"/>
    <n v="92082272.730000004"/>
  </r>
  <r>
    <x v="4"/>
    <s v="6014 - PREVENCAO E CONTROLE DO DESMATAMENTO E DOS INCENDIOS NOS BIOMAS"/>
    <x v="620"/>
    <n v="409074.81"/>
    <n v="67611.03"/>
    <n v="68837.14"/>
  </r>
  <r>
    <x v="4"/>
    <s v="2216 - POLITICA EXTERNA"/>
    <x v="384"/>
    <n v="231367.96"/>
    <n v="65451.27"/>
    <n v="65451.27"/>
  </r>
  <r>
    <x v="4"/>
    <s v="2210 - EMPREGABILIDADE"/>
    <x v="803"/>
    <n v="7000000"/>
    <n v="974.92"/>
    <n v="974.92"/>
  </r>
  <r>
    <x v="4"/>
    <s v="2205 - CONECTA BRASIL"/>
    <x v="398"/>
    <n v="1007000"/>
    <n v="4942947.46"/>
    <n v="4942947.46"/>
  </r>
  <r>
    <x v="4"/>
    <s v="6011 - COOPERACAO COM O DESENVOLVIMENTO NACIONAL"/>
    <x v="721"/>
    <n v="682730"/>
    <n v="25432.28"/>
    <n v="25432.28"/>
  </r>
  <r>
    <x v="4"/>
    <s v="5025 - CULTURA"/>
    <x v="118"/>
    <n v="0"/>
    <n v="0"/>
    <n v="0"/>
  </r>
  <r>
    <x v="4"/>
    <s v="6012 - DEFESA NACIONAL"/>
    <x v="920"/>
    <n v="0"/>
    <n v="93952.26"/>
    <n v="93952.26"/>
  </r>
  <r>
    <x v="4"/>
    <s v="2084 - RECURSOS HIDRICOS"/>
    <x v="235"/>
    <n v="0"/>
    <n v="0"/>
    <n v="0"/>
  </r>
  <r>
    <x v="4"/>
    <s v="3006 - TRANSPORTE TERRESTRE E TRANSITO"/>
    <x v="225"/>
    <n v="1815722"/>
    <n v="0"/>
    <n v="0"/>
  </r>
  <r>
    <x v="4"/>
    <s v="1128 - URBANIZACAO, REGULARIZACAO FUNDIARIA E INTEGRACAO DE ASSENTAMENTOS PRECARIOS"/>
    <x v="319"/>
    <n v="0"/>
    <n v="0"/>
    <n v="0"/>
  </r>
  <r>
    <x v="4"/>
    <s v="6011 - COOPERACAO COM O DESENVOLVIMENTO NACIONAL"/>
    <x v="852"/>
    <n v="7200"/>
    <n v="512891.92"/>
    <n v="522773.92"/>
  </r>
  <r>
    <x v="4"/>
    <s v="5021 - GESTAO E ORGANIZACAO DO SUS"/>
    <x v="312"/>
    <n v="540000"/>
    <n v="508810.33"/>
    <n v="575188.94999999995"/>
  </r>
  <r>
    <x v="4"/>
    <s v="0902 - OPERACOES ESPECIAIS: FINANCIAMENTOS COM RETORNO"/>
    <x v="146"/>
    <n v="164775096"/>
    <n v="1181419072.8399999"/>
    <n v="1181419072.8399999"/>
  </r>
  <r>
    <x v="4"/>
    <s v="6012 - DEFESA NACIONAL"/>
    <x v="210"/>
    <n v="0"/>
    <n v="0"/>
    <n v="0"/>
  </r>
  <r>
    <x v="4"/>
    <s v="5020 - DESENVOLVIMENTO CIENTIFICO, TECNOLOGICO E PRODUTIVO EM SAUDE"/>
    <x v="268"/>
    <n v="0"/>
    <n v="0"/>
    <n v="0"/>
  </r>
  <r>
    <x v="4"/>
    <s v="3006 - TRANSPORTE TERRESTRE E TRANSITO"/>
    <x v="453"/>
    <n v="17665295.640000001"/>
    <n v="4302142.79"/>
    <n v="3940692.41"/>
  </r>
  <r>
    <x v="4"/>
    <s v="3006 - TRANSPORTE TERRESTRE E TRANSITO"/>
    <x v="309"/>
    <n v="0"/>
    <n v="0"/>
    <n v="0"/>
  </r>
  <r>
    <x v="4"/>
    <s v="3006 - TRANSPORTE TERRESTRE E TRANSITO"/>
    <x v="355"/>
    <n v="100000"/>
    <n v="38150.21"/>
    <n v="38150.21"/>
  </r>
  <r>
    <x v="4"/>
    <s v="2220 - MORADIA DIGNA"/>
    <x v="1103"/>
    <n v="0"/>
    <n v="0"/>
    <n v="0"/>
  </r>
  <r>
    <x v="4"/>
    <s v="3006 - TRANSPORTE TERRESTRE E TRANSITO"/>
    <x v="666"/>
    <n v="45019329.909999996"/>
    <n v="7805919.2199999997"/>
    <n v="8668911.1600000001"/>
  </r>
  <r>
    <x v="4"/>
    <s v="3006 - TRANSPORTE TERRESTRE E TRANSITO"/>
    <x v="162"/>
    <n v="0"/>
    <n v="291117.7"/>
    <n v="291117.7"/>
  </r>
  <r>
    <x v="4"/>
    <s v="2201 - BRASIL MODERNIZA"/>
    <x v="209"/>
    <n v="11893427.880000001"/>
    <n v="1270744.43"/>
    <n v="1271709.76"/>
  </r>
  <r>
    <x v="4"/>
    <s v="2214 - NOVA PREVIDENCIA"/>
    <x v="617"/>
    <n v="16500000"/>
    <n v="6267145.0899999999"/>
    <n v="6280606.7699999996"/>
  </r>
  <r>
    <x v="4"/>
    <s v="5016 - SEGURANCA PUBLICA, COMBATE A CORRUPCAO, AO CRIME ORGANIZADO E AO CRIME VIOLENTO"/>
    <x v="642"/>
    <n v="75843372.530000001"/>
    <n v="32837348.25"/>
    <n v="94172424.200000003"/>
  </r>
  <r>
    <x v="4"/>
    <s v="6012 - DEFESA NACIONAL"/>
    <x v="278"/>
    <n v="13725.12"/>
    <n v="693907.62"/>
    <n v="692973.67"/>
  </r>
  <r>
    <x v="4"/>
    <s v="2049 - MORADIA DIGNA"/>
    <x v="999"/>
    <n v="0"/>
    <n v="0"/>
    <n v="0"/>
  </r>
  <r>
    <x v="4"/>
    <s v="2222 - SANEAMENTO BASICO"/>
    <x v="126"/>
    <n v="70197789.200000003"/>
    <n v="0"/>
    <n v="0"/>
  </r>
  <r>
    <x v="4"/>
    <s v="0909 - OPERACOES ESPECIAIS: OUTROS ENCARGOS ESPECIAIS"/>
    <x v="616"/>
    <n v="148583.65"/>
    <n v="47334793.840000004"/>
    <n v="28350945.91"/>
  </r>
  <r>
    <x v="4"/>
    <s v="3006 - TRANSPORTE TERRESTRE E TRANSITO"/>
    <x v="411"/>
    <n v="520000"/>
    <n v="0"/>
    <n v="0"/>
  </r>
  <r>
    <x v="4"/>
    <s v="5021 - GESTAO E ORGANIZACAO DO SUS"/>
    <x v="26"/>
    <n v="0"/>
    <n v="0"/>
    <n v="3369.66"/>
  </r>
  <r>
    <x v="4"/>
    <s v="0032 - PROGRAMA DE GESTAO E MANUTENCAO DO PODER EXECUTIVO"/>
    <x v="653"/>
    <n v="-11258633"/>
    <n v="33635742.219999999"/>
    <n v="30934399.43"/>
  </r>
  <r>
    <x v="4"/>
    <s v="5031 - PROTECAO SOCIAL NO AMBITO DO SISTEMA UNICO DE ASSISTENCIA SOCIAL (SUAS)"/>
    <x v="463"/>
    <n v="240337591.66999999"/>
    <n v="0"/>
    <n v="0"/>
  </r>
  <r>
    <x v="4"/>
    <s v="0910 - OPERACOES ESPECIAIS: GESTAO DA PARTICIPACAO EM ORGANISMOS E ENTIDADES NACIONAIS E INTERNACIONAIS"/>
    <x v="1038"/>
    <n v="315000"/>
    <n v="259737.76"/>
    <n v="259737.76"/>
  </r>
  <r>
    <x v="4"/>
    <s v="2208 - TECNOLOGIAS APLICADAS, INOVACAO E DESENVOLVIMENTO SUSTENTAVEL"/>
    <x v="333"/>
    <n v="378273.21"/>
    <n v="430229.63"/>
    <n v="39383"/>
  </r>
  <r>
    <x v="4"/>
    <s v="3006 - TRANSPORTE TERRESTRE E TRANSITO"/>
    <x v="601"/>
    <n v="0"/>
    <n v="0"/>
    <n v="0"/>
  </r>
  <r>
    <x v="4"/>
    <s v="2031 - EDUCACAO PROFISSIONAL E TECNOLOGICA"/>
    <x v="365"/>
    <n v="0"/>
    <n v="0"/>
    <n v="0"/>
  </r>
  <r>
    <x v="4"/>
    <s v="2213 - MODERNIZACAO TRABALHISTA E TRABALHO DIGNO"/>
    <x v="159"/>
    <n v="46279.26"/>
    <n v="40718.730000000003"/>
    <n v="48139.24"/>
  </r>
  <r>
    <x v="4"/>
    <s v="0902 - OPERACOES ESPECIAIS: FINANCIAMENTOS COM RETORNO"/>
    <x v="161"/>
    <n v="0"/>
    <n v="8708799.0500000007"/>
    <n v="8708799.0500000007"/>
  </r>
  <r>
    <x v="4"/>
    <s v="3006 - TRANSPORTE TERRESTRE E TRANSITO"/>
    <x v="169"/>
    <n v="0"/>
    <n v="224495.45"/>
    <n v="224495.45"/>
  </r>
  <r>
    <x v="4"/>
    <s v="5019 - ATENCAO PRIMARIA A SAUDE"/>
    <x v="771"/>
    <n v="0"/>
    <n v="0"/>
    <n v="0"/>
  </r>
  <r>
    <x v="4"/>
    <s v="1031 - AGROPECUARIA SUSTENTAVEL"/>
    <x v="602"/>
    <n v="-68894.720000000001"/>
    <n v="-13754.7"/>
    <n v="-13754.7"/>
  </r>
  <r>
    <x v="4"/>
    <s v="2222 - SANEAMENTO BASICO"/>
    <x v="727"/>
    <n v="-50776.07"/>
    <n v="0"/>
    <n v="0"/>
  </r>
  <r>
    <x v="4"/>
    <s v="0032 - PROGRAMA DE GESTAO E MANUTENCAO DO PODER EXECUTIVO"/>
    <x v="945"/>
    <n v="0"/>
    <n v="58000.42"/>
    <n v="0"/>
  </r>
  <r>
    <x v="4"/>
    <s v="1058 - MUDANCA DO CLIMA"/>
    <x v="567"/>
    <n v="6039983.3799999999"/>
    <n v="764123.74"/>
    <n v="758173.74"/>
  </r>
  <r>
    <x v="4"/>
    <s v="5034 - PROTECAO A VIDA, FORTALECIMENTO DA FAMILIA, PROMOCAO E DEFESA DOS DIREITOS HUMANOS PARA TODOS"/>
    <x v="455"/>
    <n v="0"/>
    <n v="0"/>
    <n v="0"/>
  </r>
  <r>
    <x v="4"/>
    <s v="3006 - TRANSPORTE TERRESTRE E TRANSITO"/>
    <x v="994"/>
    <n v="3813649.56"/>
    <n v="7263.29"/>
    <n v="0"/>
  </r>
  <r>
    <x v="4"/>
    <s v="0910 - OPERACOES ESPECIAIS: GESTAO DA PARTICIPACAO EM ORGANISMOS E ENTIDADES NACIONAIS E INTERNACIONAIS"/>
    <x v="1104"/>
    <n v="9807562"/>
    <n v="4640188"/>
    <n v="0"/>
  </r>
  <r>
    <x v="4"/>
    <s v="2221 - RECURSOS HIDRICOS"/>
    <x v="845"/>
    <n v="700000"/>
    <n v="17042203"/>
    <n v="5692542.6100000003"/>
  </r>
  <r>
    <x v="4"/>
    <s v="0032 - PROGRAMA DE GESTAO E MANUTENCAO DO PODER EXECUTIVO"/>
    <x v="363"/>
    <n v="180000"/>
    <n v="176047.18"/>
    <n v="0"/>
  </r>
  <r>
    <x v="4"/>
    <s v="6015 - EDUCACAO INFANTIL"/>
    <x v="923"/>
    <n v="13496526.66"/>
    <n v="24915333.309999999"/>
    <n v="30536348.969999999"/>
  </r>
  <r>
    <x v="4"/>
    <s v="1031 - AGROPECUARIA SUSTENTAVEL"/>
    <x v="622"/>
    <n v="-136177.72"/>
    <n v="-115093.1"/>
    <n v="-115093.1"/>
  </r>
  <r>
    <x v="4"/>
    <s v="5016 - SEGURANCA PUBLICA, COMBATE A CORRUPCAO, AO CRIME ORGANIZADO E AO CRIME VIOLENTO"/>
    <x v="469"/>
    <n v="-777872"/>
    <n v="9353358.5800000001"/>
    <n v="9840700.9800000004"/>
  </r>
  <r>
    <x v="4"/>
    <s v="5017 - ASSISTENCIA FARMACEUTICA NO SUS"/>
    <x v="124"/>
    <n v="48488300.18"/>
    <n v="-3689.83"/>
    <n v="-3689.83"/>
  </r>
  <r>
    <x v="4"/>
    <s v="6012 - DEFESA NACIONAL"/>
    <x v="38"/>
    <n v="0"/>
    <n v="0"/>
    <n v="0"/>
  </r>
  <r>
    <x v="4"/>
    <s v="2080 - EDUCACAO DE QUALIDADE PARA TODOS"/>
    <x v="258"/>
    <n v="0"/>
    <n v="0"/>
    <n v="0"/>
  </r>
  <r>
    <x v="4"/>
    <s v="5025 - CULTURA"/>
    <x v="1"/>
    <n v="795950"/>
    <n v="795950"/>
    <n v="795950"/>
  </r>
  <r>
    <x v="4"/>
    <s v="2221 - RECURSOS HIDRICOS"/>
    <x v="484"/>
    <n v="1189439.32"/>
    <n v="10956517.710000001"/>
    <n v="6554499.1600000001"/>
  </r>
  <r>
    <x v="4"/>
    <s v="3006 - TRANSPORTE TERRESTRE E TRANSITO"/>
    <x v="450"/>
    <n v="48000000"/>
    <n v="9839628.5899999999"/>
    <n v="9839628.5899999999"/>
  </r>
  <r>
    <x v="4"/>
    <s v="3006 - TRANSPORTE TERRESTRE E TRANSITO"/>
    <x v="69"/>
    <n v="121312.91"/>
    <n v="21028136.379999999"/>
    <n v="19227932.280000001"/>
  </r>
  <r>
    <x v="4"/>
    <s v="3002 - GEOLOGIA, MINERACAO E TRANSFORMACAO MINERAL"/>
    <x v="830"/>
    <n v="63000"/>
    <n v="7127.06"/>
    <n v="6634.67"/>
  </r>
  <r>
    <x v="4"/>
    <s v="0909 - OPERACOES ESPECIAIS: OUTROS ENCARGOS ESPECIAIS"/>
    <x v="346"/>
    <n v="0"/>
    <n v="0"/>
    <n v="0"/>
  </r>
  <r>
    <x v="4"/>
    <s v="2204 - BRASIL NA FRONTEIRA DO CONHECIMENTO"/>
    <x v="540"/>
    <n v="1532544.75"/>
    <n v="200000"/>
    <n v="200000"/>
  </r>
  <r>
    <x v="4"/>
    <s v="3003 - PETROLEO, GAS, DERIVADOS E BIOCOMBUSTIVEIS"/>
    <x v="874"/>
    <n v="5000"/>
    <n v="8630.67"/>
    <n v="8630.67"/>
  </r>
  <r>
    <x v="4"/>
    <s v="6011 - COOPERACAO COM O DESENVOLVIMENTO NACIONAL"/>
    <x v="430"/>
    <n v="60017.72"/>
    <n v="171375.34"/>
    <n v="157725.9"/>
  </r>
  <r>
    <x v="4"/>
    <s v="5034 - PROTECAO A VIDA, FORTALECIMENTO DA FAMILIA, PROMOCAO E DEFESA DOS DIREITOS HUMANOS PARA TODOS"/>
    <x v="911"/>
    <n v="1055000"/>
    <n v="2402512.5"/>
    <n v="2402512.5"/>
  </r>
  <r>
    <x v="4"/>
    <s v="2205 - CONECTA BRASIL"/>
    <x v="1105"/>
    <n v="298102745"/>
    <n v="0"/>
    <n v="0"/>
  </r>
  <r>
    <x v="4"/>
    <s v="2222 - SANEAMENTO BASICO"/>
    <x v="706"/>
    <n v="-16284.69"/>
    <n v="0"/>
    <n v="0"/>
  </r>
  <r>
    <x v="4"/>
    <s v="0902 - OPERACOES ESPECIAIS: FINANCIAMENTOS COM RETORNO"/>
    <x v="619"/>
    <n v="164775096"/>
    <n v="1181419072.8399999"/>
    <n v="1181419072.8399999"/>
  </r>
  <r>
    <x v="4"/>
    <s v="2037 - CONSOLIDACAO DO SISTEMA UNICO DE ASSISTENCIA SOCIAL (SUAS)"/>
    <x v="463"/>
    <n v="0"/>
    <n v="0"/>
    <n v="0"/>
  </r>
  <r>
    <x v="4"/>
    <s v="5020 - DESENVOLVIMENTO CIENTIFICO, TECNOLOGICO E PRODUTIVO EM SAUDE"/>
    <x v="503"/>
    <n v="20207703.84"/>
    <n v="2845501.55"/>
    <n v="2866889.55"/>
  </r>
  <r>
    <x v="4"/>
    <s v="5011 - EDUCACAO BASICA DE QUALIDADE"/>
    <x v="436"/>
    <n v="0"/>
    <n v="802865.24"/>
    <n v="541680.73"/>
  </r>
  <r>
    <x v="4"/>
    <s v="2217 - DESENVOLVIMENTO REGIONAL, TERRITORIAL E URBANO"/>
    <x v="116"/>
    <n v="0"/>
    <n v="0"/>
    <n v="0"/>
  </r>
  <r>
    <x v="4"/>
    <s v="3004 - AVIACAO CIVIL"/>
    <x v="955"/>
    <n v="6388601.2000000002"/>
    <n v="0"/>
    <n v="0"/>
  </r>
  <r>
    <x v="4"/>
    <s v="5016 - SEGURANCA PUBLICA, COMBATE A CORRUPCAO, AO CRIME ORGANIZADO E AO CRIME VIOLENTO"/>
    <x v="79"/>
    <n v="1274201.5"/>
    <n v="2325801.2200000002"/>
    <n v="2326102.02"/>
  </r>
  <r>
    <x v="4"/>
    <s v="2081 - JUSTICA, CIDADANIA E SEGURANCA PUBLICA"/>
    <x v="308"/>
    <n v="0"/>
    <n v="0"/>
    <n v="0"/>
  </r>
  <r>
    <x v="4"/>
    <s v="4002 - SEGURANCA INSTITUCIONAL"/>
    <x v="483"/>
    <n v="1512484.82"/>
    <n v="1743289.29"/>
    <n v="1666358.2"/>
  </r>
  <r>
    <x v="4"/>
    <s v="3002 - GEOLOGIA, MINERACAO E TRANSFORMACAO MINERAL"/>
    <x v="710"/>
    <n v="1147019.8600000001"/>
    <n v="1298393.49"/>
    <n v="1316519.17"/>
  </r>
  <r>
    <x v="4"/>
    <s v="0909 - OPERACOES ESPECIAIS: OUTROS ENCARGOS ESPECIAIS"/>
    <x v="765"/>
    <n v="2278100000"/>
    <n v="0"/>
    <n v="0"/>
  </r>
  <r>
    <x v="4"/>
    <s v="2214 - NOVA PREVIDENCIA"/>
    <x v="372"/>
    <n v="548900"/>
    <n v="575469.84"/>
    <n v="625776.92000000004"/>
  </r>
  <r>
    <x v="4"/>
    <s v="0903 - OPERACOES ESPECIAIS: TRANSFERENCIAS CONSTITUCIONAIS E AS DECORRENTES DE LEGISLACAO ESPECIFICA"/>
    <x v="128"/>
    <n v="165926589.09999999"/>
    <n v="165826946.80000001"/>
    <n v="165285361.56999999"/>
  </r>
  <r>
    <x v="4"/>
    <s v="2221 - RECURSOS HIDRICOS"/>
    <x v="969"/>
    <n v="613195"/>
    <n v="0"/>
    <n v="0"/>
  </r>
  <r>
    <x v="4"/>
    <s v="6012 - DEFESA NACIONAL"/>
    <x v="492"/>
    <n v="1781886.68"/>
    <n v="353163.22"/>
    <n v="352369.41"/>
  </r>
  <r>
    <x v="4"/>
    <s v="2027 - CULTURA: DIMENSAO ESSENCIAL DO DESENVOLVIMENTO"/>
    <x v="753"/>
    <n v="0"/>
    <n v="0"/>
    <n v="0"/>
  </r>
  <r>
    <x v="4"/>
    <s v="2214 - NOVA PREVIDENCIA"/>
    <x v="187"/>
    <n v="387066"/>
    <n v="3170756.39"/>
    <n v="2442505.5699999998"/>
  </r>
  <r>
    <x v="4"/>
    <s v="5023 - VIGILANCIA EM SAUDE"/>
    <x v="247"/>
    <n v="32279455.030000001"/>
    <n v="43511146.82"/>
    <n v="37897677.270000003"/>
  </r>
  <r>
    <x v="4"/>
    <s v="0910 - OPERACOES ESPECIAIS: GESTAO DA PARTICIPACAO EM ORGANISMOS E ENTIDADES NACIONAIS E INTERNACIONAIS"/>
    <x v="1106"/>
    <n v="2900117"/>
    <n v="1000000"/>
    <n v="1000000"/>
  </r>
  <r>
    <x v="4"/>
    <s v="0032 - PROGRAMA DE GESTAO E MANUTENCAO DO PODER EXECUTIVO"/>
    <x v="681"/>
    <n v="218301562.31"/>
    <n v="122865893.65000001"/>
    <n v="22210603.350000001"/>
  </r>
  <r>
    <x v="4"/>
    <s v="0903 - OPERACOES ESPECIAIS: TRANSFERENCIAS CONSTITUCIONAIS E AS DECORRENTES DE LEGISLACAO ESPECIFICA"/>
    <x v="156"/>
    <n v="7322092502.6800003"/>
    <n v="7384989273.3800001"/>
    <n v="7384989273.3800001"/>
  </r>
  <r>
    <x v="4"/>
    <s v="0032 - PROGRAMA DE GESTAO E MANUTENCAO DO PODER EXECUTIVO"/>
    <x v="575"/>
    <n v="0"/>
    <n v="0"/>
    <n v="0"/>
  </r>
  <r>
    <x v="4"/>
    <s v="2201 - BRASIL MODERNIZA"/>
    <x v="520"/>
    <n v="2066944.49"/>
    <n v="289099.23"/>
    <n v="342988.93"/>
  </r>
  <r>
    <x v="4"/>
    <s v="2217 - DESENVOLVIMENTO REGIONAL, TERRITORIAL E URBANO"/>
    <x v="213"/>
    <n v="10000000"/>
    <n v="9215.1200000000008"/>
    <n v="0"/>
  </r>
  <r>
    <x v="4"/>
    <s v="2221 - RECURSOS HIDRICOS"/>
    <x v="465"/>
    <n v="11358284.859999999"/>
    <n v="5149327.2300000004"/>
    <n v="4592970.47"/>
  </r>
  <r>
    <x v="4"/>
    <s v="5033 - SEGURANCA ALIMENTAR E NUTRICIONAL"/>
    <x v="910"/>
    <n v="1307.3800000000001"/>
    <n v="1307.3800000000001"/>
    <n v="1307.3800000000001"/>
  </r>
  <r>
    <x v="4"/>
    <s v="2207 - PROGRAMA ESPACIAL BRASILEIRO"/>
    <x v="45"/>
    <n v="247561.94"/>
    <n v="74158.289999999994"/>
    <n v="46158.29"/>
  </r>
  <r>
    <x v="4"/>
    <s v="5020 - DESENVOLVIMENTO CIENTIFICO, TECNOLOGICO E PRODUTIVO EM SAUDE"/>
    <x v="4"/>
    <n v="0"/>
    <n v="100908.63"/>
    <n v="0"/>
  </r>
  <r>
    <x v="4"/>
    <s v="5020 - DESENVOLVIMENTO CIENTIFICO, TECNOLOGICO E PRODUTIVO EM SAUDE"/>
    <x v="1107"/>
    <n v="1742400"/>
    <n v="0"/>
    <n v="0"/>
  </r>
  <r>
    <x v="4"/>
    <s v="2221 - RECURSOS HIDRICOS"/>
    <x v="1010"/>
    <n v="0"/>
    <n v="3388.96"/>
    <n v="3388.96"/>
  </r>
  <r>
    <x v="4"/>
    <s v="6012 - DEFESA NACIONAL"/>
    <x v="1024"/>
    <n v="43938981.310000002"/>
    <n v="0"/>
    <n v="0"/>
  </r>
  <r>
    <x v="4"/>
    <s v="2219 - MOBILIDADE URBANA"/>
    <x v="476"/>
    <n v="0"/>
    <n v="0"/>
    <n v="0"/>
  </r>
  <r>
    <x v="4"/>
    <s v="5013 - EDUCACAO SUPERIOR - GRADUACAO, POS-GRADUACAO, ENSINO, PESQUISA E EXTENSAO"/>
    <x v="394"/>
    <n v="0"/>
    <n v="0"/>
    <n v="0"/>
  </r>
  <r>
    <x v="4"/>
    <s v="2212 - MELHORIA DO AMBIENTE DE NEGOCIOS E DA PRODUTIVIDADE"/>
    <x v="903"/>
    <n v="0"/>
    <n v="1736.27"/>
    <n v="1736.27"/>
  </r>
  <r>
    <x v="4"/>
    <s v="0032 - PROGRAMA DE GESTAO E MANUTENCAO DO PODER EXECUTIVO"/>
    <x v="493"/>
    <n v="325114058.91000003"/>
    <n v="80325668.959999993"/>
    <n v="70174102.810000002"/>
  </r>
  <r>
    <x v="4"/>
    <s v="2214 - NOVA PREVIDENCIA"/>
    <x v="371"/>
    <n v="0"/>
    <n v="510508330.07999998"/>
    <n v="638988356.90999997"/>
  </r>
  <r>
    <x v="4"/>
    <s v="2222 - SANEAMENTO BASICO"/>
    <x v="361"/>
    <n v="74166488.120000005"/>
    <n v="0"/>
    <n v="0"/>
  </r>
  <r>
    <x v="4"/>
    <s v="5031 - PROTECAO SOCIAL NO AMBITO DO SISTEMA UNICO DE ASSISTENCIA SOCIAL (SUAS)"/>
    <x v="302"/>
    <n v="144086.57"/>
    <n v="8289137.1399999997"/>
    <n v="8289137.1399999997"/>
  </r>
  <r>
    <x v="4"/>
    <s v="2210 - EMPREGABILIDADE"/>
    <x v="907"/>
    <n v="76620614.989999995"/>
    <n v="14050.57"/>
    <n v="14050.57"/>
  </r>
  <r>
    <x v="4"/>
    <s v="2205 - CONECTA BRASIL"/>
    <x v="80"/>
    <n v="44964995.82"/>
    <n v="3288754.5"/>
    <n v="7181103.9400000004"/>
  </r>
  <r>
    <x v="4"/>
    <s v="0032 - PROGRAMA DE GESTAO E MANUTENCAO DO PODER EXECUTIVO"/>
    <x v="552"/>
    <n v="250000"/>
    <n v="6838.92"/>
    <n v="6838.92"/>
  </r>
  <r>
    <x v="4"/>
    <s v="2207 - PROGRAMA ESPACIAL BRASILEIRO"/>
    <x v="719"/>
    <n v="1157257.92"/>
    <n v="71789.929999999993"/>
    <n v="71789.929999999993"/>
  </r>
  <r>
    <x v="4"/>
    <s v="5025 - CULTURA"/>
    <x v="271"/>
    <n v="2646935.0499999998"/>
    <n v="144528.43"/>
    <n v="135066.22"/>
  </r>
  <r>
    <x v="4"/>
    <s v="5014 - ESTATISTICAS E AVALIACOES EDUCACIONAIS"/>
    <x v="32"/>
    <n v="479382.58"/>
    <n v="512205.62"/>
    <n v="512205.62"/>
  </r>
  <r>
    <x v="4"/>
    <s v="0909 - OPERACOES ESPECIAIS: OUTROS ENCARGOS ESPECIAIS"/>
    <x v="600"/>
    <n v="166075"/>
    <n v="9743757.6400000006"/>
    <n v="11382470.92"/>
  </r>
  <r>
    <x v="4"/>
    <s v="0032 - PROGRAMA DE GESTAO E MANUTENCAO DO PODER EXECUTIVO"/>
    <x v="383"/>
    <n v="373008926.49000001"/>
    <n v="2456910395.0599999"/>
    <n v="2550064958.5300002"/>
  </r>
  <r>
    <x v="4"/>
    <s v="2223 - A HORA DO TURISMO"/>
    <x v="13"/>
    <n v="21147282"/>
    <n v="765.85"/>
    <n v="765.85"/>
  </r>
  <r>
    <x v="4"/>
    <s v="2206 - POLITICA NUCLEAR"/>
    <x v="774"/>
    <n v="9141185.2899999991"/>
    <n v="3204639.95"/>
    <n v="2893847.44"/>
  </r>
  <r>
    <x v="4"/>
    <s v="2212 - MELHORIA DO AMBIENTE DE NEGOCIOS E DA PRODUTIVIDADE"/>
    <x v="767"/>
    <n v="190058.38"/>
    <n v="614019.34"/>
    <n v="554864.12"/>
  </r>
  <r>
    <x v="4"/>
    <s v="3006 - TRANSPORTE TERRESTRE E TRANSITO"/>
    <x v="938"/>
    <n v="0"/>
    <n v="0"/>
    <n v="0"/>
  </r>
  <r>
    <x v="4"/>
    <s v="5026 - ESPORTE"/>
    <x v="223"/>
    <n v="0"/>
    <n v="0"/>
    <n v="0"/>
  </r>
  <r>
    <x v="4"/>
    <s v="0032 - PROGRAMA DE GESTAO E MANUTENCAO DO PODER EXECUTIVO"/>
    <x v="90"/>
    <n v="58600000"/>
    <n v="1431734.12"/>
    <n v="1439049"/>
  </r>
  <r>
    <x v="4"/>
    <s v="0032 - PROGRAMA DE GESTAO E MANUTENCAO DO PODER EXECUTIVO"/>
    <x v="237"/>
    <n v="17561159.25"/>
    <n v="3512241.43"/>
    <n v="2165124.61"/>
  </r>
  <r>
    <x v="4"/>
    <s v="1031 - AGROPECUARIA SUSTENTAVEL"/>
    <x v="192"/>
    <n v="389000"/>
    <n v="88000"/>
    <n v="88000"/>
  </r>
  <r>
    <x v="4"/>
    <s v="5033 - SEGURANCA ALIMENTAR E NUTRICIONAL"/>
    <x v="325"/>
    <n v="28764960.050000001"/>
    <n v="0"/>
    <n v="0"/>
  </r>
  <r>
    <x v="4"/>
    <s v="2015 - FORTALECIMENTO DO SISTEMA UNICO DE SAUDE (SUS)"/>
    <x v="437"/>
    <n v="0"/>
    <n v="0"/>
    <n v="0"/>
  </r>
  <r>
    <x v="4"/>
    <s v="2208 - TECNOLOGIAS APLICADAS, INOVACAO E DESENVOLVIMENTO SUSTENTAVEL"/>
    <x v="820"/>
    <n v="0"/>
    <n v="0"/>
    <n v="0"/>
  </r>
  <r>
    <x v="4"/>
    <s v="2214 - NOVA PREVIDENCIA"/>
    <x v="740"/>
    <n v="3783355.82"/>
    <n v="251237.03"/>
    <n v="284224.94"/>
  </r>
  <r>
    <x v="4"/>
    <s v="0032 - PROGRAMA DE GESTAO E MANUTENCAO DO PODER EXECUTIVO"/>
    <x v="224"/>
    <n v="3000000"/>
    <n v="2733416.62"/>
    <n v="2710841.4"/>
  </r>
  <r>
    <x v="4"/>
    <s v="3001 - ENERGIA ELETRICA"/>
    <x v="16"/>
    <n v="474064.28"/>
    <n v="629407.06000000006"/>
    <n v="656793.02"/>
  </r>
  <r>
    <x v="4"/>
    <s v="3006 - TRANSPORTE TERRESTRE E TRANSITO"/>
    <x v="166"/>
    <n v="3214860.2"/>
    <n v="44343.06"/>
    <n v="44343.06"/>
  </r>
  <r>
    <x v="4"/>
    <s v="6013 - OCEANOS, ZONA COSTEIRA E ANTARTICA"/>
    <x v="764"/>
    <n v="82699.37"/>
    <n v="168315.31"/>
    <n v="184195.72"/>
  </r>
  <r>
    <x v="4"/>
    <s v="2203 - PESQUISA E INOVACAO AGROPECUARIA"/>
    <x v="270"/>
    <n v="35811275.520000003"/>
    <n v="14312745.289999999"/>
    <n v="11947629.58"/>
  </r>
  <r>
    <x v="4"/>
    <s v="2029 - DESENVOLVIMENTO REGIONAL E TERRITORIAL"/>
    <x v="632"/>
    <n v="0"/>
    <n v="0"/>
    <n v="0"/>
  </r>
  <r>
    <x v="4"/>
    <s v="2080 - EDUCACAO DE QUALIDADE PARA TODOS"/>
    <x v="682"/>
    <n v="0"/>
    <n v="0"/>
    <n v="0"/>
  </r>
  <r>
    <x v="4"/>
    <s v="3006 - TRANSPORTE TERRESTRE E TRANSITO"/>
    <x v="635"/>
    <n v="379490.02"/>
    <n v="1088736.95"/>
    <n v="1068416.95"/>
  </r>
  <r>
    <x v="4"/>
    <s v="2207 - PROGRAMA ESPACIAL BRASILEIRO"/>
    <x v="190"/>
    <n v="9647941.9299999997"/>
    <n v="9647941.9299999997"/>
    <n v="0"/>
  </r>
  <r>
    <x v="4"/>
    <s v="3006 - TRANSPORTE TERRESTRE E TRANSITO"/>
    <x v="872"/>
    <n v="0"/>
    <n v="0"/>
    <n v="0"/>
  </r>
  <r>
    <x v="4"/>
    <s v="6012 - DEFESA NACIONAL"/>
    <x v="751"/>
    <n v="494436.43"/>
    <n v="372078.37"/>
    <n v="378761.99"/>
  </r>
  <r>
    <x v="4"/>
    <s v="2015 - FORTALECIMENTO DO SISTEMA UNICO DE SAUDE (SUS)"/>
    <x v="1108"/>
    <n v="0"/>
    <n v="0"/>
    <n v="0"/>
  </r>
  <r>
    <x v="4"/>
    <s v="2217 - DESENVOLVIMENTO REGIONAL, TERRITORIAL E URBANO"/>
    <x v="282"/>
    <n v="0"/>
    <n v="0"/>
    <n v="0"/>
  </r>
  <r>
    <x v="4"/>
    <s v="3006 - TRANSPORTE TERRESTRE E TRANSITO"/>
    <x v="125"/>
    <n v="0"/>
    <n v="1879070.58"/>
    <n v="1539316.63"/>
  </r>
  <r>
    <x v="4"/>
    <s v="5021 - GESTAO E ORGANIZACAO DO SUS"/>
    <x v="157"/>
    <n v="39261.040000000001"/>
    <n v="33138.71"/>
    <n v="30386.83"/>
  </r>
  <r>
    <x v="4"/>
    <s v="2206 - POLITICA NUCLEAR"/>
    <x v="198"/>
    <n v="0"/>
    <n v="0"/>
    <n v="0"/>
  </r>
  <r>
    <x v="4"/>
    <s v="5012 - EDUCACAO PROFISSIONAL E TECNOLOGICA"/>
    <x v="144"/>
    <n v="0"/>
    <n v="0"/>
    <n v="0"/>
  </r>
  <r>
    <x v="4"/>
    <s v="0032 - PROGRAMA DE GESTAO E MANUTENCAO DO PODER EXECUTIVO"/>
    <x v="472"/>
    <n v="-8739516"/>
    <n v="38493900"/>
    <n v="38655510.240000002"/>
  </r>
  <r>
    <x v="4"/>
    <s v="2077 - AGROPECUARIA SUSTENTAVEL"/>
    <x v="713"/>
    <n v="0"/>
    <n v="0"/>
    <n v="0"/>
  </r>
  <r>
    <x v="4"/>
    <s v="2208 - TECNOLOGIAS APLICADAS, INOVACAO E DESENVOLVIMENTO SUSTENTAVEL"/>
    <x v="922"/>
    <n v="500000"/>
    <n v="500000"/>
    <n v="500000"/>
  </r>
  <r>
    <x v="4"/>
    <s v="2221 - RECURSOS HIDRICOS"/>
    <x v="194"/>
    <n v="0"/>
    <n v="15133.58"/>
    <n v="12698.63"/>
  </r>
  <r>
    <x v="4"/>
    <s v="6012 - DEFESA NACIONAL"/>
    <x v="243"/>
    <n v="7233995.8499999996"/>
    <n v="2644256.2000000002"/>
    <n v="2471581.21"/>
  </r>
  <r>
    <x v="4"/>
    <s v="3006 - TRANSPORTE TERRESTRE E TRANSITO"/>
    <x v="673"/>
    <n v="0"/>
    <n v="97192.72"/>
    <n v="97192.72"/>
  </r>
  <r>
    <x v="4"/>
    <s v="0903 - OPERACOES ESPECIAIS: TRANSFERENCIAS CONSTITUCIONAIS E AS DECORRENTES DE LEGISLACAO ESPECIFICA"/>
    <x v="380"/>
    <n v="52410262"/>
    <n v="4911797.54"/>
    <n v="4911797.54"/>
  </r>
  <r>
    <x v="4"/>
    <s v="2204 - BRASIL NA FRONTEIRA DO CONHECIMENTO"/>
    <x v="11"/>
    <n v="0"/>
    <n v="0"/>
    <n v="0"/>
  </r>
  <r>
    <x v="4"/>
    <s v="2080 - EDUCACAO DE QUALIDADE PARA TODOS"/>
    <x v="784"/>
    <n v="0"/>
    <n v="0"/>
    <n v="0"/>
  </r>
  <r>
    <x v="4"/>
    <s v="2015 - FORTALECIMENTO DO SISTEMA UNICO DE SAUDE (SUS)"/>
    <x v="817"/>
    <n v="0"/>
    <n v="0"/>
    <n v="0"/>
  </r>
  <r>
    <x v="4"/>
    <s v="5017 - ASSISTENCIA FARMACEUTICA NO SUS"/>
    <x v="388"/>
    <n v="7896755.3700000001"/>
    <n v="166072589.08000001"/>
    <n v="124465548.16"/>
  </r>
  <r>
    <x v="4"/>
    <s v="1031 - AGROPECUARIA SUSTENTAVEL"/>
    <x v="713"/>
    <n v="11160928.390000001"/>
    <n v="3499.66"/>
    <n v="3901.35"/>
  </r>
  <r>
    <x v="4"/>
    <s v="0032 - PROGRAMA DE GESTAO E MANUTENCAO DO PODER EXECUTIVO"/>
    <x v="577"/>
    <n v="0"/>
    <n v="3106.03"/>
    <n v="5249.53"/>
  </r>
  <r>
    <x v="4"/>
    <s v="2080 - EDUCACAO DE QUALIDADE PARA TODOS"/>
    <x v="436"/>
    <n v="0"/>
    <n v="0"/>
    <n v="0"/>
  </r>
  <r>
    <x v="4"/>
    <s v="6012 - DEFESA NACIONAL"/>
    <x v="566"/>
    <n v="362924443.08999997"/>
    <n v="390584.99"/>
    <n v="300148.12"/>
  </r>
  <r>
    <x v="4"/>
    <s v="2215 - POLITICA ECONOMICA E EQUILIBRIO FISCAL"/>
    <x v="96"/>
    <n v="0"/>
    <n v="6205.92"/>
    <n v="6205.92"/>
  </r>
  <r>
    <x v="4"/>
    <s v="3006 - TRANSPORTE TERRESTRE E TRANSITO"/>
    <x v="195"/>
    <n v="82454.53"/>
    <n v="82454.53"/>
    <n v="82454.53"/>
  </r>
  <r>
    <x v="4"/>
    <s v="0903 - OPERACOES ESPECIAIS: TRANSFERENCIAS CONSTITUCIONAIS E AS DECORRENTES DE LEGISLACAO ESPECIFICA"/>
    <x v="578"/>
    <n v="19248604.530000001"/>
    <n v="19266668.010000002"/>
    <n v="19344162.359999999"/>
  </r>
  <r>
    <x v="4"/>
    <s v="2210 - EMPREGABILIDADE"/>
    <x v="1061"/>
    <n v="0"/>
    <n v="4600.2299999999996"/>
    <n v="4600.2299999999996"/>
  </r>
  <r>
    <x v="4"/>
    <s v="2219 - MOBILIDADE URBANA"/>
    <x v="925"/>
    <n v="0"/>
    <n v="0"/>
    <n v="0"/>
  </r>
  <r>
    <x v="4"/>
    <s v="1058 - MUDANCA DO CLIMA"/>
    <x v="931"/>
    <n v="165730.31"/>
    <n v="173410.6"/>
    <n v="172515.16"/>
  </r>
  <r>
    <x v="4"/>
    <s v="2217 - DESENVOLVIMENTO REGIONAL, TERRITORIAL E URBANO"/>
    <x v="196"/>
    <n v="445985"/>
    <n v="16145.25"/>
    <n v="6097.85"/>
  </r>
  <r>
    <x v="4"/>
    <s v="2015 - FORTALECIMENTO DO SISTEMA UNICO DE SAUDE (SUS)"/>
    <x v="1020"/>
    <n v="0"/>
    <n v="0"/>
    <n v="0"/>
  </r>
  <r>
    <x v="4"/>
    <s v="6012 - DEFESA NACIONAL"/>
    <x v="172"/>
    <n v="2105667.79"/>
    <n v="188925.18"/>
    <n v="0"/>
  </r>
  <r>
    <x v="4"/>
    <s v="0909 - OPERACOES ESPECIAIS: OUTROS ENCARGOS ESPECIAIS"/>
    <x v="288"/>
    <n v="16221850"/>
    <n v="1833497.63"/>
    <n v="2248740"/>
  </r>
  <r>
    <x v="4"/>
    <s v="5015 - JUSTICA"/>
    <x v="690"/>
    <n v="4532681.9800000004"/>
    <n v="481521.43"/>
    <n v="448879.52"/>
  </r>
  <r>
    <x v="4"/>
    <s v="0903 - OPERACOES ESPECIAIS: TRANSFERENCIAS CONSTITUCIONAIS E AS DECORRENTES DE LEGISLACAO ESPECIFICA"/>
    <x v="253"/>
    <n v="660580571.12"/>
    <n v="656747034.22000003"/>
    <n v="654746465.5"/>
  </r>
  <r>
    <x v="4"/>
    <s v="1041 - CONSERVACAO E USO SUSTENTAVEL DA BIODIVERSIDADE E DOS RECURSOS NATURAIS"/>
    <x v="470"/>
    <n v="467167.29"/>
    <n v="216230.78"/>
    <n v="217782.29"/>
  </r>
  <r>
    <x v="4"/>
    <s v="3006 - TRANSPORTE TERRESTRE E TRANSITO"/>
    <x v="416"/>
    <n v="187000000"/>
    <n v="10892370.77"/>
    <n v="10892370.77"/>
  </r>
  <r>
    <x v="4"/>
    <s v="0032 - PROGRAMA DE GESTAO E MANUTENCAO DO PODER EXECUTIVO"/>
    <x v="517"/>
    <n v="215718.08"/>
    <n v="313799.96999999997"/>
    <n v="236468.86"/>
  </r>
  <r>
    <x v="4"/>
    <s v="0901 - OPERACOES ESPECIAIS: CUMPRIMENTO DE SENTENCAS JUDICIAIS"/>
    <x v="684"/>
    <n v="3582447.37"/>
    <n v="143497186.46000001"/>
    <n v="142193474.08000001"/>
  </r>
  <r>
    <x v="4"/>
    <s v="3005 - TRANSPORTE AQUAVIARIO"/>
    <x v="212"/>
    <n v="-15690888.6"/>
    <n v="3109267.81"/>
    <n v="1308080.5900000001"/>
  </r>
  <r>
    <x v="4"/>
    <s v="5019 - ATENCAO PRIMARIA A SAUDE"/>
    <x v="286"/>
    <n v="270000"/>
    <n v="270000"/>
    <n v="270000"/>
  </r>
  <r>
    <x v="4"/>
    <s v="2208 - TECNOLOGIAS APLICADAS, INOVACAO E DESENVOLVIMENTO SUSTENTAVEL"/>
    <x v="675"/>
    <n v="2296529.96"/>
    <n v="585743.86"/>
    <n v="527941.25"/>
  </r>
  <r>
    <x v="4"/>
    <s v="5019 - ATENCAO PRIMARIA A SAUDE"/>
    <x v="1020"/>
    <n v="0"/>
    <n v="0"/>
    <n v="0"/>
  </r>
  <r>
    <x v="4"/>
    <s v="4001 - COMUNICACAO PUBLICA E DIVULGACAO DE ATOS E MATERIAS DO GOVERNO FEDERAL"/>
    <x v="35"/>
    <n v="13794092.029999999"/>
    <n v="10445137.75"/>
    <n v="7818440.9199999999"/>
  </r>
  <r>
    <x v="4"/>
    <s v="2030 - EDUCACAO BASICA"/>
    <x v="859"/>
    <n v="0"/>
    <n v="0"/>
    <n v="0"/>
  </r>
  <r>
    <x v="4"/>
    <s v="3003 - PETROLEO, GAS, DERIVADOS E BIOCOMBUSTIVEIS"/>
    <x v="704"/>
    <n v="3155009.14"/>
    <n v="1684478.76"/>
    <n v="2326623.13"/>
  </r>
  <r>
    <x v="4"/>
    <s v="2084 - RECURSOS HIDRICOS"/>
    <x v="484"/>
    <n v="0"/>
    <n v="0"/>
    <n v="0"/>
  </r>
  <r>
    <x v="4"/>
    <s v="5031 - PROTECAO SOCIAL NO AMBITO DO SISTEMA UNICO DE ASSISTENCIA SOCIAL (SUAS)"/>
    <x v="572"/>
    <n v="300000"/>
    <n v="3266505635.9499998"/>
    <n v="3236459363.4699998"/>
  </r>
  <r>
    <x v="4"/>
    <s v="2204 - BRASIL NA FRONTEIRA DO CONHECIMENTO"/>
    <x v="598"/>
    <n v="155376490.38"/>
    <n v="30058185.780000001"/>
    <n v="18794743.629999999"/>
  </r>
  <r>
    <x v="4"/>
    <s v="6012 - DEFESA NACIONAL"/>
    <x v="273"/>
    <n v="747970.62"/>
    <n v="417749.9"/>
    <n v="413230.54"/>
  </r>
  <r>
    <x v="4"/>
    <s v="3002 - GEOLOGIA, MINERACAO E TRANSFORMACAO MINERAL"/>
    <x v="665"/>
    <n v="1446904.63"/>
    <n v="632263.43999999994"/>
    <n v="453784.6"/>
  </r>
  <r>
    <x v="4"/>
    <s v="3004 - AVIACAO CIVIL"/>
    <x v="595"/>
    <n v="6632484.8399999999"/>
    <n v="2813439.6"/>
    <n v="3246911.21"/>
  </r>
  <r>
    <x v="4"/>
    <s v="2204 - BRASIL NA FRONTEIRA DO CONHECIMENTO"/>
    <x v="680"/>
    <n v="10666812.550000001"/>
    <n v="3439298.33"/>
    <n v="3406569.53"/>
  </r>
  <r>
    <x v="4"/>
    <s v="3001 - ENERGIA ELETRICA"/>
    <x v="97"/>
    <n v="144765.01"/>
    <n v="84391.74"/>
    <n v="84391.74"/>
  </r>
  <r>
    <x v="4"/>
    <s v="3006 - TRANSPORTE TERRESTRE E TRANSITO"/>
    <x v="334"/>
    <n v="0"/>
    <n v="0"/>
    <n v="0"/>
  </r>
  <r>
    <x v="4"/>
    <s v="2218 - GESTAO DE RISCOS E DE DESASTRES"/>
    <x v="912"/>
    <n v="160879.71"/>
    <n v="38128.519999999997"/>
    <n v="38128.519999999997"/>
  </r>
  <r>
    <x v="4"/>
    <s v="6012 - DEFESA NACIONAL"/>
    <x v="525"/>
    <n v="4331493.95"/>
    <n v="1997670.36"/>
    <n v="1201802.1399999999"/>
  </r>
  <r>
    <x v="4"/>
    <s v="2218 - GESTAO DE RISCOS E DE DESASTRES"/>
    <x v="643"/>
    <n v="547384.5"/>
    <n v="1221168.6599999999"/>
    <n v="1159469.53"/>
  </r>
  <r>
    <x v="4"/>
    <s v="6012 - DEFESA NACIONAL"/>
    <x v="580"/>
    <n v="252452.69"/>
    <n v="173670.25"/>
    <n v="24476.44"/>
  </r>
  <r>
    <x v="4"/>
    <s v="1128 - URBANIZACAO, REGULARIZACAO FUNDIARIA E INTEGRACAO DE ASSENTAMENTOS PRECARIOS"/>
    <x v="924"/>
    <n v="0"/>
    <n v="0"/>
    <n v="0"/>
  </r>
  <r>
    <x v="4"/>
    <s v="5023 - VIGILANCIA EM SAUDE"/>
    <x v="145"/>
    <n v="166831332"/>
    <n v="164305680"/>
    <n v="164305680"/>
  </r>
  <r>
    <x v="4"/>
    <s v="5013 - EDUCACAO SUPERIOR - GRADUACAO, POS-GRADUACAO, ENSINO, PESQUISA E EXTENSAO"/>
    <x v="58"/>
    <n v="505000000"/>
    <n v="122495865.91"/>
    <n v="122495865.91"/>
  </r>
  <r>
    <x v="4"/>
    <s v="1031 - AGROPECUARIA SUSTENTAVEL"/>
    <x v="231"/>
    <n v="0"/>
    <n v="0"/>
    <n v="0"/>
  </r>
  <r>
    <x v="4"/>
    <s v="2221 - RECURSOS HIDRICOS"/>
    <x v="573"/>
    <n v="874437"/>
    <n v="12651.24"/>
    <n v="12701.24"/>
  </r>
  <r>
    <x v="4"/>
    <s v="2208 - TECNOLOGIAS APLICADAS, INOVACAO E DESENVOLVIMENTO SUSTENTAVEL"/>
    <x v="891"/>
    <n v="0"/>
    <n v="0"/>
    <n v="0"/>
  </r>
  <r>
    <x v="4"/>
    <s v="6012 - DEFESA NACIONAL"/>
    <x v="98"/>
    <n v="1362302.1"/>
    <n v="188811.06"/>
    <n v="188453.74"/>
  </r>
  <r>
    <x v="4"/>
    <s v="0032 - PROGRAMA DE GESTAO E MANUTENCAO DO PODER EXECUTIVO"/>
    <x v="357"/>
    <n v="589871580.00999999"/>
    <n v="2377531002.1100001"/>
    <n v="2351342620.4200001"/>
  </r>
  <r>
    <x v="4"/>
    <s v="1041 - CONSERVACAO E USO SUSTENTAVEL DA BIODIVERSIDADE E DOS RECURSOS NATURAIS"/>
    <x v="176"/>
    <n v="87500"/>
    <n v="27746.43"/>
    <n v="27079.72"/>
  </r>
  <r>
    <x v="4"/>
    <s v="2211 - INSERCAO ECONOMICA INTERNACIONAL"/>
    <x v="158"/>
    <n v="-2200000"/>
    <n v="33771619.890000001"/>
    <n v="33771619.890000001"/>
  </r>
  <r>
    <x v="4"/>
    <s v="2221 - RECURSOS HIDRICOS"/>
    <x v="513"/>
    <n v="9782474.1999999993"/>
    <n v="800552.67"/>
    <n v="737312.43"/>
  </r>
  <r>
    <x v="4"/>
    <s v="3005 - TRANSPORTE AQUAVIARIO"/>
    <x v="443"/>
    <n v="-387220.6"/>
    <n v="1767197.76"/>
    <n v="1115612.1399999999"/>
  </r>
  <r>
    <x v="4"/>
    <s v="2205 - CONECTA BRASIL"/>
    <x v="686"/>
    <n v="2488939.2999999998"/>
    <n v="1571837.32"/>
    <n v="1562124.17"/>
  </r>
  <r>
    <x v="4"/>
    <s v="6012 - DEFESA NACIONAL"/>
    <x v="746"/>
    <n v="1529043.24"/>
    <n v="371317.42"/>
    <n v="363107.97"/>
  </r>
  <r>
    <x v="4"/>
    <s v="5020 - DESENVOLVIMENTO CIENTIFICO, TECNOLOGICO E PRODUTIVO EM SAUDE"/>
    <x v="579"/>
    <n v="91793540.790000007"/>
    <n v="46393190.619999997"/>
    <n v="35953161.590000004"/>
  </r>
  <r>
    <x v="4"/>
    <s v="0909 - OPERACOES ESPECIAIS: OUTROS ENCARGOS ESPECIAIS"/>
    <x v="60"/>
    <n v="11016681.640000001"/>
    <n v="10514563.24"/>
    <n v="10514563.24"/>
  </r>
  <r>
    <x v="4"/>
    <s v="5020 - DESENVOLVIMENTO CIENTIFICO, TECNOLOGICO E PRODUTIVO EM SAUDE"/>
    <x v="817"/>
    <n v="193075.52"/>
    <n v="19617.439999999999"/>
    <n v="42629.41"/>
  </r>
  <r>
    <x v="4"/>
    <s v="5033 - SEGURANCA ALIMENTAR E NUTRICIONAL"/>
    <x v="557"/>
    <n v="6843198.9000000004"/>
    <n v="6024292.2999999998"/>
    <n v="5803104.29"/>
  </r>
  <r>
    <x v="4"/>
    <s v="3006 - TRANSPORTE TERRESTRE E TRANSITO"/>
    <x v="582"/>
    <n v="27529115.379999999"/>
    <n v="217819"/>
    <n v="217819"/>
  </r>
  <r>
    <x v="4"/>
    <s v="2015 - FORTALECIMENTO DO SISTEMA UNICO DE SAUDE (SUS)"/>
    <x v="1025"/>
    <n v="0"/>
    <n v="0"/>
    <n v="0"/>
  </r>
  <r>
    <x v="4"/>
    <s v="6012 - DEFESA NACIONAL"/>
    <x v="638"/>
    <n v="3496794.22"/>
    <n v="52294497.07"/>
    <n v="52294497.07"/>
  </r>
  <r>
    <x v="4"/>
    <s v="6012 - DEFESA NACIONAL"/>
    <x v="337"/>
    <n v="2959304.77"/>
    <n v="126675.17"/>
    <n v="0"/>
  </r>
  <r>
    <x v="4"/>
    <s v="5017 - ASSISTENCIA FARMACEUTICA NO SUS"/>
    <x v="229"/>
    <n v="12414909.34"/>
    <n v="5835845.7599999998"/>
    <n v="6397967.4299999997"/>
  </r>
  <r>
    <x v="4"/>
    <s v="2201 - BRASIL MODERNIZA"/>
    <x v="14"/>
    <n v="0"/>
    <n v="0"/>
    <n v="0"/>
  </r>
  <r>
    <x v="4"/>
    <s v="5020 - DESENVOLVIMENTO CIENTIFICO, TECNOLOGICO E PRODUTIVO EM SAUDE"/>
    <x v="576"/>
    <n v="837365.6"/>
    <n v="7058648.2800000003"/>
    <n v="2621322.48"/>
  </r>
  <r>
    <x v="4"/>
    <s v="2206 - POLITICA NUCLEAR"/>
    <x v="687"/>
    <n v="0"/>
    <n v="107698.24000000001"/>
    <n v="109181.38"/>
  </r>
  <r>
    <x v="4"/>
    <s v="1041 - CONSERVACAO E USO SUSTENTAVEL DA BIODIVERSIDADE E DOS RECURSOS NATURAIS"/>
    <x v="744"/>
    <n v="54236.9"/>
    <n v="69726.83"/>
    <n v="129725.81"/>
  </r>
  <r>
    <x v="4"/>
    <s v="6013 - OCEANOS, ZONA COSTEIRA E ANTARTICA"/>
    <x v="778"/>
    <n v="96243.51"/>
    <n v="76050.63"/>
    <n v="12781.96"/>
  </r>
  <r>
    <x v="4"/>
    <s v="1031 - AGROPECUARIA SUSTENTAVEL"/>
    <x v="685"/>
    <n v="899620.35"/>
    <n v="391149.41"/>
    <n v="688797.18"/>
  </r>
  <r>
    <x v="4"/>
    <s v="3002 - GEOLOGIA, MINERACAO E TRANSFORMACAO MINERAL"/>
    <x v="790"/>
    <n v="67999.67"/>
    <n v="97450.22"/>
    <n v="113542.96"/>
  </r>
  <r>
    <x v="4"/>
    <s v="5016 - SEGURANCA PUBLICA, COMBATE A CORRUPCAO, AO CRIME ORGANIZADO E AO CRIME VIOLENTO"/>
    <x v="574"/>
    <n v="11628838.779999999"/>
    <n v="32717481.280000001"/>
    <n v="32199338.34"/>
  </r>
  <r>
    <x v="4"/>
    <s v="1031 - AGROPECUARIA SUSTENTAVEL"/>
    <x v="562"/>
    <n v="74510.679999999993"/>
    <n v="1062309.33"/>
    <n v="1012300.35"/>
  </r>
  <r>
    <x v="4"/>
    <s v="5021 - GESTAO E ORGANIZACAO DO SUS"/>
    <x v="475"/>
    <n v="5539260.29"/>
    <n v="3032326.94"/>
    <n v="3536971.68"/>
  </r>
  <r>
    <x v="4"/>
    <s v="2216 - POLITICA EXTERNA"/>
    <x v="991"/>
    <n v="-91.2"/>
    <n v="-81.33"/>
    <n v="-81.33"/>
  </r>
  <r>
    <x v="4"/>
    <s v="1031 - AGROPECUARIA SUSTENTAVEL"/>
    <x v="569"/>
    <n v="325500.99"/>
    <n v="2938593.74"/>
    <n v="3165593.74"/>
  </r>
  <r>
    <x v="4"/>
    <s v="6012 - DEFESA NACIONAL"/>
    <x v="378"/>
    <n v="18368672.359999999"/>
    <n v="2072449.51"/>
    <n v="2071417"/>
  </r>
  <r>
    <x v="4"/>
    <s v="5011 - EDUCACAO BASICA DE QUALIDADE"/>
    <x v="875"/>
    <n v="0"/>
    <n v="0"/>
    <n v="0"/>
  </r>
  <r>
    <x v="4"/>
    <s v="5034 - PROTECAO A VIDA, FORTALECIMENTO DA FAMILIA, PROMOCAO E DEFESA DOS DIREITOS HUMANOS PARA TODOS"/>
    <x v="393"/>
    <n v="597324.63"/>
    <n v="209561.11"/>
    <n v="183173.15"/>
  </r>
  <r>
    <x v="4"/>
    <s v="2223 - A HORA DO TURISMO"/>
    <x v="528"/>
    <n v="0"/>
    <n v="0"/>
    <n v="0"/>
  </r>
  <r>
    <x v="4"/>
    <s v="6012 - DEFESA NACIONAL"/>
    <x v="500"/>
    <n v="276193090.86000001"/>
    <n v="30857310.030000001"/>
    <n v="30734160.940000001"/>
  </r>
  <r>
    <x v="4"/>
    <s v="5021 - GESTAO E ORGANIZACAO DO SUS"/>
    <x v="855"/>
    <n v="78000"/>
    <n v="25774.12"/>
    <n v="462642.79"/>
  </r>
  <r>
    <x v="4"/>
    <s v="5021 - GESTAO E ORGANIZACAO DO SUS"/>
    <x v="593"/>
    <n v="25020952"/>
    <n v="8111063.7999999998"/>
    <n v="6144460.0099999998"/>
  </r>
  <r>
    <x v="4"/>
    <s v="0032 - PROGRAMA DE GESTAO E MANUTENCAO DO PODER EXECUTIVO"/>
    <x v="505"/>
    <n v="301834666.31"/>
    <n v="71694111.129999995"/>
    <n v="72685101.519999996"/>
  </r>
  <r>
    <x v="4"/>
    <s v="2221 - RECURSOS HIDRICOS"/>
    <x v="167"/>
    <n v="18000000"/>
    <n v="3634318.26"/>
    <n v="4132217.64"/>
  </r>
  <r>
    <x v="4"/>
    <s v="2211 - INSERCAO ECONOMICA INTERNACIONAL"/>
    <x v="182"/>
    <n v="0"/>
    <n v="26680.43"/>
    <n v="26680.43"/>
  </r>
  <r>
    <x v="4"/>
    <s v="2080 - EDUCACAO DE QUALIDADE PARA TODOS"/>
    <x v="865"/>
    <n v="0"/>
    <n v="0"/>
    <n v="0"/>
  </r>
  <r>
    <x v="4"/>
    <s v="2215 - POLITICA ECONOMICA E EQUILIBRIO FISCAL"/>
    <x v="661"/>
    <n v="0"/>
    <n v="12897158.4"/>
    <n v="12768869.779999999"/>
  </r>
  <r>
    <x v="4"/>
    <s v="3002 - GEOLOGIA, MINERACAO E TRANSFORMACAO MINERAL"/>
    <x v="607"/>
    <n v="564013.42000000004"/>
    <n v="1916480.63"/>
    <n v="1596573.4"/>
  </r>
  <r>
    <x v="4"/>
    <s v="5023 - VIGILANCIA EM SAUDE"/>
    <x v="494"/>
    <n v="5962450.9800000004"/>
    <n v="9581511.8200000003"/>
    <n v="4623726.5999999996"/>
  </r>
  <r>
    <x v="4"/>
    <s v="2015 - FORTALECIMENTO DO SISTEMA UNICO DE SAUDE (SUS)"/>
    <x v="234"/>
    <n v="0"/>
    <n v="0"/>
    <n v="0"/>
  </r>
  <r>
    <x v="4"/>
    <s v="3006 - TRANSPORTE TERRESTRE E TRANSITO"/>
    <x v="367"/>
    <n v="1173779340.01"/>
    <n v="436545493.73000002"/>
    <n v="428279302.80000001"/>
  </r>
  <r>
    <x v="4"/>
    <s v="6012 - DEFESA NACIONAL"/>
    <x v="563"/>
    <n v="4238035.26"/>
    <n v="14149.79"/>
    <n v="3202.95"/>
  </r>
  <r>
    <x v="4"/>
    <s v="5017 - ASSISTENCIA FARMACEUTICA NO SUS"/>
    <x v="219"/>
    <n v="298901216.05000001"/>
    <n v="110902399.29000001"/>
    <n v="104622843.3"/>
  </r>
  <r>
    <x v="4"/>
    <s v="5020 - DESENVOLVIMENTO CIENTIFICO, TECNOLOGICO E PRODUTIVO EM SAUDE"/>
    <x v="136"/>
    <n v="27882678.609999999"/>
    <n v="20952646.469999999"/>
    <n v="24713704.149999999"/>
  </r>
  <r>
    <x v="4"/>
    <s v="5026 - ESPORTE"/>
    <x v="794"/>
    <n v="6947557"/>
    <n v="0"/>
    <n v="0"/>
  </r>
  <r>
    <x v="4"/>
    <s v="0909 - OPERACOES ESPECIAIS: OUTROS ENCARGOS ESPECIAIS"/>
    <x v="846"/>
    <n v="0"/>
    <n v="12720971.66"/>
    <n v="5631385.4000000004"/>
  </r>
  <r>
    <x v="4"/>
    <s v="6011 - COOPERACAO COM O DESENVOLVIMENTO NACIONAL"/>
    <x v="701"/>
    <n v="114983"/>
    <n v="0"/>
    <n v="0"/>
  </r>
  <r>
    <x v="4"/>
    <s v="5026 - ESPORTE"/>
    <x v="533"/>
    <n v="34062638"/>
    <n v="0"/>
    <n v="0"/>
  </r>
  <r>
    <x v="4"/>
    <s v="5025 - CULTURA"/>
    <x v="549"/>
    <n v="3501155.42"/>
    <n v="11011657.73"/>
    <n v="11414812.83"/>
  </r>
  <r>
    <x v="4"/>
    <s v="2029 - DESENVOLVIMENTO REGIONAL E TERRITORIAL"/>
    <x v="196"/>
    <n v="0"/>
    <n v="0"/>
    <n v="0"/>
  </r>
  <r>
    <x v="4"/>
    <s v="2223 - A HORA DO TURISMO"/>
    <x v="419"/>
    <n v="1145000"/>
    <n v="583666.6"/>
    <n v="582778.65"/>
  </r>
  <r>
    <x v="4"/>
    <s v="0903 - OPERACOES ESPECIAIS: TRANSFERENCIAS CONSTITUCIONAIS E AS DECORRENTES DE LEGISLACAO ESPECIFICA"/>
    <x v="368"/>
    <n v="55465989.060000002"/>
    <n v="68459981.420000002"/>
    <n v="57578892.649999999"/>
  </r>
  <r>
    <x v="4"/>
    <s v="2214 - NOVA PREVIDENCIA"/>
    <x v="592"/>
    <n v="6495877.96"/>
    <n v="6104481.4900000002"/>
    <n v="5812171.1600000001"/>
  </r>
  <r>
    <x v="4"/>
    <s v="5025 - CULTURA"/>
    <x v="753"/>
    <n v="2508165.61"/>
    <n v="2996848.95"/>
    <n v="2555748.9500000002"/>
  </r>
  <r>
    <x v="4"/>
    <s v="2206 - POLITICA NUCLEAR"/>
    <x v="627"/>
    <n v="100643"/>
    <n v="23602.5"/>
    <n v="23602.5"/>
  </r>
  <r>
    <x v="4"/>
    <s v="2027 - CULTURA: DIMENSAO ESSENCIAL DO DESENVOLVIMENTO"/>
    <x v="118"/>
    <n v="0"/>
    <n v="0"/>
    <n v="0"/>
  </r>
  <r>
    <x v="4"/>
    <s v="1031 - AGROPECUARIA SUSTENTAVEL"/>
    <x v="452"/>
    <n v="227177.55"/>
    <n v="173894.58"/>
    <n v="176772.93"/>
  </r>
  <r>
    <x v="4"/>
    <s v="5016 - SEGURANCA PUBLICA, COMBATE A CORRUPCAO, AO CRIME ORGANIZADO E AO CRIME VIOLENTO"/>
    <x v="487"/>
    <n v="17522390.68"/>
    <n v="3090912.86"/>
    <n v="3105894.91"/>
  </r>
  <r>
    <x v="4"/>
    <s v="2108 - PROGRAMA DE GESTAO E MANUTENCAO DO MINISTERIO DA DEFESA"/>
    <x v="52"/>
    <n v="0"/>
    <n v="0"/>
    <n v="0"/>
  </r>
  <r>
    <x v="4"/>
    <s v="1041 - CONSERVACAO E USO SUSTENTAVEL DA BIODIVERSIDADE E DOS RECURSOS NATURAIS"/>
    <x v="1017"/>
    <n v="6470940.8499999996"/>
    <n v="3601197.31"/>
    <n v="4276205.29"/>
  </r>
  <r>
    <x v="4"/>
    <s v="2222 - SANEAMENTO BASICO"/>
    <x v="904"/>
    <n v="1153386.3400000001"/>
    <n v="20276.990000000002"/>
    <n v="15791.17"/>
  </r>
  <r>
    <x v="4"/>
    <s v="2217 - DESENVOLVIMENTO REGIONAL, TERRITORIAL E URBANO"/>
    <x v="527"/>
    <n v="0"/>
    <n v="7397320.9100000001"/>
    <n v="6034759.1500000004"/>
  </r>
  <r>
    <x v="4"/>
    <s v="6011 - COOPERACAO COM O DESENVOLVIMENTO NACIONAL"/>
    <x v="656"/>
    <n v="5010331.04"/>
    <n v="3335684.95"/>
    <n v="3328620.77"/>
  </r>
  <r>
    <x v="4"/>
    <s v="0617 - PROTECAO E PROMOCAO DOS DIREITOS DOS POVOS INDIGENAS"/>
    <x v="776"/>
    <n v="4305817.05"/>
    <n v="1457423.8"/>
    <n v="1381960.72"/>
  </r>
  <r>
    <x v="4"/>
    <s v="2015 - FORTALECIMENTO DO SISTEMA UNICO DE SAUDE (SUS)"/>
    <x v="502"/>
    <n v="0"/>
    <n v="0"/>
    <n v="0"/>
  </r>
  <r>
    <x v="4"/>
    <s v="2213 - MODERNIZACAO TRABALHISTA E TRABALHO DIGNO"/>
    <x v="534"/>
    <n v="17351147.27"/>
    <n v="2230068.98"/>
    <n v="2130451.61"/>
  </r>
  <r>
    <x v="4"/>
    <s v="6012 - DEFESA NACIONAL"/>
    <x v="589"/>
    <n v="706130.63"/>
    <n v="647013.35"/>
    <n v="548485.61"/>
  </r>
  <r>
    <x v="4"/>
    <s v="3004 - AVIACAO CIVIL"/>
    <x v="151"/>
    <n v="0"/>
    <n v="1354713.95"/>
    <n v="1354713.95"/>
  </r>
  <r>
    <x v="4"/>
    <s v="2214 - NOVA PREVIDENCIA"/>
    <x v="523"/>
    <n v="-4996.99"/>
    <n v="58833.56"/>
    <n v="58713.02"/>
  </r>
  <r>
    <x v="4"/>
    <s v="6012 - DEFESA NACIONAL"/>
    <x v="8"/>
    <n v="0"/>
    <n v="0"/>
    <n v="0"/>
  </r>
  <r>
    <x v="4"/>
    <s v="2082 - POLITICA EXTERNA"/>
    <x v="781"/>
    <n v="0"/>
    <n v="0"/>
    <n v="0"/>
  </r>
  <r>
    <x v="4"/>
    <s v="5011 - EDUCACAO BASICA DE QUALIDADE"/>
    <x v="752"/>
    <n v="1619739.62"/>
    <n v="1008549.7"/>
    <n v="426492.6"/>
  </r>
  <r>
    <x v="4"/>
    <s v="5018 - ATENCAO ESPECIALIZADA A SAUDE"/>
    <x v="437"/>
    <n v="5256058185.5"/>
    <n v="5169550462.8000002"/>
    <n v="5157772889.0600004"/>
  </r>
  <r>
    <x v="4"/>
    <s v="2215 - POLITICA ECONOMICA E EQUILIBRIO FISCAL"/>
    <x v="597"/>
    <n v="133072"/>
    <n v="377084.61"/>
    <n v="378709.11"/>
  </r>
  <r>
    <x v="4"/>
    <s v="2080 - EDUCACAO DE QUALIDADE PARA TODOS"/>
    <x v="188"/>
    <n v="0"/>
    <n v="0"/>
    <n v="0"/>
  </r>
  <r>
    <x v="4"/>
    <s v="5031 - PROTECAO SOCIAL NO AMBITO DO SISTEMA UNICO DE ASSISTENCIA SOCIAL (SUAS)"/>
    <x v="514"/>
    <n v="1071130.2"/>
    <n v="4042804791.8200002"/>
    <n v="4001979286.9299998"/>
  </r>
  <r>
    <x v="4"/>
    <s v="5022 - PROTECAO, PROMOCAO E RECUPERACAO DA SAUDE INDIGENA"/>
    <x v="742"/>
    <n v="4320422.62"/>
    <n v="3626785.12"/>
    <n v="2827363.28"/>
  </r>
  <r>
    <x v="4"/>
    <s v="3002 - GEOLOGIA, MINERACAO E TRANSFORMACAO MINERAL"/>
    <x v="743"/>
    <n v="178174.49"/>
    <n v="583012.28"/>
    <n v="629800.73"/>
  </r>
  <r>
    <x v="4"/>
    <s v="6015 - EDUCACAO INFANTIL"/>
    <x v="983"/>
    <n v="0"/>
    <n v="11228042.279999999"/>
    <n v="11228042.279999999"/>
  </r>
  <r>
    <x v="4"/>
    <s v="1040 - GOVERNANCA FUNDIARIA"/>
    <x v="737"/>
    <n v="2201127.16"/>
    <n v="751309.35"/>
    <n v="783764.38"/>
  </r>
  <r>
    <x v="4"/>
    <s v="2217 - DESENVOLVIMENTO REGIONAL, TERRITORIAL E URBANO"/>
    <x v="30"/>
    <n v="1593053.88"/>
    <n v="648185.80000000005"/>
    <n v="873156.32"/>
  </r>
  <r>
    <x v="4"/>
    <s v="1040 - GOVERNANCA FUNDIARIA"/>
    <x v="180"/>
    <n v="222961.17"/>
    <n v="11813.57"/>
    <n v="1813.57"/>
  </r>
  <r>
    <x v="4"/>
    <s v="5019 - ATENCAO PRIMARIA A SAUDE"/>
    <x v="730"/>
    <n v="2200"/>
    <n v="115967640.89"/>
    <n v="121035193.77"/>
  </r>
  <r>
    <x v="4"/>
    <s v="6012 - DEFESA NACIONAL"/>
    <x v="655"/>
    <n v="2516689.96"/>
    <n v="413376.77"/>
    <n v="73069.5"/>
  </r>
  <r>
    <x v="4"/>
    <s v="5016 - SEGURANCA PUBLICA, COMBATE A CORRUPCAO, AO CRIME ORGANIZADO E AO CRIME VIOLENTO"/>
    <x v="439"/>
    <n v="1471460.04"/>
    <n v="72399.09"/>
    <n v="84599.09"/>
  </r>
  <r>
    <x v="4"/>
    <s v="6012 - DEFESA NACIONAL"/>
    <x v="499"/>
    <n v="2518275.11"/>
    <n v="25157040.66"/>
    <n v="50488093.520000003"/>
  </r>
  <r>
    <x v="4"/>
    <s v="2214 - NOVA PREVIDENCIA"/>
    <x v="667"/>
    <n v="-88682431.010000005"/>
    <n v="94874216008.339996"/>
    <n v="71015773850.279999"/>
  </r>
  <r>
    <x v="4"/>
    <s v="1043 - QUALIDADE AMBIENTAL URBANA"/>
    <x v="72"/>
    <n v="5156.12"/>
    <n v="79715.149999999994"/>
    <n v="79715.149999999994"/>
  </r>
  <r>
    <x v="4"/>
    <s v="6012 - DEFESA NACIONAL"/>
    <x v="391"/>
    <n v="1559055.53"/>
    <n v="1849119.94"/>
    <n v="427066.28"/>
  </r>
  <r>
    <x v="4"/>
    <s v="0032 - PROGRAMA DE GESTAO E MANUTENCAO DO PODER EXECUTIVO"/>
    <x v="532"/>
    <n v="371627.1"/>
    <n v="19027.22"/>
    <n v="18492.88"/>
  </r>
  <r>
    <x v="4"/>
    <s v="2216 - POLITICA EXTERNA"/>
    <x v="583"/>
    <n v="8459126.2400000002"/>
    <n v="6482509.2400000002"/>
    <n v="6459217.4400000004"/>
  </r>
  <r>
    <x v="4"/>
    <s v="6012 - DEFESA NACIONAL"/>
    <x v="542"/>
    <n v="0"/>
    <n v="0"/>
    <n v="0"/>
  </r>
  <r>
    <x v="4"/>
    <s v="2080 - EDUCACAO DE QUALIDADE PARA TODOS"/>
    <x v="752"/>
    <n v="0"/>
    <n v="0"/>
    <n v="0"/>
  </r>
  <r>
    <x v="4"/>
    <s v="0033 - PROGRAMA DE GESTAO E MANUTENCAO DO PODER JUDICIARIO"/>
    <x v="547"/>
    <n v="161.51"/>
    <n v="161.51"/>
    <n v="161.51"/>
  </r>
  <r>
    <x v="4"/>
    <s v="5019 - ATENCAO PRIMARIA A SAUDE"/>
    <x v="261"/>
    <n v="1436534317.3800001"/>
    <n v="1435767007.1099999"/>
    <n v="1435759236.4300001"/>
  </r>
  <r>
    <x v="4"/>
    <s v="5013 - EDUCACAO SUPERIOR - GRADUACAO, POS-GRADUACAO, ENSINO, PESQUISA E EXTENSAO"/>
    <x v="258"/>
    <n v="249153.86"/>
    <n v="0"/>
    <n v="0"/>
  </r>
  <r>
    <x v="4"/>
    <s v="0032 - PROGRAMA DE GESTAO E MANUTENCAO DO PODER EXECUTIVO"/>
    <x v="538"/>
    <n v="100000"/>
    <n v="11657.39"/>
    <n v="11657.39"/>
  </r>
  <r>
    <x v="4"/>
    <s v="0032 - PROGRAMA DE GESTAO E MANUTENCAO DO PODER EXECUTIVO"/>
    <x v="495"/>
    <n v="83589125.269999996"/>
    <n v="20458625.079999998"/>
    <n v="16178475.66"/>
  </r>
  <r>
    <x v="4"/>
    <s v="6012 - DEFESA NACIONAL"/>
    <x v="870"/>
    <n v="18431.900000000001"/>
    <n v="1143929.04"/>
    <n v="3144539.89"/>
  </r>
  <r>
    <x v="4"/>
    <s v="0032 - PROGRAMA DE GESTAO E MANUTENCAO DO PODER EXECUTIVO"/>
    <x v="626"/>
    <n v="2200000"/>
    <n v="0"/>
    <n v="0"/>
  </r>
  <r>
    <x v="4"/>
    <s v="2221 - RECURSOS HIDRICOS"/>
    <x v="669"/>
    <n v="9390831.2100000009"/>
    <n v="4134676.37"/>
    <n v="4077181.35"/>
  </r>
  <r>
    <x v="4"/>
    <s v="2215 - POLITICA ECONOMICA E EQUILIBRIO FISCAL"/>
    <x v="264"/>
    <n v="0"/>
    <n v="1584026.42"/>
    <n v="1584026.42"/>
  </r>
  <r>
    <x v="4"/>
    <s v="2208 - TECNOLOGIAS APLICADAS, INOVACAO E DESENVOLVIMENTO SUSTENTAVEL"/>
    <x v="260"/>
    <n v="1986593.45"/>
    <n v="3938852.44"/>
    <n v="3492210.44"/>
  </r>
  <r>
    <x v="4"/>
    <s v="5013 - EDUCACAO SUPERIOR - GRADUACAO, POS-GRADUACAO, ENSINO, PESQUISA E EXTENSAO"/>
    <x v="404"/>
    <n v="0"/>
    <n v="0"/>
    <n v="0"/>
  </r>
  <r>
    <x v="4"/>
    <s v="5023 - VIGILANCIA EM SAUDE"/>
    <x v="509"/>
    <n v="767409.6"/>
    <n v="2001795.13"/>
    <n v="1891879.61"/>
  </r>
  <r>
    <x v="4"/>
    <s v="2217 - DESENVOLVIMENTO REGIONAL, TERRITORIAL E URBANO"/>
    <x v="621"/>
    <n v="2143970.9700000002"/>
    <n v="643434.21"/>
    <n v="683284.64"/>
  </r>
  <r>
    <x v="4"/>
    <s v="0903 - OPERACOES ESPECIAIS: TRANSFERENCIAS CONSTITUCIONAIS E AS DECORRENTES DE LEGISLACAO ESPECIFICA"/>
    <x v="82"/>
    <n v="0"/>
    <n v="332230841.32999998"/>
    <n v="332230841.32999998"/>
  </r>
  <r>
    <x v="4"/>
    <s v="4002 - SEGURANCA INSTITUCIONAL"/>
    <x v="438"/>
    <n v="12432327.43"/>
    <n v="4524346.17"/>
    <n v="4499021.84"/>
  </r>
  <r>
    <x v="4"/>
    <s v="3006 - TRANSPORTE TERRESTRE E TRANSITO"/>
    <x v="359"/>
    <n v="111613723"/>
    <n v="0"/>
    <n v="0"/>
  </r>
  <r>
    <x v="4"/>
    <s v="5026 - ESPORTE"/>
    <x v="57"/>
    <n v="3070000"/>
    <n v="0"/>
    <n v="0"/>
  </r>
  <r>
    <x v="4"/>
    <s v="2216 - POLITICA EXTERNA"/>
    <x v="734"/>
    <n v="595957.81999999995"/>
    <n v="676688.37"/>
    <n v="690276.25"/>
  </r>
  <r>
    <x v="4"/>
    <s v="5012 - EDUCACAO PROFISSIONAL E TECNOLOGICA"/>
    <x v="657"/>
    <n v="32193.919999999998"/>
    <n v="1922.8"/>
    <n v="32366.76"/>
  </r>
  <r>
    <x v="4"/>
    <s v="0032 - PROGRAMA DE GESTAO E MANUTENCAO DO PODER EXECUTIVO"/>
    <x v="677"/>
    <n v="3631045.47"/>
    <n v="2642793.12"/>
    <n v="2914665.41"/>
  </r>
  <r>
    <x v="4"/>
    <s v="1031 - AGROPECUARIA SUSTENTAVEL"/>
    <x v="15"/>
    <n v="15208250"/>
    <n v="198914137.75999999"/>
    <n v="198914137.75999999"/>
  </r>
  <r>
    <x v="4"/>
    <s v="0909 - OPERACOES ESPECIAIS: OUTROS ENCARGOS ESPECIAIS"/>
    <x v="440"/>
    <n v="251606686.47"/>
    <n v="99350749.560000002"/>
    <n v="102667099.34999999"/>
  </r>
  <r>
    <x v="4"/>
    <s v="3006 - TRANSPORTE TERRESTRE E TRANSITO"/>
    <x v="485"/>
    <n v="1055774.44"/>
    <n v="0"/>
    <n v="0"/>
  </r>
  <r>
    <x v="4"/>
    <s v="5017 - ASSISTENCIA FARMACEUTICA NO SUS"/>
    <x v="374"/>
    <n v="518428870.18000001"/>
    <n v="763656072.58000004"/>
    <n v="731929855.62"/>
  </r>
  <r>
    <x v="4"/>
    <s v="5016 - SEGURANCA PUBLICA, COMBATE A CORRUPCAO, AO CRIME ORGANIZADO E AO CRIME VIOLENTO"/>
    <x v="703"/>
    <n v="126670883.33"/>
    <n v="25193688.210000001"/>
    <n v="39476990.329999998"/>
  </r>
  <r>
    <x v="4"/>
    <s v="1041 - CONSERVACAO E USO SUSTENTAVEL DA BIODIVERSIDADE E DOS RECURSOS NATURAIS"/>
    <x v="711"/>
    <n v="19230656.850000001"/>
    <n v="8197150.9400000004"/>
    <n v="8061388.8499999996"/>
  </r>
  <r>
    <x v="4"/>
    <s v="0910 - OPERACOES ESPECIAIS: GESTAO DA PARTICIPACAO EM ORGANISMOS E ENTIDADES NACIONAIS E INTERNACIONAIS"/>
    <x v="1056"/>
    <n v="476"/>
    <n v="476"/>
    <n v="476"/>
  </r>
  <r>
    <x v="4"/>
    <s v="5015 - JUSTICA"/>
    <x v="308"/>
    <n v="16950505.91"/>
    <n v="11762.43"/>
    <n v="43040.34"/>
  </r>
  <r>
    <x v="4"/>
    <s v="3002 - GEOLOGIA, MINERACAO E TRANSFORMACAO MINERAL"/>
    <x v="641"/>
    <n v="679202.14"/>
    <n v="671389.72"/>
    <n v="518259.02"/>
  </r>
  <r>
    <x v="4"/>
    <s v="6012 - DEFESA NACIONAL"/>
    <x v="763"/>
    <n v="1059616.74"/>
    <n v="213891.48"/>
    <n v="213891.48"/>
  </r>
  <r>
    <x v="4"/>
    <s v="3006 - TRANSPORTE TERRESTRE E TRANSITO"/>
    <x v="418"/>
    <n v="0"/>
    <n v="0"/>
    <n v="0"/>
  </r>
  <r>
    <x v="4"/>
    <s v="2209 - BRASIL, NOSSO PROPOSITO"/>
    <x v="137"/>
    <n v="220515.8"/>
    <n v="38049.14"/>
    <n v="71176.45"/>
  </r>
  <r>
    <x v="4"/>
    <s v="2221 - RECURSOS HIDRICOS"/>
    <x v="232"/>
    <n v="93130.98"/>
    <n v="2452275.6"/>
    <n v="4015237.19"/>
  </r>
  <r>
    <x v="4"/>
    <s v="6012 - DEFESA NACIONAL"/>
    <x v="683"/>
    <n v="1574319.83"/>
    <n v="646013.01"/>
    <n v="644763.86"/>
  </r>
  <r>
    <x v="4"/>
    <s v="1031 - AGROPECUARIA SUSTENTAVEL"/>
    <x v="660"/>
    <n v="7181418.2400000002"/>
    <n v="1656598.79"/>
    <n v="1906628.19"/>
  </r>
  <r>
    <x v="4"/>
    <s v="0032 - PROGRAMA DE GESTAO E MANUTENCAO DO PODER EXECUTIVO"/>
    <x v="722"/>
    <n v="3478532.16"/>
    <n v="1498859.28"/>
    <n v="1364994.34"/>
  </r>
  <r>
    <x v="4"/>
    <s v="6012 - DEFESA NACIONAL"/>
    <x v="726"/>
    <n v="-72374598.810000002"/>
    <n v="5157792.5199999996"/>
    <n v="4514734.45"/>
  </r>
  <r>
    <x v="4"/>
    <s v="0909 - OPERACOES ESPECIAIS: OUTROS ENCARGOS ESPECIAIS"/>
    <x v="112"/>
    <n v="18093553.879999999"/>
    <n v="18093553.879999999"/>
    <n v="18093553.879999999"/>
  </r>
  <r>
    <x v="4"/>
    <s v="1031 - AGROPECUARIA SUSTENTAVEL"/>
    <x v="461"/>
    <n v="-102741.94"/>
    <n v="37323.440000000002"/>
    <n v="41365.26"/>
  </r>
  <r>
    <x v="4"/>
    <s v="0903 - OPERACOES ESPECIAIS: TRANSFERENCIAS CONSTITUCIONAIS E AS DECORRENTES DE LEGISLACAO ESPECIFICA"/>
    <x v="457"/>
    <n v="260245879.13"/>
    <n v="261356875.69"/>
    <n v="261189778.15000001"/>
  </r>
  <r>
    <x v="4"/>
    <s v="5013 - EDUCACAO SUPERIOR - GRADUACAO, POS-GRADUACAO, ENSINO, PESQUISA E EXTENSAO"/>
    <x v="408"/>
    <n v="109551.03999999999"/>
    <n v="77019.27"/>
    <n v="50323.87"/>
  </r>
  <r>
    <x v="4"/>
    <s v="5013 - EDUCACAO SUPERIOR - GRADUACAO, POS-GRADUACAO, ENSINO, PESQUISA E EXTENSAO"/>
    <x v="504"/>
    <n v="23219097.649999999"/>
    <n v="19872022.57"/>
    <n v="18967762.640000001"/>
  </r>
  <r>
    <x v="4"/>
    <s v="2217 - DESENVOLVIMENTO REGIONAL, TERRITORIAL E URBANO"/>
    <x v="406"/>
    <n v="170704.94"/>
    <n v="50355.89"/>
    <n v="55153.71"/>
  </r>
  <r>
    <x v="4"/>
    <s v="2015 - FORTALECIMENTO DO SISTEMA UNICO DE SAUDE (SUS)"/>
    <x v="862"/>
    <n v="0"/>
    <n v="0"/>
    <n v="0"/>
  </r>
  <r>
    <x v="4"/>
    <s v="5025 - CULTURA"/>
    <x v="488"/>
    <n v="1705812.59"/>
    <n v="594927.35999999999"/>
    <n v="555267.07999999996"/>
  </r>
  <r>
    <x v="4"/>
    <s v="5021 - GESTAO E ORGANIZACAO DO SUS"/>
    <x v="507"/>
    <n v="37351225.68"/>
    <n v="144874412.28"/>
    <n v="155156437.28999999"/>
  </r>
  <r>
    <x v="4"/>
    <s v="4004 - TRANSPARENCIA, INTEGRIDADE E COMBATE A CORRUPCAO"/>
    <x v="715"/>
    <n v="23328818.600000001"/>
    <n v="9409030.2599999998"/>
    <n v="8874075.9700000007"/>
  </r>
  <r>
    <x v="4"/>
    <s v="5021 - GESTAO E ORGANIZACAO DO SUS"/>
    <x v="724"/>
    <n v="33050"/>
    <n v="152406.54"/>
    <n v="143719.67000000001"/>
  </r>
  <r>
    <x v="4"/>
    <s v="5018 - ATENCAO ESPECIALIZADA A SAUDE"/>
    <x v="366"/>
    <n v="85400424.069999993"/>
    <n v="101317828.34999999"/>
    <n v="99200737.379999995"/>
  </r>
  <r>
    <x v="4"/>
    <s v="2217 - DESENVOLVIMENTO REGIONAL, TERRITORIAL E URBANO"/>
    <x v="757"/>
    <n v="49491167.219999999"/>
    <n v="2464400.7599999998"/>
    <n v="308946.37"/>
  </r>
  <r>
    <x v="4"/>
    <s v="2217 - DESENVOLVIMENTO REGIONAL, TERRITORIAL E URBANO"/>
    <x v="110"/>
    <n v="52015"/>
    <n v="0"/>
    <n v="0"/>
  </r>
  <r>
    <x v="4"/>
    <s v="6012 - DEFESA NACIONAL"/>
    <x v="717"/>
    <n v="285093.21000000002"/>
    <n v="614845.77"/>
    <n v="610419.19999999995"/>
  </r>
  <r>
    <x v="4"/>
    <s v="6011 - COOPERACAO COM O DESENVOLVIMENTO NACIONAL"/>
    <x v="662"/>
    <n v="10350757.42"/>
    <n v="1633200.92"/>
    <n v="1307724.1100000001"/>
  </r>
  <r>
    <x v="4"/>
    <s v="0903 - OPERACOES ESPECIAIS: TRANSFERENCIAS CONSTITUCIONAIS E AS DECORRENTES DE LEGISLACAO ESPECIFICA"/>
    <x v="233"/>
    <n v="0"/>
    <n v="1384179366.6099999"/>
    <n v="1384179366.6099999"/>
  </r>
  <r>
    <x v="4"/>
    <s v="6012 - DEFESA NACIONAL"/>
    <x v="676"/>
    <n v="2585877.58"/>
    <n v="664148.22"/>
    <n v="459644.65"/>
  </r>
  <r>
    <x v="4"/>
    <s v="0032 - PROGRAMA DE GESTAO E MANUTENCAO DO PODER EXECUTIVO"/>
    <x v="433"/>
    <n v="11892122.76"/>
    <n v="0"/>
    <n v="0"/>
  </r>
  <r>
    <x v="4"/>
    <s v="6012 - DEFESA NACIONAL"/>
    <x v="130"/>
    <n v="74396769.079999998"/>
    <n v="468020.66"/>
    <n v="702386.31"/>
  </r>
  <r>
    <x v="4"/>
    <s v="6012 - DEFESA NACIONAL"/>
    <x v="591"/>
    <n v="0"/>
    <n v="50848"/>
    <n v="0"/>
  </r>
  <r>
    <x v="4"/>
    <s v="2027 - CULTURA: DIMENSAO ESSENCIAL DO DESENVOLVIMENTO"/>
    <x v="488"/>
    <n v="0"/>
    <n v="0"/>
    <n v="0"/>
  </r>
  <r>
    <x v="4"/>
    <s v="6011 - COOPERACAO COM O DESENVOLVIMENTO NACIONAL"/>
    <x v="1063"/>
    <n v="90654075.980000004"/>
    <n v="50023397.380000003"/>
    <n v="44993618.530000001"/>
  </r>
  <r>
    <x v="4"/>
    <s v="5033 - SEGURANCA ALIMENTAR E NUTRICIONAL"/>
    <x v="792"/>
    <n v="81915.8"/>
    <n v="0"/>
    <n v="0"/>
  </r>
  <r>
    <x v="4"/>
    <s v="6012 - DEFESA NACIONAL"/>
    <x v="741"/>
    <n v="14613165.67"/>
    <n v="2160907.83"/>
    <n v="1923576.26"/>
  </r>
  <r>
    <x v="4"/>
    <s v="3006 - TRANSPORTE TERRESTRE E TRANSITO"/>
    <x v="914"/>
    <n v="0"/>
    <n v="0"/>
    <n v="0"/>
  </r>
  <r>
    <x v="4"/>
    <s v="1040 - GOVERNANCA FUNDIARIA"/>
    <x v="81"/>
    <n v="128449.07"/>
    <n v="35619.839999999997"/>
    <n v="28156.67"/>
  </r>
  <r>
    <x v="4"/>
    <s v="4005 - PROTECAO JURIDICA DA UNIAO"/>
    <x v="647"/>
    <n v="10224665.41"/>
    <n v="38941790.609999999"/>
    <n v="37568476.140000001"/>
  </r>
  <r>
    <x v="4"/>
    <s v="6012 - DEFESA NACIONAL"/>
    <x v="777"/>
    <n v="935985.75"/>
    <n v="719105.41"/>
    <n v="716717.75"/>
  </r>
  <r>
    <x v="4"/>
    <s v="5012 - EDUCACAO PROFISSIONAL E TECNOLOGICA"/>
    <x v="634"/>
    <n v="6726624.71"/>
    <n v="1596724.2"/>
    <n v="1533081.2"/>
  </r>
  <r>
    <x v="4"/>
    <s v="2222 - SANEAMENTO BASICO"/>
    <x v="1109"/>
    <n v="1043732.4"/>
    <n v="0"/>
    <n v="0"/>
  </r>
  <r>
    <x v="4"/>
    <s v="2217 - DESENVOLVIMENTO REGIONAL, TERRITORIAL E URBANO"/>
    <x v="545"/>
    <n v="0"/>
    <n v="0"/>
    <n v="0"/>
  </r>
  <r>
    <x v="4"/>
    <s v="0909 - OPERACOES ESPECIAIS: OUTROS ENCARGOS ESPECIAIS"/>
    <x v="821"/>
    <n v="19256332.93"/>
    <n v="11984901.449999999"/>
    <n v="7234901.4500000002"/>
  </r>
  <r>
    <x v="4"/>
    <s v="5026 - ESPORTE"/>
    <x v="947"/>
    <n v="0"/>
    <n v="0"/>
    <n v="0"/>
  </r>
  <r>
    <x v="4"/>
    <s v="6012 - DEFESA NACIONAL"/>
    <x v="471"/>
    <n v="61091.76"/>
    <n v="89302.24"/>
    <n v="92135.4"/>
  </r>
  <r>
    <x v="4"/>
    <s v="2216 - POLITICA EXTERNA"/>
    <x v="51"/>
    <n v="177320.95999999999"/>
    <n v="225470.67"/>
    <n v="214843.66"/>
  </r>
  <r>
    <x v="4"/>
    <s v="0033 - PROGRAMA DE GESTAO E MANUTENCAO DO PODER JUDICIARIO"/>
    <x v="376"/>
    <n v="387896.6"/>
    <n v="12818.01"/>
    <n v="17195.740000000002"/>
  </r>
  <r>
    <x v="4"/>
    <s v="0032 - PROGRAMA DE GESTAO E MANUTENCAO DO PODER EXECUTIVO"/>
    <x v="699"/>
    <n v="54921329.43"/>
    <n v="28975271.949999999"/>
    <n v="30667934.34"/>
  </r>
  <r>
    <x v="4"/>
    <s v="6011 - COOPERACAO COM O DESENVOLVIMENTO NACIONAL"/>
    <x v="134"/>
    <n v="39276605"/>
    <n v="0"/>
    <n v="0"/>
  </r>
  <r>
    <x v="4"/>
    <s v="2202 - DEFESA AGROPECUARIA"/>
    <x v="789"/>
    <n v="16015373.5"/>
    <n v="11045293.99"/>
    <n v="11358662.210000001"/>
  </r>
  <r>
    <x v="4"/>
    <s v="2209 - BRASIL, NOSSO PROPOSITO"/>
    <x v="750"/>
    <n v="1811488.19"/>
    <n v="3977456.51"/>
    <n v="3817496.22"/>
  </r>
  <r>
    <x v="4"/>
    <s v="5015 - JUSTICA"/>
    <x v="584"/>
    <n v="1501005.02"/>
    <n v="167318.35"/>
    <n v="78836.52"/>
  </r>
  <r>
    <x v="4"/>
    <s v="6012 - DEFESA NACIONAL"/>
    <x v="279"/>
    <n v="58266.9"/>
    <n v="174431.48"/>
    <n v="174431.48"/>
  </r>
  <r>
    <x v="4"/>
    <s v="5021 - GESTAO E ORGANIZACAO DO SUS"/>
    <x v="482"/>
    <n v="2178000"/>
    <n v="2176434.8199999998"/>
    <n v="2180308.4"/>
  </r>
  <r>
    <x v="4"/>
    <s v="0617 - PROTECAO E PROMOCAO DOS DIREITOS DOS POVOS INDIGENAS"/>
    <x v="725"/>
    <n v="11830769.550000001"/>
    <n v="4444765.26"/>
    <n v="4128848.43"/>
  </r>
  <r>
    <x v="4"/>
    <s v="2217 - DESENVOLVIMENTO REGIONAL, TERRITORIAL E URBANO"/>
    <x v="632"/>
    <n v="0"/>
    <n v="0"/>
    <n v="0"/>
  </r>
  <r>
    <x v="4"/>
    <s v="5034 - PROTECAO A VIDA, FORTALECIMENTO DA FAMILIA, PROMOCAO E DEFESA DOS DIREITOS HUMANOS PARA TODOS"/>
    <x v="700"/>
    <n v="2797861.65"/>
    <n v="430174.42"/>
    <n v="435005.62"/>
  </r>
  <r>
    <x v="4"/>
    <s v="1041 - CONSERVACAO E USO SUSTENTAVEL DA BIODIVERSIDADE E DOS RECURSOS NATURAIS"/>
    <x v="702"/>
    <n v="2134148.44"/>
    <n v="1118787.76"/>
    <n v="1153862.98"/>
  </r>
  <r>
    <x v="4"/>
    <s v="0032 - PROGRAMA DE GESTAO E MANUTENCAO DO PODER EXECUTIVO"/>
    <x v="425"/>
    <n v="0"/>
    <n v="0"/>
    <n v="0"/>
  </r>
  <r>
    <x v="4"/>
    <s v="2221 - RECURSOS HIDRICOS"/>
    <x v="663"/>
    <n v="5045636.42"/>
    <n v="19452263.870000001"/>
    <n v="11961437.65"/>
  </r>
  <r>
    <x v="4"/>
    <s v="2219 - MOBILIDADE URBANA"/>
    <x v="427"/>
    <n v="0"/>
    <n v="0"/>
    <n v="0"/>
  </r>
  <r>
    <x v="4"/>
    <s v="1031 - AGROPECUARIA SUSTENTAVEL"/>
    <x v="608"/>
    <n v="493275.2"/>
    <n v="509095.83"/>
    <n v="494508.17"/>
  </r>
  <r>
    <x v="4"/>
    <s v="6013 - OCEANOS, ZONA COSTEIRA E ANTARTICA"/>
    <x v="413"/>
    <n v="108490.48"/>
    <n v="146062.17000000001"/>
    <n v="724359.41"/>
  </r>
  <r>
    <x v="4"/>
    <s v="2215 - POLITICA ECONOMICA E EQUILIBRIO FISCAL"/>
    <x v="101"/>
    <n v="2168012.7599999998"/>
    <n v="486827.53"/>
    <n v="940332.29"/>
  </r>
  <r>
    <x v="4"/>
    <s v="5013 - EDUCACAO SUPERIOR - GRADUACAO, POS-GRADUACAO, ENSINO, PESQUISA E EXTENSAO"/>
    <x v="184"/>
    <n v="2220084.52"/>
    <n v="1725073.64"/>
    <n v="2400426.7799999998"/>
  </r>
  <r>
    <x v="4"/>
    <s v="0901 - OPERACOES ESPECIAIS: CUMPRIMENTO DE SENTENCAS JUDICIAIS"/>
    <x v="629"/>
    <n v="35392293.18"/>
    <n v="124090886.22"/>
    <n v="122654569.52"/>
  </r>
  <r>
    <x v="4"/>
    <s v="2208 - TECNOLOGIAS APLICADAS, INOVACAO E DESENVOLVIMENTO SUSTENTAVEL"/>
    <x v="87"/>
    <n v="2916697.97"/>
    <n v="952333.09"/>
    <n v="9000"/>
  </r>
  <r>
    <x v="4"/>
    <s v="1031 - AGROPECUARIA SUSTENTAVEL"/>
    <x v="387"/>
    <n v="1049876.55"/>
    <n v="0"/>
    <n v="0"/>
  </r>
  <r>
    <x v="4"/>
    <s v="6012 - DEFESA NACIONAL"/>
    <x v="466"/>
    <n v="11015219.16"/>
    <n v="391973.32"/>
    <n v="391973.32"/>
  </r>
  <r>
    <x v="4"/>
    <s v="2012 - FORTALECIMENTO E DINAMIZACAO DA AGRICULTURA FAMILIAR"/>
    <x v="569"/>
    <n v="0"/>
    <n v="0"/>
    <n v="0"/>
  </r>
  <r>
    <x v="4"/>
    <s v="0032 - PROGRAMA DE GESTAO E MANUTENCAO DO PODER EXECUTIVO"/>
    <x v="779"/>
    <n v="335044.52"/>
    <n v="198010.94"/>
    <n v="142890.96"/>
  </r>
  <r>
    <x v="4"/>
    <s v="2216 - POLITICA EXTERNA"/>
    <x v="694"/>
    <n v="582499.21"/>
    <n v="687735.6"/>
    <n v="674133.08"/>
  </r>
  <r>
    <x v="4"/>
    <s v="6012 - DEFESA NACIONAL"/>
    <x v="75"/>
    <n v="950627.5"/>
    <n v="102493.94"/>
    <n v="73461.84"/>
  </r>
  <r>
    <x v="4"/>
    <s v="6012 - DEFESA NACIONAL"/>
    <x v="652"/>
    <n v="351897290.25"/>
    <n v="22691625.07"/>
    <n v="22801457.550000001"/>
  </r>
  <r>
    <x v="4"/>
    <s v="5016 - SEGURANCA PUBLICA, COMBATE A CORRUPCAO, AO CRIME ORGANIZADO E AO CRIME VIOLENTO"/>
    <x v="785"/>
    <n v="67934871.209999993"/>
    <n v="25912299.190000001"/>
    <n v="30066894.940000001"/>
  </r>
  <r>
    <x v="4"/>
    <s v="3002 - GEOLOGIA, MINERACAO E TRANSFORMACAO MINERAL"/>
    <x v="748"/>
    <n v="92162.95"/>
    <n v="150330.82999999999"/>
    <n v="126034.29"/>
  </r>
  <r>
    <x v="4"/>
    <s v="2202 - DEFESA AGROPECUARIA"/>
    <x v="103"/>
    <n v="41687.51"/>
    <n v="56284.76"/>
    <n v="59093.73"/>
  </r>
  <r>
    <x v="4"/>
    <s v="1031 - AGROPECUARIA SUSTENTAVEL"/>
    <x v="723"/>
    <n v="4723812.51"/>
    <n v="4897341.37"/>
    <n v="3785861.99"/>
  </r>
  <r>
    <x v="4"/>
    <s v="2106 - PROGRAMA DE GESTAO E MANUTENCAO DO MINISTERIO DA CIENCIA, TECNOLOGIA, INOVACOES E COMUNICACOES"/>
    <x v="52"/>
    <n v="0"/>
    <n v="0"/>
    <n v="0"/>
  </r>
  <r>
    <x v="4"/>
    <s v="5021 - GESTAO E ORGANIZACAO DO SUS"/>
    <x v="326"/>
    <n v="1675784.85"/>
    <n v="1644284.85"/>
    <n v="0"/>
  </r>
  <r>
    <x v="4"/>
    <s v="2080 - EDUCACAO DE QUALIDADE PARA TODOS"/>
    <x v="1039"/>
    <n v="0"/>
    <n v="0"/>
    <n v="0"/>
  </r>
  <r>
    <x v="4"/>
    <s v="5019 - ATENCAO PRIMARIA A SAUDE"/>
    <x v="423"/>
    <n v="11059000"/>
    <n v="9875000"/>
    <n v="9875000"/>
  </r>
  <r>
    <x v="4"/>
    <s v="5032 - REDE DE SUPORTE SOCIAL AO DEPENDENTE QUIMICO: CUIDADOS,PREVENCAO E REINSERCAO SOCIAL"/>
    <x v="631"/>
    <n v="6570809.1200000001"/>
    <n v="20060339.27"/>
    <n v="20418315.34"/>
  </r>
  <r>
    <x v="4"/>
    <s v="6012 - DEFESA NACIONAL"/>
    <x v="739"/>
    <n v="4557214.8499999996"/>
    <n v="1142539.44"/>
    <n v="998409.73"/>
  </r>
  <r>
    <x v="4"/>
    <s v="1040 - GOVERNANCA FUNDIARIA"/>
    <x v="605"/>
    <n v="95413.35"/>
    <n v="108690.92"/>
    <n v="142767.69"/>
  </r>
  <r>
    <x v="4"/>
    <s v="1031 - AGROPECUARIA SUSTENTAVEL"/>
    <x v="291"/>
    <n v="395367.81"/>
    <n v="285831.40999999997"/>
    <n v="260028.89"/>
  </r>
  <r>
    <x v="4"/>
    <s v="5023 - VIGILANCIA EM SAUDE"/>
    <x v="207"/>
    <n v="272205006.88"/>
    <n v="532647873.18000001"/>
    <n v="722025202.17999995"/>
  </r>
  <r>
    <x v="4"/>
    <s v="6012 - DEFESA NACIONAL"/>
    <x v="551"/>
    <n v="1363453.99"/>
    <n v="311914.81"/>
    <n v="284593.51"/>
  </r>
  <r>
    <x v="4"/>
    <s v="2221 - RECURSOS HIDRICOS"/>
    <x v="615"/>
    <n v="269543.14"/>
    <n v="118099.41"/>
    <n v="209445.11"/>
  </r>
  <r>
    <x v="4"/>
    <s v="6012 - DEFESA NACIONAL"/>
    <x v="856"/>
    <n v="57663584.409999996"/>
    <n v="0"/>
    <n v="0"/>
  </r>
  <r>
    <x v="4"/>
    <s v="5016 - SEGURANCA PUBLICA, COMBATE A CORRUPCAO, AO CRIME ORGANIZADO E AO CRIME VIOLENTO"/>
    <x v="754"/>
    <n v="96448.05"/>
    <n v="0"/>
    <n v="0"/>
  </r>
  <r>
    <x v="4"/>
    <s v="3006 - TRANSPORTE TERRESTRE E TRANSITO"/>
    <x v="111"/>
    <n v="0"/>
    <n v="149943.25"/>
    <n v="149927.98000000001"/>
  </r>
  <r>
    <x v="4"/>
    <s v="6012 - DEFESA NACIONAL"/>
    <x v="521"/>
    <n v="6985405.9800000004"/>
    <n v="132328.39000000001"/>
    <n v="161646.49"/>
  </r>
  <r>
    <x v="4"/>
    <s v="5033 - SEGURANCA ALIMENTAR E NUTRICIONAL"/>
    <x v="564"/>
    <n v="0"/>
    <n v="0"/>
    <n v="0"/>
  </r>
  <r>
    <x v="4"/>
    <s v="6012 - DEFESA NACIONAL"/>
    <x v="561"/>
    <n v="3109016.35"/>
    <n v="707599.35999999999"/>
    <n v="683077.18"/>
  </r>
  <r>
    <x v="4"/>
    <s v="0032 - PROGRAMA DE GESTAO E MANUTENCAO DO PODER EXECUTIVO"/>
    <x v="489"/>
    <n v="202328866.06"/>
    <n v="91383124.370000005"/>
    <n v="97611798.219999999"/>
  </r>
  <r>
    <x v="4"/>
    <s v="0910 - OPERACOES ESPECIAIS: GESTAO DA PARTICIPACAO EM ORGANISMOS E ENTIDADES NACIONAIS E INTERNACIONAIS"/>
    <x v="693"/>
    <n v="935878.16"/>
    <n v="1077056.24"/>
    <n v="1287641.1299999999"/>
  </r>
  <r>
    <x v="4"/>
    <s v="5020 - DESENVOLVIMENTO CIENTIFICO, TECNOLOGICO E PRODUTIVO EM SAUDE"/>
    <x v="672"/>
    <n v="7752038.0599999996"/>
    <n v="3444843.18"/>
    <n v="3276589.04"/>
  </r>
  <r>
    <x v="4"/>
    <s v="5013 - EDUCACAO SUPERIOR - GRADUACAO, POS-GRADUACAO, ENSINO, PESQUISA E EXTENSAO"/>
    <x v="784"/>
    <n v="173772617.50999999"/>
    <n v="88069198.849999994"/>
    <n v="81106305.920000002"/>
  </r>
  <r>
    <x v="4"/>
    <s v="1040 - GOVERNANCA FUNDIARIA"/>
    <x v="585"/>
    <n v="516907.91"/>
    <n v="255427.93"/>
    <n v="240102.83"/>
  </r>
  <r>
    <x v="4"/>
    <s v="5020 - DESENVOLVIMENTO CIENTIFICO, TECNOLOGICO E PRODUTIVO EM SAUDE"/>
    <x v="441"/>
    <n v="0"/>
    <n v="0"/>
    <n v="0"/>
  </r>
  <r>
    <x v="4"/>
    <s v="0032 - PROGRAMA DE GESTAO E MANUTENCAO DO PODER EXECUTIVO"/>
    <x v="649"/>
    <n v="1071980.1200000001"/>
    <n v="2618333.81"/>
    <n v="1746194.32"/>
  </r>
  <r>
    <x v="4"/>
    <s v="6014 - PREVENCAO E CONTROLE DO DESMATAMENTO E DOS INCENDIOS NOS BIOMAS"/>
    <x v="624"/>
    <n v="2241637.66"/>
    <n v="1611359.07"/>
    <n v="1553811.8"/>
  </r>
  <r>
    <x v="4"/>
    <s v="0032 - PROGRAMA DE GESTAO E MANUTENCAO DO PODER EXECUTIVO"/>
    <x v="770"/>
    <n v="107249250.38"/>
    <n v="48969834.780000001"/>
    <n v="48049653.890000001"/>
  </r>
  <r>
    <x v="4"/>
    <s v="6014 - PREVENCAO E CONTROLE DO DESMATAMENTO E DOS INCENDIOS NOS BIOMAS"/>
    <x v="698"/>
    <n v="49270518.990000002"/>
    <n v="11652191.050000001"/>
    <n v="11138539.07"/>
  </r>
  <r>
    <x v="4"/>
    <s v="0032 - PROGRAMA DE GESTAO E MANUTENCAO DO PODER EXECUTIVO"/>
    <x v="588"/>
    <n v="1576824.1"/>
    <n v="289534.03999999998"/>
    <n v="352934.1"/>
  </r>
  <r>
    <x v="4"/>
    <s v="0032 - PROGRAMA DE GESTAO E MANUTENCAO DO PODER EXECUTIVO"/>
    <x v="609"/>
    <n v="46973334.649999999"/>
    <n v="74082600.370000005"/>
    <n v="66806526.369999997"/>
  </r>
  <r>
    <x v="4"/>
    <s v="3004 - AVIACAO CIVIL"/>
    <x v="379"/>
    <n v="33631958"/>
    <n v="5295973"/>
    <n v="5295973"/>
  </r>
  <r>
    <x v="4"/>
    <s v="5012 - EDUCACAO PROFISSIONAL E TECNOLOGICA"/>
    <x v="682"/>
    <n v="9117179.1699999999"/>
    <n v="6530046.7000000002"/>
    <n v="5940656.2800000003"/>
  </r>
  <r>
    <x v="4"/>
    <s v="2218 - GESTAO DE RISCOS E DE DESASTRES"/>
    <x v="716"/>
    <n v="683059.83"/>
    <n v="436577.05"/>
    <n v="388614.98"/>
  </r>
  <r>
    <x v="4"/>
    <s v="6012 - DEFESA NACIONAL"/>
    <x v="639"/>
    <n v="194487147.81999999"/>
    <n v="73838162.099999994"/>
    <n v="41676998.960000001"/>
  </r>
  <r>
    <x v="4"/>
    <s v="5014 - ESTATISTICAS E AVALIACOES EDUCACIONAIS"/>
    <x v="755"/>
    <n v="46068812.979999997"/>
    <n v="3975920.11"/>
    <n v="4097623.31"/>
  </r>
  <r>
    <x v="4"/>
    <s v="5022 - PROTECAO, PROMOCAO E RECUPERACAO DA SAUDE INDIGENA"/>
    <x v="692"/>
    <n v="88029215.480000004"/>
    <n v="242805257.56999999"/>
    <n v="238127150.69"/>
  </r>
  <r>
    <x v="4"/>
    <s v="3005 - TRANSPORTE AQUAVIARIO"/>
    <x v="367"/>
    <n v="26615285.239999998"/>
    <n v="348343.61"/>
    <n v="279353.51"/>
  </r>
  <r>
    <x v="4"/>
    <s v="6012 - DEFESA NACIONAL"/>
    <x v="637"/>
    <n v="1197587.23"/>
    <n v="240041.5"/>
    <n v="223661.41"/>
  </r>
  <r>
    <x v="4"/>
    <s v="5016 - SEGURANCA PUBLICA, COMBATE A CORRUPCAO, AO CRIME ORGANIZADO E AO CRIME VIOLENTO"/>
    <x v="516"/>
    <n v="16636809.609999999"/>
    <n v="1267412.1499999999"/>
    <n v="1125625.51"/>
  </r>
  <r>
    <x v="4"/>
    <s v="0032 - PROGRAMA DE GESTAO E MANUTENCAO DO PODER EXECUTIVO"/>
    <x v="795"/>
    <n v="21460759.93"/>
    <n v="2093315.11"/>
    <n v="1789691.66"/>
  </r>
  <r>
    <x v="4"/>
    <s v="6016 - EDUCACAO ESPECIAL"/>
    <x v="249"/>
    <n v="3002637.41"/>
    <n v="2463407.4900000002"/>
    <n v="2223028.58"/>
  </r>
  <r>
    <x v="4"/>
    <s v="0032 - PROGRAMA DE GESTAO E MANUTENCAO DO PODER EXECUTIVO"/>
    <x v="570"/>
    <n v="11770117.689999999"/>
    <n v="8640791.5399999991"/>
    <n v="8385771.7400000002"/>
  </r>
  <r>
    <x v="4"/>
    <s v="6012 - DEFESA NACIONAL"/>
    <x v="768"/>
    <n v="35171625.5"/>
    <n v="6696983.2699999996"/>
    <n v="4949750.54"/>
  </r>
  <r>
    <x v="4"/>
    <s v="2203 - PESQUISA E INOVACAO AGROPECUARIA"/>
    <x v="780"/>
    <n v="7215002.0099999998"/>
    <n v="278506.15999999997"/>
    <n v="278424.15000000002"/>
  </r>
  <r>
    <x v="4"/>
    <s v="0911 - OPERACOES ESPECIAIS - REMUNERACAO DE AGENTES FINANCEIROS"/>
    <x v="650"/>
    <n v="91471432.219999999"/>
    <n v="91611381.769999996"/>
    <n v="91639025.069999993"/>
  </r>
  <r>
    <x v="4"/>
    <s v="0032 - PROGRAMA DE GESTAO E MANUTENCAO DO PODER EXECUTIVO"/>
    <x v="422"/>
    <n v="323399.64"/>
    <n v="85038"/>
    <n v="77055.77"/>
  </r>
  <r>
    <x v="4"/>
    <s v="2216 - POLITICA EXTERNA"/>
    <x v="775"/>
    <n v="1086877.43"/>
    <n v="1109628.25"/>
    <n v="1108061.8"/>
  </r>
  <r>
    <x v="4"/>
    <s v="0032 - PROGRAMA DE GESTAO E MANUTENCAO DO PODER EXECUTIVO"/>
    <x v="644"/>
    <n v="5095566.03"/>
    <n v="2163600.2200000002"/>
    <n v="2019674.47"/>
  </r>
  <r>
    <x v="4"/>
    <s v="2216 - POLITICA EXTERNA"/>
    <x v="732"/>
    <n v="4845709.1900000004"/>
    <n v="4556153.5999999996"/>
    <n v="4548890.1399999997"/>
  </r>
  <r>
    <x v="4"/>
    <s v="5018 - ATENCAO ESPECIALIZADA A SAUDE"/>
    <x v="202"/>
    <n v="4823402.6100000003"/>
    <n v="8197948.1399999997"/>
    <n v="9484836.8100000005"/>
  </r>
  <r>
    <x v="4"/>
    <s v="2218 - GESTAO DE RISCOS E DE DESASTRES"/>
    <x v="786"/>
    <n v="90443176.769999996"/>
    <n v="74254760.219999999"/>
    <n v="78780109.950000003"/>
  </r>
  <r>
    <x v="4"/>
    <s v="5013 - EDUCACAO SUPERIOR - GRADUACAO, POS-GRADUACAO, ENSINO, PESQUISA E EXTENSAO"/>
    <x v="798"/>
    <n v="40834699.32"/>
    <n v="31171084.52"/>
    <n v="26782787.760000002"/>
  </r>
  <r>
    <x v="4"/>
    <s v="0032 - PROGRAMA DE GESTAO E MANUTENCAO DO PODER EXECUTIVO"/>
    <x v="760"/>
    <n v="8139661.1100000003"/>
    <n v="7023679.0499999998"/>
    <n v="6970075.5300000003"/>
  </r>
  <r>
    <x v="4"/>
    <s v="1040 - GOVERNANCA FUNDIARIA"/>
    <x v="231"/>
    <n v="585428.31999999995"/>
    <n v="540303.81000000006"/>
    <n v="1519141.69"/>
  </r>
  <r>
    <x v="4"/>
    <s v="2216 - POLITICA EXTERNA"/>
    <x v="781"/>
    <n v="130762545.58"/>
    <n v="152285757.94999999"/>
    <n v="153373874.03"/>
  </r>
  <r>
    <x v="4"/>
    <s v="5013 - EDUCACAO SUPERIOR - GRADUACAO, POS-GRADUACAO, ENSINO, PESQUISA E EXTENSAO"/>
    <x v="769"/>
    <n v="581199774.78999996"/>
    <n v="340854095.99000001"/>
    <n v="330720264.74000001"/>
  </r>
  <r>
    <x v="4"/>
    <s v="0909 - OPERACOES ESPECIAIS: OUTROS ENCARGOS ESPECIAIS"/>
    <x v="766"/>
    <n v="-72363756.680000007"/>
    <n v="91912422.450000003"/>
    <n v="75575668.530000001"/>
  </r>
  <r>
    <x v="4"/>
    <s v="0032 - PROGRAMA DE GESTAO E MANUTENCAO DO PODER EXECUTIVO"/>
    <x v="599"/>
    <n v="85166300.010000005"/>
    <n v="3370111.05"/>
    <n v="1512010.41"/>
  </r>
  <r>
    <x v="4"/>
    <s v="2207 - PROGRAMA ESPACIAL BRASILEIRO"/>
    <x v="39"/>
    <n v="3997215.23"/>
    <n v="0"/>
    <n v="0"/>
  </r>
  <r>
    <x v="4"/>
    <s v="4003 - GARANTIA DA ESTABILIDADE MONETARIA E FINANCEIRA"/>
    <x v="728"/>
    <n v="98662434.920000002"/>
    <n v="16732484.439999999"/>
    <n v="12624305.779999999"/>
  </r>
  <r>
    <x v="4"/>
    <s v="5025 - CULTURA"/>
    <x v="524"/>
    <n v="0"/>
    <n v="0"/>
    <n v="0"/>
  </r>
  <r>
    <x v="4"/>
    <s v="5015 - JUSTICA"/>
    <x v="317"/>
    <n v="83988.4"/>
    <n v="392856.31"/>
    <n v="389970.92"/>
  </r>
  <r>
    <x v="4"/>
    <s v="5021 - GESTAO E ORGANIZACAO DO SUS"/>
    <x v="480"/>
    <n v="13500"/>
    <n v="64031.88"/>
    <n v="62268.72"/>
  </r>
  <r>
    <x v="4"/>
    <s v="0032 - PROGRAMA DE GESTAO E MANUTENCAO DO PODER EXECUTIVO"/>
    <x v="782"/>
    <n v="2351943203.1399999"/>
    <n v="7800120652.0900002"/>
    <n v="6772224356.3699999"/>
  </r>
  <r>
    <x v="4"/>
    <s v="5011 - EDUCACAO BASICA DE QUALIDADE"/>
    <x v="747"/>
    <n v="14035123.23"/>
    <n v="4159519.72"/>
    <n v="4029736.56"/>
  </r>
  <r>
    <x v="4"/>
    <s v="5012 - EDUCACAO PROFISSIONAL E TECNOLOGICA"/>
    <x v="454"/>
    <n v="115742338.48"/>
    <n v="48678627.25"/>
    <n v="41005933.210000001"/>
  </r>
  <r>
    <x v="4"/>
    <s v="5031 - PROTECAO SOCIAL NO AMBITO DO SISTEMA UNICO DE ASSISTENCIA SOCIAL (SUAS)"/>
    <x v="307"/>
    <n v="56988701.75"/>
    <n v="58013701.75"/>
    <n v="57443324.270000003"/>
  </r>
  <r>
    <x v="4"/>
    <s v="2202 - DEFESA AGROPECUARIA"/>
    <x v="720"/>
    <n v="800742.15"/>
    <n v="726757.95"/>
    <n v="905996.06"/>
  </r>
  <r>
    <x v="4"/>
    <s v="6012 - DEFESA NACIONAL"/>
    <x v="25"/>
    <n v="32120545.210000001"/>
    <n v="6444716.8600000003"/>
    <n v="5004536.53"/>
  </r>
  <r>
    <x v="4"/>
    <s v="5013 - EDUCACAO SUPERIOR - GRADUACAO, POS-GRADUACAO, ENSINO, PESQUISA E EXTENSAO"/>
    <x v="129"/>
    <n v="51574655.880000003"/>
    <n v="15536599.91"/>
    <n v="23965451.510000002"/>
  </r>
  <r>
    <x v="4"/>
    <s v="5012 - EDUCACAO PROFISSIONAL E TECNOLOGICA"/>
    <x v="365"/>
    <n v="320503679.77999997"/>
    <n v="147947069.66999999"/>
    <n v="137777600.56999999"/>
  </r>
  <r>
    <x v="4"/>
    <s v="1031 - AGROPECUARIA SUSTENTAVEL"/>
    <x v="1054"/>
    <n v="0"/>
    <n v="228822.34"/>
    <n v="228822.34"/>
  </r>
  <r>
    <x v="4"/>
    <s v="0910 - OPERACOES ESPECIAIS: GESTAO DA PARTICIPACAO EM ORGANISMOS E ENTIDADES NACIONAIS E INTERNACIONAIS"/>
    <x v="369"/>
    <n v="9282003.6999999993"/>
    <n v="8677929.8800000008"/>
    <n v="7992664.0499999998"/>
  </r>
  <r>
    <x v="4"/>
    <s v="6012 - DEFESA NACIONAL"/>
    <x v="788"/>
    <n v="25465588.670000002"/>
    <n v="33995915.770000003"/>
    <n v="35187360.43"/>
  </r>
  <r>
    <x v="4"/>
    <s v="0032 - PROGRAMA DE GESTAO E MANUTENCAO DO PODER EXECUTIVO"/>
    <x v="40"/>
    <n v="6544257.04"/>
    <n v="3631314"/>
    <n v="3013512.83"/>
  </r>
  <r>
    <x v="4"/>
    <s v="0032 - PROGRAMA DE GESTAO E MANUTENCAO DO PODER EXECUTIVO"/>
    <x v="709"/>
    <n v="4267893.9400000004"/>
    <n v="2182041.2599999998"/>
    <n v="1892798.01"/>
  </r>
  <r>
    <x v="4"/>
    <s v="6012 - DEFESA NACIONAL"/>
    <x v="761"/>
    <n v="4936741.2699999996"/>
    <n v="3215660.38"/>
    <n v="3317538.16"/>
  </r>
  <r>
    <x v="4"/>
    <s v="5013 - EDUCACAO SUPERIOR - GRADUACAO, POS-GRADUACAO, ENSINO, PESQUISA E EXTENSAO"/>
    <x v="396"/>
    <n v="78766357.640000001"/>
    <n v="267750744.44"/>
    <n v="274782062.81"/>
  </r>
  <r>
    <x v="4"/>
    <s v="6012 - DEFESA NACIONAL"/>
    <x v="773"/>
    <n v="11759694.460000001"/>
    <n v="3889539.07"/>
    <n v="3891408.19"/>
  </r>
  <r>
    <x v="4"/>
    <s v="2202 - DEFESA AGROPECUARIA"/>
    <x v="697"/>
    <n v="5387892.5899999999"/>
    <n v="617151.5"/>
    <n v="634036.38"/>
  </r>
  <r>
    <x v="4"/>
    <s v="1031 - AGROPECUARIA SUSTENTAVEL"/>
    <x v="756"/>
    <n v="125099.32"/>
    <n v="309087.33"/>
    <n v="342722"/>
  </r>
  <r>
    <x v="4"/>
    <s v="0032 - PROGRAMA DE GESTAO E MANUTENCAO DO PODER EXECUTIVO"/>
    <x v="791"/>
    <n v="3224342940.1399999"/>
    <n v="6003415074.5600004"/>
    <n v="5370957794.9799995"/>
  </r>
  <r>
    <x v="4"/>
    <s v="0032 - PROGRAMA DE GESTAO E MANUTENCAO DO PODER EXECUTIVO"/>
    <x v="481"/>
    <n v="30296733.91"/>
    <n v="9781176.6799999997"/>
    <n v="9712863.4100000001"/>
  </r>
  <r>
    <x v="4"/>
    <s v="6012 - DEFESA NACIONAL"/>
    <x v="736"/>
    <n v="3651441.09"/>
    <n v="1786528.52"/>
    <n v="1341027.52"/>
  </r>
  <r>
    <x v="4"/>
    <s v="0032 - PROGRAMA DE GESTAO E MANUTENCAO DO PODER EXECUTIVO"/>
    <x v="114"/>
    <n v="449955136.98000002"/>
    <n v="540307299.02999997"/>
    <n v="519319904.69999999"/>
  </r>
  <r>
    <x v="4"/>
    <s v="0032 - PROGRAMA DE GESTAO E MANUTENCAO DO PODER EXECUTIVO"/>
    <x v="52"/>
    <n v="1709840944.27"/>
    <n v="719949354.73000002"/>
    <n v="743717031.82000005"/>
  </r>
  <r>
    <x v="4"/>
    <s v="5026 - ESPORTE"/>
    <x v="248"/>
    <n v="9185236.3000000007"/>
    <n v="8059892.21"/>
    <n v="8025546.3899999997"/>
  </r>
  <r>
    <x v="4"/>
    <s v="6011 - COOPERACAO COM O DESENVOLVIMENTO NACIONAL"/>
    <x v="733"/>
    <n v="52121231.68"/>
    <n v="16559657.949999999"/>
    <n v="18134576.309999999"/>
  </r>
  <r>
    <x v="4"/>
    <s v="0032 - PROGRAMA DE GESTAO E MANUTENCAO DO PODER EXECUTIVO"/>
    <x v="796"/>
    <n v="425103415.19"/>
    <n v="771156680.63"/>
    <n v="703799610.08000004"/>
  </r>
  <r>
    <x v="4"/>
    <s v="5013 - EDUCACAO SUPERIOR - GRADUACAO, POS-GRADUACAO, ENSINO, PESQUISA E EXTENSAO"/>
    <x v="762"/>
    <n v="48271412.5"/>
    <n v="56344779.07"/>
    <n v="54191338.170000002"/>
  </r>
  <r>
    <x v="4"/>
    <s v="5023 - VIGILANCIA EM SAUDE"/>
    <x v="234"/>
    <n v="4292039"/>
    <n v="9416561.1300000008"/>
    <n v="7334619.1299999999"/>
  </r>
  <r>
    <x v="4"/>
    <s v="5011 - EDUCACAO BASICA DE QUALIDADE"/>
    <x v="188"/>
    <n v="64685659.090000004"/>
    <n v="546382149.19000006"/>
    <n v="546240677.16999996"/>
  </r>
  <r>
    <x v="4"/>
    <s v="1041 - CONSERVACAO E USO SUSTENTAVEL DA BIODIVERSIDADE E DOS RECURSOS NATURAIS"/>
    <x v="568"/>
    <n v="1451904.95"/>
    <n v="441087.94"/>
    <n v="387429.43"/>
  </r>
  <r>
    <x v="4"/>
    <s v="5012 - EDUCACAO PROFISSIONAL E TECNOLOGICA"/>
    <x v="759"/>
    <n v="6417949.4100000001"/>
    <n v="2223742.7200000002"/>
    <n v="1853979.08"/>
  </r>
  <r>
    <x v="4"/>
    <s v="0032 - PROGRAMA DE GESTAO E MANUTENCAO DO PODER EXECUTIVO"/>
    <x v="628"/>
    <n v="586205357.67999995"/>
    <n v="1269522191.79"/>
    <n v="1272591420.6700001"/>
  </r>
  <r>
    <x v="4"/>
    <s v="5012 - EDUCACAO PROFISSIONAL E TECNOLOGICA"/>
    <x v="526"/>
    <n v="0"/>
    <n v="0"/>
    <n v="0"/>
  </r>
  <r>
    <x v="4"/>
    <s v="2222 - SANEAMENTO BASICO"/>
    <x v="42"/>
    <n v="-18295.12"/>
    <n v="0"/>
    <n v="0"/>
  </r>
  <r>
    <x v="4"/>
    <s v="6012 - DEFESA NACIONAL"/>
    <x v="758"/>
    <n v="25498509.09"/>
    <n v="7381973.8799999999"/>
    <n v="7610259.5099999998"/>
  </r>
  <r>
    <x v="4"/>
    <s v="6012 - DEFESA NACIONAL"/>
    <x v="787"/>
    <n v="154151062.41"/>
    <n v="70759042.299999997"/>
    <n v="46895595.030000001"/>
  </r>
  <r>
    <x v="4"/>
    <s v="5013 - EDUCACAO SUPERIOR - GRADUACAO, POS-GRADUACAO, ENSINO, PESQUISA E EXTENSAO"/>
    <x v="793"/>
    <n v="71715517.920000002"/>
    <n v="69590747.180000007"/>
    <n v="72536381.060000002"/>
  </r>
  <r>
    <x v="5"/>
    <s v="2217 - DESENVOLVIMENTO REGIONAL, TERRITORIAL E URBANO"/>
    <x v="1027"/>
    <n v="0"/>
    <n v="0"/>
    <n v="0"/>
  </r>
  <r>
    <x v="5"/>
    <s v="2221 - RECURSOS HIDRICOS"/>
    <x v="880"/>
    <n v="0"/>
    <n v="0"/>
    <n v="0"/>
  </r>
  <r>
    <x v="5"/>
    <s v="2205 - CONECTA BRASIL"/>
    <x v="34"/>
    <n v="0"/>
    <n v="0"/>
    <n v="0"/>
  </r>
  <r>
    <x v="5"/>
    <s v="2205 - CONECTA BRASIL"/>
    <x v="250"/>
    <n v="822837.19"/>
    <n v="1045546.04"/>
    <n v="977214.21"/>
  </r>
  <r>
    <x v="5"/>
    <s v="2069 - SEGURANCA ALIMENTAR E NUTRICIONAL"/>
    <x v="880"/>
    <n v="0"/>
    <n v="0"/>
    <n v="0"/>
  </r>
  <r>
    <x v="5"/>
    <s v="5025 - CULTURA"/>
    <x v="1011"/>
    <n v="49533938"/>
    <n v="37740302"/>
    <n v="0"/>
  </r>
  <r>
    <x v="5"/>
    <s v="2217 - DESENVOLVIMENTO REGIONAL, TERRITORIAL E URBANO"/>
    <x v="282"/>
    <n v="1000000"/>
    <n v="0"/>
    <n v="0"/>
  </r>
  <r>
    <x v="5"/>
    <s v="0903 - OPERACOES ESPECIAIS: TRANSFERENCIAS CONSTITUCIONAIS E AS DECORRENTES DE LEGISLACAO ESPECIFICA"/>
    <x v="233"/>
    <n v="0"/>
    <n v="1438511064.1400001"/>
    <n v="1438511064.1400001"/>
  </r>
  <r>
    <x v="5"/>
    <s v="3006 - TRANSPORTE TERRESTRE E TRANSITO"/>
    <x v="893"/>
    <n v="3101503"/>
    <n v="0"/>
    <n v="0"/>
  </r>
  <r>
    <x v="5"/>
    <s v="3002 - GEOLOGIA, MINERACAO E TRANSFORMACAO MINERAL"/>
    <x v="830"/>
    <n v="0"/>
    <n v="1404.52"/>
    <n v="1896.91"/>
  </r>
  <r>
    <x v="5"/>
    <s v="2219 - MOBILIDADE URBANA"/>
    <x v="456"/>
    <n v="78589387.150000006"/>
    <n v="0"/>
    <n v="0"/>
  </r>
  <r>
    <x v="5"/>
    <s v="5035 - PROMOCAO DE CIDADANIA POR MEIO DO AUXILIO BRASIL E DA ARTICULACAO DE POLITICAS PUBLICAS"/>
    <x v="462"/>
    <n v="0"/>
    <n v="749928.36"/>
    <n v="749928.36"/>
  </r>
  <r>
    <x v="5"/>
    <s v="2212 - MELHORIA DO AMBIENTE DE NEGOCIOS E DA PRODUTIVIDADE"/>
    <x v="168"/>
    <n v="0"/>
    <n v="0"/>
    <n v="0"/>
  </r>
  <r>
    <x v="5"/>
    <s v="2015 - FORTALECIMENTO DO SISTEMA UNICO DE SAUDE (SUS)"/>
    <x v="479"/>
    <n v="0"/>
    <n v="0"/>
    <n v="0"/>
  </r>
  <r>
    <x v="5"/>
    <s v="5028 - INCLUSAO SOCIAL POR MEIO DO BOLSA FAMILIA E DA ARTICULACAO DE POLITICAS PUBLICAS"/>
    <x v="227"/>
    <n v="0"/>
    <n v="0"/>
    <n v="0"/>
  </r>
  <r>
    <x v="5"/>
    <s v="0910 - OPERACOES ESPECIAIS: GESTAO DA PARTICIPACAO EM ORGANISMOS E ENTIDADES NACIONAIS E INTERNACIONAIS"/>
    <x v="1106"/>
    <n v="1367990"/>
    <n v="0"/>
    <n v="0"/>
  </r>
  <r>
    <x v="5"/>
    <s v="2081 - JUSTICA, CIDADANIA E SEGURANCA PUBLICA"/>
    <x v="958"/>
    <n v="0"/>
    <n v="0"/>
    <n v="0"/>
  </r>
  <r>
    <x v="5"/>
    <s v="2220 - MORADIA DIGNA"/>
    <x v="1110"/>
    <n v="515000000"/>
    <n v="0"/>
    <n v="0"/>
  </r>
  <r>
    <x v="5"/>
    <s v="5017 - ASSISTENCIA FARMACEUTICA NO SUS"/>
    <x v="735"/>
    <n v="28821644.600000001"/>
    <n v="61221789.600000001"/>
    <n v="62108876.350000001"/>
  </r>
  <r>
    <x v="5"/>
    <s v="3006 - TRANSPORTE TERRESTRE E TRANSITO"/>
    <x v="827"/>
    <n v="0"/>
    <n v="0"/>
    <n v="13590.85"/>
  </r>
  <r>
    <x v="5"/>
    <s v="2221 - RECURSOS HIDRICOS"/>
    <x v="167"/>
    <n v="50000"/>
    <n v="4181356.94"/>
    <n v="3635274.58"/>
  </r>
  <r>
    <x v="5"/>
    <s v="2030 - EDUCACAO BASICA"/>
    <x v="1039"/>
    <n v="0"/>
    <n v="0"/>
    <n v="0"/>
  </r>
  <r>
    <x v="5"/>
    <s v="5035 - PROMOCAO DE CIDADANIA POR MEIO DO AUXILIO BRASIL E DA ARTICULACAO DE POLITICAS PUBLICAS"/>
    <x v="1033"/>
    <n v="54792.13"/>
    <n v="51157407.390000001"/>
    <n v="51157407.390000001"/>
  </r>
  <r>
    <x v="5"/>
    <s v="2035 - ESPORTE, CIDADANIA E DESENVOLVIMENTO"/>
    <x v="1111"/>
    <n v="0"/>
    <n v="0"/>
    <n v="0"/>
  </r>
  <r>
    <x v="5"/>
    <s v="2015 - FORTALECIMENTO DO SISTEMA UNICO DE SAUDE (SUS)"/>
    <x v="866"/>
    <n v="0"/>
    <n v="0"/>
    <n v="0"/>
  </r>
  <r>
    <x v="5"/>
    <s v="5021 - GESTAO E ORGANIZACAO DO SUS"/>
    <x v="165"/>
    <n v="3381089.36"/>
    <n v="6060621.6699999999"/>
    <n v="4413659.59"/>
  </r>
  <r>
    <x v="5"/>
    <s v="2212 - MELHORIA DO AMBIENTE DE NEGOCIOS E DA PRODUTIVIDADE"/>
    <x v="50"/>
    <n v="345915"/>
    <n v="0"/>
    <n v="0"/>
  </r>
  <r>
    <x v="5"/>
    <s v="3006 - TRANSPORTE TERRESTRE E TRANSITO"/>
    <x v="522"/>
    <n v="0"/>
    <n v="10181.92"/>
    <n v="10181.92"/>
  </r>
  <r>
    <x v="5"/>
    <s v="5013 - EDUCACAO SUPERIOR - GRADUACAO, POS-GRADUACAO, ENSINO, PESQUISA E EXTENSAO"/>
    <x v="163"/>
    <n v="0"/>
    <n v="13089395.359999999"/>
    <n v="13089395.359999999"/>
  </r>
  <r>
    <x v="5"/>
    <s v="3006 - TRANSPORTE TERRESTRE E TRANSITO"/>
    <x v="140"/>
    <n v="0"/>
    <n v="0"/>
    <n v="0"/>
  </r>
  <r>
    <x v="5"/>
    <s v="0913 - OPERACOES ESPECIAIS - INTEGRALIZACAO DE COTAS EM ORGANISMOS FINANCEIROS INTERNACIONAIS"/>
    <x v="1018"/>
    <n v="-5206000"/>
    <n v="0"/>
    <n v="0"/>
  </r>
  <r>
    <x v="5"/>
    <s v="0909 - OPERACOES ESPECIAIS: OUTROS ENCARGOS ESPECIAIS"/>
    <x v="306"/>
    <n v="1460202719"/>
    <n v="960931840"/>
    <n v="960931840"/>
  </r>
  <r>
    <x v="5"/>
    <s v="1031 - AGROPECUARIA SUSTENTAVEL"/>
    <x v="614"/>
    <n v="0"/>
    <n v="0"/>
    <n v="0"/>
  </r>
  <r>
    <x v="5"/>
    <s v="3006 - TRANSPORTE TERRESTRE E TRANSITO"/>
    <x v="7"/>
    <n v="0"/>
    <n v="0"/>
    <n v="0"/>
  </r>
  <r>
    <x v="5"/>
    <s v="2208 - TECNOLOGIAS APLICADAS, INOVACAO E DESENVOLVIMENTO SUSTENTAVEL"/>
    <x v="218"/>
    <n v="34487344.509999998"/>
    <n v="11883242.210000001"/>
    <n v="11865959.880000001"/>
  </r>
  <r>
    <x v="5"/>
    <s v="5026 - ESPORTE"/>
    <x v="1112"/>
    <n v="0"/>
    <n v="0"/>
    <n v="0"/>
  </r>
  <r>
    <x v="5"/>
    <s v="0903 - OPERACOES ESPECIAIS: TRANSFERENCIAS CONSTITUCIONAIS E AS DECORRENTES DE LEGISLACAO ESPECIFICA"/>
    <x v="380"/>
    <n v="0"/>
    <n v="3999395.2"/>
    <n v="3999395.2"/>
  </r>
  <r>
    <x v="5"/>
    <s v="2212 - MELHORIA DO AMBIENTE DE NEGOCIOS E DA PRODUTIVIDADE"/>
    <x v="37"/>
    <n v="0"/>
    <n v="0"/>
    <n v="37602.03"/>
  </r>
  <r>
    <x v="5"/>
    <s v="3006 - TRANSPORTE TERRESTRE E TRANSITO"/>
    <x v="133"/>
    <n v="0"/>
    <n v="0"/>
    <n v="0"/>
  </r>
  <r>
    <x v="5"/>
    <s v="2111 - PROGRAMA DE GESTAO E MANUTENCAO DO MINISTERIO DO DESENVOLVIMENTO REGIONAL"/>
    <x v="52"/>
    <n v="0"/>
    <n v="0"/>
    <n v="0"/>
  </r>
  <r>
    <x v="5"/>
    <s v="3005 - TRANSPORTE AQUAVIARIO"/>
    <x v="890"/>
    <n v="53121745.450000003"/>
    <n v="78852472.310000002"/>
    <n v="78852472.310000002"/>
  </r>
  <r>
    <x v="5"/>
    <s v="2016 - POLITICAS PARA AS MULHERES: PROMOCAO DA IGUALDADE E ENFRENTAMENTO A VIOLENCIA"/>
    <x v="1113"/>
    <n v="0"/>
    <n v="0"/>
    <n v="0"/>
  </r>
  <r>
    <x v="5"/>
    <s v="5034 - PROTECAO A VIDA, FORTALECIMENTO DA FAMILIA, PROMOCAO E DEFESA DOS DIREITOS HUMANOS PARA TODOS"/>
    <x v="455"/>
    <n v="0"/>
    <n v="0"/>
    <n v="0"/>
  </r>
  <r>
    <x v="5"/>
    <s v="1031 - AGROPECUARIA SUSTENTAVEL"/>
    <x v="294"/>
    <n v="50331182.729999997"/>
    <n v="55759675.759999998"/>
    <n v="6050737.5099999998"/>
  </r>
  <r>
    <x v="5"/>
    <s v="5029 - PRODUCAO DE DADOS E CONHECIMENTO PARA O APRIMORAMENTO DE POLITICAS PUBLICAS"/>
    <x v="265"/>
    <n v="0"/>
    <n v="1797180.33"/>
    <n v="1766315.08"/>
  </r>
  <r>
    <x v="5"/>
    <s v="3006 - TRANSPORTE TERRESTRE E TRANSITO"/>
    <x v="1099"/>
    <n v="0"/>
    <n v="0"/>
    <n v="0"/>
  </r>
  <r>
    <x v="5"/>
    <s v="3001 - ENERGIA ELETRICA"/>
    <x v="581"/>
    <n v="7768562.4500000002"/>
    <n v="1223085.6200000001"/>
    <n v="1221474.82"/>
  </r>
  <r>
    <x v="5"/>
    <s v="2084 - RECURSOS HIDRICOS"/>
    <x v="167"/>
    <n v="0"/>
    <n v="0"/>
    <n v="0"/>
  </r>
  <r>
    <x v="5"/>
    <s v="3001 - ENERGIA ELETRICA"/>
    <x v="240"/>
    <n v="-390165.04"/>
    <n v="3299865.52"/>
    <n v="2709831.85"/>
  </r>
  <r>
    <x v="5"/>
    <s v="2047 - SIMPLIFICACAO DA VIDA DA EMPRESA E DO CIDADAO: BEM MAISSIMPLES BRASIL"/>
    <x v="50"/>
    <n v="0"/>
    <n v="0"/>
    <n v="0"/>
  </r>
  <r>
    <x v="5"/>
    <s v="5020 - DESENVOLVIMENTO CIENTIFICO, TECNOLOGICO E PRODUTIVO EM SAUDE"/>
    <x v="909"/>
    <n v="0"/>
    <n v="1269290.5"/>
    <n v="0"/>
  </r>
  <r>
    <x v="5"/>
    <s v="0032 - PROGRAMA DE GESTAO E MANUTENCAO DO PODER EXECUTIVO"/>
    <x v="731"/>
    <n v="0"/>
    <n v="0"/>
    <n v="0"/>
  </r>
  <r>
    <x v="5"/>
    <s v="3006 - TRANSPORTE TERRESTRE E TRANSITO"/>
    <x v="263"/>
    <n v="0"/>
    <n v="0"/>
    <n v="0"/>
  </r>
  <r>
    <x v="5"/>
    <s v="5027 - INCLUSAO PRODUTIVA DE PESSOAS EM SITUACAO DE VULNERABILIDADE SOCIAL"/>
    <x v="895"/>
    <n v="400000"/>
    <n v="0"/>
    <n v="0"/>
  </r>
  <r>
    <x v="5"/>
    <s v="2030 - EDUCACAO BASICA"/>
    <x v="865"/>
    <n v="0"/>
    <n v="0"/>
    <n v="0"/>
  </r>
  <r>
    <x v="5"/>
    <s v="2216 - POLITICA EXTERNA"/>
    <x v="289"/>
    <n v="233163.9"/>
    <n v="514553.84"/>
    <n v="547091.26"/>
  </r>
  <r>
    <x v="5"/>
    <s v="5033 - SEGURANCA ALIMENTAR E NUTRICIONAL"/>
    <x v="325"/>
    <n v="0"/>
    <n v="0"/>
    <n v="0"/>
  </r>
  <r>
    <x v="5"/>
    <s v="3006 - TRANSPORTE TERRESTRE E TRANSITO"/>
    <x v="964"/>
    <n v="0"/>
    <n v="0"/>
    <n v="0"/>
  </r>
  <r>
    <x v="5"/>
    <s v="2084 - RECURSOS HIDRICOS"/>
    <x v="327"/>
    <n v="0"/>
    <n v="0"/>
    <n v="0"/>
  </r>
  <r>
    <x v="5"/>
    <s v="2211 - INSERCAO ECONOMICA INTERNACIONAL"/>
    <x v="158"/>
    <n v="0"/>
    <n v="50820467.439999998"/>
    <n v="50820467.439999998"/>
  </r>
  <r>
    <x v="5"/>
    <s v="3006 - TRANSPORTE TERRESTRE E TRANSITO"/>
    <x v="1114"/>
    <n v="6662672"/>
    <n v="0"/>
    <n v="0"/>
  </r>
  <r>
    <x v="5"/>
    <s v="2217 - DESENVOLVIMENTO REGIONAL, TERRITORIAL E URBANO"/>
    <x v="959"/>
    <n v="0"/>
    <n v="0"/>
    <n v="0"/>
  </r>
  <r>
    <x v="5"/>
    <s v="0910 - OPERACOES ESPECIAIS: GESTAO DA PARTICIPACAO EM ORGANISMOS E ENTIDADES NACIONAIS E INTERNACIONAIS"/>
    <x v="1115"/>
    <n v="0"/>
    <n v="0"/>
    <n v="0"/>
  </r>
  <r>
    <x v="5"/>
    <s v="3006 - TRANSPORTE TERRESTRE E TRANSITO"/>
    <x v="914"/>
    <n v="5300000"/>
    <n v="0"/>
    <n v="0"/>
  </r>
  <r>
    <x v="5"/>
    <s v="2081 - JUSTICA, CIDADANIA E SEGURANCA PUBLICA"/>
    <x v="1116"/>
    <n v="0"/>
    <n v="0"/>
    <n v="0"/>
  </r>
  <r>
    <x v="5"/>
    <s v="2218 - GESTAO DE RISCOS E DE DESASTRES"/>
    <x v="1075"/>
    <n v="229256860.27000001"/>
    <n v="1659650.7"/>
    <n v="1659650.7"/>
  </r>
  <r>
    <x v="5"/>
    <s v="3004 - AVIACAO CIVIL"/>
    <x v="1117"/>
    <n v="10872990.220000001"/>
    <n v="0"/>
    <n v="0"/>
  </r>
  <r>
    <x v="5"/>
    <s v="0032 - PROGRAMA DE GESTAO E MANUTENCAO DO PODER EXECUTIVO"/>
    <x v="946"/>
    <n v="-2391601.31"/>
    <n v="-2391601.31"/>
    <n v="-2391601.31"/>
  </r>
  <r>
    <x v="5"/>
    <s v="2215 - POLITICA ECONOMICA E EQUILIBRIO FISCAL"/>
    <x v="101"/>
    <n v="290751.96999999997"/>
    <n v="460010.51"/>
    <n v="365889.39"/>
  </r>
  <r>
    <x v="5"/>
    <s v="3006 - TRANSPORTE TERRESTRE E TRANSITO"/>
    <x v="68"/>
    <n v="0"/>
    <n v="0"/>
    <n v="0"/>
  </r>
  <r>
    <x v="5"/>
    <s v="3004 - AVIACAO CIVIL"/>
    <x v="813"/>
    <n v="-2436000"/>
    <n v="0"/>
    <n v="0"/>
  </r>
  <r>
    <x v="5"/>
    <s v="2035 - ESPORTE, CIDADANIA E DESENVOLVIMENTO"/>
    <x v="1112"/>
    <n v="0"/>
    <n v="0"/>
    <n v="0"/>
  </r>
  <r>
    <x v="5"/>
    <s v="2205 - CONECTA BRASIL"/>
    <x v="861"/>
    <n v="3023622.58"/>
    <n v="3023622.58"/>
    <n v="3023622.58"/>
  </r>
  <r>
    <x v="5"/>
    <s v="5026 - ESPORTE"/>
    <x v="633"/>
    <n v="0"/>
    <n v="0"/>
    <n v="0"/>
  </r>
  <r>
    <x v="5"/>
    <s v="2213 - MODERNIZACAO TRABALHISTA E TRABALHO DIGNO"/>
    <x v="159"/>
    <n v="29712.95"/>
    <n v="16563.57"/>
    <n v="18099.77"/>
  </r>
  <r>
    <x v="5"/>
    <s v="1031 - AGROPECUARIA SUSTENTAVEL"/>
    <x v="899"/>
    <n v="0"/>
    <n v="13348.6"/>
    <n v="13348.6"/>
  </r>
  <r>
    <x v="5"/>
    <s v="3006 - TRANSPORTE TERRESTRE E TRANSITO"/>
    <x v="69"/>
    <n v="0"/>
    <n v="15582947.35"/>
    <n v="17993248.34"/>
  </r>
  <r>
    <x v="5"/>
    <s v="2015 - FORTALECIMENTO DO SISTEMA UNICO DE SAUDE (SUS)"/>
    <x v="771"/>
    <n v="0"/>
    <n v="0"/>
    <n v="0"/>
  </r>
  <r>
    <x v="5"/>
    <s v="0909 - OPERACOES ESPECIAIS: OUTROS ENCARGOS ESPECIAIS"/>
    <x v="104"/>
    <n v="47681671.700000003"/>
    <n v="47681671.700000003"/>
    <n v="47681671.700000003"/>
  </r>
  <r>
    <x v="5"/>
    <s v="5028 - INCLUSAO SOCIAL POR MEIO DO BOLSA FAMILIA E DA ARTICULACAO DE POLITICAS PUBLICAS"/>
    <x v="228"/>
    <n v="0"/>
    <n v="0"/>
    <n v="0"/>
  </r>
  <r>
    <x v="5"/>
    <s v="0032 - PROGRAMA DE GESTAO E MANUTENCAO DO PODER EXECUTIVO"/>
    <x v="143"/>
    <n v="0"/>
    <n v="0"/>
    <n v="0"/>
  </r>
  <r>
    <x v="5"/>
    <s v="2204 - BRASIL NA FRONTEIRA DO CONHECIMENTO"/>
    <x v="1029"/>
    <n v="112922901"/>
    <n v="113986277"/>
    <n v="113986277"/>
  </r>
  <r>
    <x v="5"/>
    <s v="3006 - TRANSPORTE TERRESTRE E TRANSITO"/>
    <x v="310"/>
    <n v="0"/>
    <n v="13960610.800000001"/>
    <n v="15280610.810000001"/>
  </r>
  <r>
    <x v="5"/>
    <s v="3006 - TRANSPORTE TERRESTRE E TRANSITO"/>
    <x v="242"/>
    <n v="0"/>
    <n v="0"/>
    <n v="0"/>
  </r>
  <r>
    <x v="5"/>
    <s v="2204 - BRASIL NA FRONTEIRA DO CONHECIMENTO"/>
    <x v="519"/>
    <n v="-5529.49"/>
    <n v="13086.83"/>
    <n v="-5529.49"/>
  </r>
  <r>
    <x v="5"/>
    <s v="2222 - SANEAMENTO BASICO"/>
    <x v="797"/>
    <n v="53000"/>
    <n v="155329.51"/>
    <n v="155329.51"/>
  </r>
  <r>
    <x v="5"/>
    <s v="1058 - MUDANCA DO CLIMA"/>
    <x v="738"/>
    <n v="-362.52"/>
    <n v="66162.67"/>
    <n v="66162.67"/>
  </r>
  <r>
    <x v="5"/>
    <s v="0032 - PROGRAMA DE GESTAO E MANUTENCAO DO PODER EXECUTIVO"/>
    <x v="691"/>
    <n v="346525.93"/>
    <n v="30831.63"/>
    <n v="30831.63"/>
  </r>
  <r>
    <x v="5"/>
    <s v="5018 - ATENCAO ESPECIALIZADA A SAUDE"/>
    <x v="83"/>
    <n v="89230279.340000004"/>
    <n v="31991862.440000001"/>
    <n v="36932484.329999998"/>
  </r>
  <r>
    <x v="5"/>
    <s v="0903 - OPERACOES ESPECIAIS: TRANSFERENCIAS CONSTITUCIONAIS E AS DECORRENTES DE LEGISLACAO ESPECIFICA"/>
    <x v="628"/>
    <n v="14890533"/>
    <n v="14813253.68"/>
    <n v="14836145.619999999"/>
  </r>
  <r>
    <x v="5"/>
    <s v="5018 - ATENCAO ESPECIALIZADA A SAUDE"/>
    <x v="965"/>
    <n v="0"/>
    <n v="0"/>
    <n v="0"/>
  </r>
  <r>
    <x v="5"/>
    <s v="1058 - MUDANCA DO CLIMA"/>
    <x v="931"/>
    <n v="63788.28"/>
    <n v="108699.84"/>
    <n v="109595.28"/>
  </r>
  <r>
    <x v="5"/>
    <s v="6012 - DEFESA NACIONAL"/>
    <x v="856"/>
    <n v="2547006.98"/>
    <n v="0"/>
    <n v="0"/>
  </r>
  <r>
    <x v="5"/>
    <s v="5018 - ATENCAO ESPECIALIZADA A SAUDE"/>
    <x v="186"/>
    <n v="108333333.33"/>
    <n v="108333333.33"/>
    <n v="108333333.33"/>
  </r>
  <r>
    <x v="5"/>
    <s v="2035 - ESPORTE, CIDADANIA E DESENVOLVIMENTO"/>
    <x v="533"/>
    <n v="0"/>
    <n v="0"/>
    <n v="0"/>
  </r>
  <r>
    <x v="5"/>
    <s v="2211 - INSERCAO ECONOMICA INTERNACIONAL"/>
    <x v="182"/>
    <n v="0"/>
    <n v="70086.63"/>
    <n v="70086.63"/>
  </r>
  <r>
    <x v="5"/>
    <s v="2208 - TECNOLOGIAS APLICADAS, INOVACAO E DESENVOLVIMENTO SUSTENTAVEL"/>
    <x v="801"/>
    <n v="0"/>
    <n v="0"/>
    <n v="0"/>
  </r>
  <r>
    <x v="5"/>
    <s v="0151 - PROTECAO DE TERRAS INDIGENAS, GESTAO TERRITORIAL E ETNODESENVOLVIMENTO"/>
    <x v="1016"/>
    <n v="0"/>
    <n v="6246.89"/>
    <n v="7109.19"/>
  </r>
  <r>
    <x v="5"/>
    <s v="0032 - PROGRAMA DE GESTAO E MANUTENCAO DO PODER EXECUTIVO"/>
    <x v="538"/>
    <n v="-5000"/>
    <n v="17155.41"/>
    <n v="17155.41"/>
  </r>
  <r>
    <x v="5"/>
    <s v="5021 - GESTAO E ORGANIZACAO DO SUS"/>
    <x v="482"/>
    <n v="2170000"/>
    <n v="2180328.79"/>
    <n v="2183339.77"/>
  </r>
  <r>
    <x v="5"/>
    <s v="5024 - ATENCAO INTEGRAL A PRIMEIRA INFANCIA"/>
    <x v="998"/>
    <n v="35264540.219999999"/>
    <n v="36186580.619999997"/>
    <n v="39121769.810000002"/>
  </r>
  <r>
    <x v="5"/>
    <s v="2222 - SANEAMENTO BASICO"/>
    <x v="449"/>
    <n v="0"/>
    <n v="0"/>
    <n v="0"/>
  </r>
  <r>
    <x v="5"/>
    <s v="2080 - EDUCACAO DE QUALIDADE PARA TODOS"/>
    <x v="188"/>
    <n v="0"/>
    <n v="0"/>
    <n v="0"/>
  </r>
  <r>
    <x v="5"/>
    <s v="2216 - POLITICA EXTERNA"/>
    <x v="384"/>
    <n v="40954.080000000002"/>
    <n v="65506.42"/>
    <n v="55506.42"/>
  </r>
  <r>
    <x v="5"/>
    <s v="5013 - EDUCACAO SUPERIOR - GRADUACAO, POS-GRADUACAO, ENSINO, PESQUISA E EXTENSAO"/>
    <x v="89"/>
    <n v="748000"/>
    <n v="0"/>
    <n v="0"/>
  </r>
  <r>
    <x v="5"/>
    <s v="1041 - CONSERVACAO E USO SUSTENTAVEL DA BIODIVERSIDADE E DOS RECURSOS NATURAIS"/>
    <x v="164"/>
    <n v="441863.03"/>
    <n v="442267.58"/>
    <n v="441594.14"/>
  </r>
  <r>
    <x v="5"/>
    <s v="2037 - CONSOLIDACAO DO SISTEMA UNICO DE ASSISTENCIA SOCIAL (SUAS)"/>
    <x v="463"/>
    <n v="0"/>
    <n v="0"/>
    <n v="0"/>
  </r>
  <r>
    <x v="5"/>
    <s v="3006 - TRANSPORTE TERRESTRE E TRANSITO"/>
    <x v="497"/>
    <n v="61787685.520000003"/>
    <n v="2069417.36"/>
    <n v="2212343.19"/>
  </r>
  <r>
    <x v="5"/>
    <s v="3006 - TRANSPORTE TERRESTRE E TRANSITO"/>
    <x v="841"/>
    <n v="6000213"/>
    <n v="397886.36"/>
    <n v="505338.38"/>
  </r>
  <r>
    <x v="5"/>
    <s v="5015 - JUSTICA"/>
    <x v="714"/>
    <n v="1502733.75"/>
    <n v="2208156.85"/>
    <n v="2457071.8199999998"/>
  </r>
  <r>
    <x v="5"/>
    <s v="2110 - PROGRAMA DE GESTAO E MANUTENCAO DO MINISTERIO DA ECONOMIA"/>
    <x v="575"/>
    <n v="0"/>
    <n v="0"/>
    <n v="0"/>
  </r>
  <r>
    <x v="5"/>
    <s v="5018 - ATENCAO ESPECIALIZADA A SAUDE"/>
    <x v="373"/>
    <n v="0"/>
    <n v="0"/>
    <n v="0"/>
  </r>
  <r>
    <x v="5"/>
    <s v="2221 - RECURSOS HIDRICOS"/>
    <x v="280"/>
    <n v="0"/>
    <n v="0"/>
    <n v="0"/>
  </r>
  <r>
    <x v="5"/>
    <s v="5018 - ATENCAO ESPECIALIZADA A SAUDE"/>
    <x v="857"/>
    <n v="0"/>
    <n v="0"/>
    <n v="94838.18"/>
  </r>
  <r>
    <x v="5"/>
    <s v="5025 - CULTURA"/>
    <x v="524"/>
    <n v="350000"/>
    <n v="350000"/>
    <n v="350000"/>
  </r>
  <r>
    <x v="5"/>
    <s v="1031 - AGROPECUARIA SUSTENTAVEL"/>
    <x v="93"/>
    <n v="0"/>
    <n v="662309.54"/>
    <n v="662309.54"/>
  </r>
  <r>
    <x v="5"/>
    <s v="2080 - EDUCACAO DE QUALIDADE PARA TODOS"/>
    <x v="386"/>
    <n v="0"/>
    <n v="0"/>
    <n v="0"/>
  </r>
  <r>
    <x v="5"/>
    <s v="5015 - JUSTICA"/>
    <x v="246"/>
    <n v="-1542.45"/>
    <n v="0"/>
    <n v="0"/>
  </r>
  <r>
    <x v="5"/>
    <s v="0032 - PROGRAMA DE GESTAO E MANUTENCAO DO PODER EXECUTIVO"/>
    <x v="689"/>
    <n v="0"/>
    <n v="9678490.9900000002"/>
    <n v="9609206.8900000006"/>
  </r>
  <r>
    <x v="5"/>
    <s v="3006 - TRANSPORTE TERRESTRE E TRANSITO"/>
    <x v="417"/>
    <n v="0"/>
    <n v="202518.23"/>
    <n v="0"/>
  </r>
  <r>
    <x v="5"/>
    <s v="2204 - BRASIL NA FRONTEIRA DO CONHECIMENTO"/>
    <x v="117"/>
    <n v="0"/>
    <n v="0"/>
    <n v="0"/>
  </r>
  <r>
    <x v="5"/>
    <s v="2218 - GESTAO DE RISCOS E DE DESASTRES"/>
    <x v="912"/>
    <n v="1629209"/>
    <n v="15180.44"/>
    <n v="15180.44"/>
  </r>
  <r>
    <x v="5"/>
    <s v="2052 - PESCA E AQUICULTURA"/>
    <x v="30"/>
    <n v="0"/>
    <n v="0"/>
    <n v="0"/>
  </r>
  <r>
    <x v="5"/>
    <s v="5018 - ATENCAO ESPECIALIZADA A SAUDE"/>
    <x v="283"/>
    <n v="1090000"/>
    <n v="1090000"/>
    <n v="1090000"/>
  </r>
  <r>
    <x v="5"/>
    <s v="6012 - DEFESA NACIONAL"/>
    <x v="1118"/>
    <n v="16786.77"/>
    <n v="0"/>
    <n v="0"/>
  </r>
  <r>
    <x v="5"/>
    <s v="0032 - PROGRAMA DE GESTAO E MANUTENCAO DO PODER EXECUTIVO"/>
    <x v="37"/>
    <n v="0"/>
    <n v="0"/>
    <n v="0"/>
  </r>
  <r>
    <x v="5"/>
    <s v="5034 - PROTECAO A VIDA, FORTALECIMENTO DA FAMILIA, PROMOCAO E DEFESA DOS DIREITOS HUMANOS PARA TODOS"/>
    <x v="338"/>
    <n v="12170156.33"/>
    <n v="3045564.76"/>
    <n v="3045564.76"/>
  </r>
  <r>
    <x v="5"/>
    <s v="2221 - RECURSOS HIDRICOS"/>
    <x v="232"/>
    <n v="0"/>
    <n v="1587208.84"/>
    <n v="1942689.97"/>
  </r>
  <r>
    <x v="5"/>
    <s v="5021 - GESTAO E ORGANIZACAO DO SUS"/>
    <x v="49"/>
    <n v="0"/>
    <n v="0"/>
    <n v="0"/>
  </r>
  <r>
    <x v="5"/>
    <s v="2215 - POLITICA ECONOMICA E EQUILIBRIO FISCAL"/>
    <x v="597"/>
    <n v="583037.48"/>
    <n v="408641.94"/>
    <n v="385862.99"/>
  </r>
  <r>
    <x v="5"/>
    <s v="0032 - PROGRAMA DE GESTAO E MANUTENCAO DO PODER EXECUTIVO"/>
    <x v="435"/>
    <n v="185671.48"/>
    <n v="74758.42"/>
    <n v="78672.37"/>
  </r>
  <r>
    <x v="5"/>
    <s v="2222 - SANEAMENTO BASICO"/>
    <x v="1102"/>
    <n v="5989860.7599999998"/>
    <n v="0"/>
    <n v="0"/>
  </r>
  <r>
    <x v="5"/>
    <s v="4003 - GARANTIA DA ESTABILIDADE MONETARIA E FINANCEIRA"/>
    <x v="625"/>
    <n v="427696.69"/>
    <n v="458859.87"/>
    <n v="629734.63"/>
  </r>
  <r>
    <x v="5"/>
    <s v="5016 - SEGURANCA PUBLICA, COMBATE A CORRUPCAO, AO CRIME ORGANIZADO E AO CRIME VIOLENTO"/>
    <x v="1119"/>
    <n v="0"/>
    <n v="0"/>
    <n v="0"/>
  </r>
  <r>
    <x v="5"/>
    <s v="1031 - AGROPECUARIA SUSTENTAVEL"/>
    <x v="138"/>
    <n v="0"/>
    <n v="128777837.22"/>
    <n v="128777837.22"/>
  </r>
  <r>
    <x v="5"/>
    <s v="0909 - OPERACOES ESPECIAIS: OUTROS ENCARGOS ESPECIAIS"/>
    <x v="1094"/>
    <n v="0"/>
    <n v="11845171"/>
    <n v="11845171"/>
  </r>
  <r>
    <x v="5"/>
    <s v="2080 - EDUCACAO DE QUALIDADE PARA TODOS"/>
    <x v="865"/>
    <n v="0"/>
    <n v="0"/>
    <n v="0"/>
  </r>
  <r>
    <x v="5"/>
    <s v="2205 - CONECTA BRASIL"/>
    <x v="47"/>
    <n v="6458098.7699999996"/>
    <n v="49002.33"/>
    <n v="64788.67"/>
  </r>
  <r>
    <x v="5"/>
    <s v="3001 - ENERGIA ELETRICA"/>
    <x v="304"/>
    <n v="57090.62"/>
    <n v="457352.78"/>
    <n v="463775.97"/>
  </r>
  <r>
    <x v="5"/>
    <s v="2208 - TECNOLOGIAS APLICADAS, INOVACAO E DESENVOLVIMENTO SUSTENTAVEL"/>
    <x v="823"/>
    <n v="0"/>
    <n v="0"/>
    <n v="0"/>
  </r>
  <r>
    <x v="5"/>
    <s v="5011 - EDUCACAO BASICA DE QUALIDADE"/>
    <x v="1049"/>
    <n v="1062420"/>
    <n v="58934290"/>
    <n v="58934290"/>
  </r>
  <r>
    <x v="5"/>
    <s v="2217 - DESENVOLVIMENTO REGIONAL, TERRITORIAL E URBANO"/>
    <x v="403"/>
    <n v="0"/>
    <n v="0"/>
    <n v="0"/>
  </r>
  <r>
    <x v="5"/>
    <s v="5020 - DESENVOLVIMENTO CIENTIFICO, TECNOLOGICO E PRODUTIVO EM SAUDE"/>
    <x v="817"/>
    <n v="494652.21"/>
    <n v="23556.1"/>
    <n v="94577.24"/>
  </r>
  <r>
    <x v="5"/>
    <s v="0033 - PROGRAMA DE GESTAO E MANUTENCAO DO PODER JUDICIARIO"/>
    <x v="335"/>
    <n v="159986.44"/>
    <n v="0"/>
    <n v="0"/>
  </r>
  <r>
    <x v="5"/>
    <s v="2221 - RECURSOS HIDRICOS"/>
    <x v="1028"/>
    <n v="0"/>
    <n v="0"/>
    <n v="0"/>
  </r>
  <r>
    <x v="5"/>
    <s v="2213 - MODERNIZACAO TRABALHISTA E TRABALHO DIGNO"/>
    <x v="828"/>
    <n v="0"/>
    <n v="0"/>
    <n v="0"/>
  </r>
  <r>
    <x v="5"/>
    <s v="0032 - PROGRAMA DE GESTAO E MANUTENCAO DO PODER EXECUTIVO"/>
    <x v="640"/>
    <n v="0"/>
    <n v="0"/>
    <n v="3417.39"/>
  </r>
  <r>
    <x v="5"/>
    <s v="2068 - SANEAMENTO BASICO"/>
    <x v="266"/>
    <n v="0"/>
    <n v="0"/>
    <n v="0"/>
  </r>
  <r>
    <x v="5"/>
    <s v="6012 - DEFESA NACIONAL"/>
    <x v="1024"/>
    <n v="88476120.299999997"/>
    <n v="0"/>
    <n v="0"/>
  </r>
  <r>
    <x v="5"/>
    <s v="2220 - MORADIA DIGNA"/>
    <x v="426"/>
    <n v="13333.34"/>
    <n v="13333.34"/>
    <n v="13333.34"/>
  </r>
  <r>
    <x v="5"/>
    <s v="0909 - OPERACOES ESPECIAIS: OUTROS ENCARGOS ESPECIAIS"/>
    <x v="59"/>
    <n v="500000"/>
    <n v="500000"/>
    <n v="500000"/>
  </r>
  <r>
    <x v="5"/>
    <s v="0903 - OPERACOES ESPECIAIS: TRANSFERENCIAS CONSTITUCIONAIS E AS DECORRENTES DE LEGISLACAO ESPECIFICA"/>
    <x v="156"/>
    <n v="2968082060.4899998"/>
    <n v="2984975936.5100002"/>
    <n v="2984975936.5100002"/>
  </r>
  <r>
    <x v="5"/>
    <s v="3003 - PETROLEO, GAS, DERIVADOS E BIOCOMBUSTIVEIS"/>
    <x v="122"/>
    <n v="0"/>
    <n v="3612.5"/>
    <n v="3612.5"/>
  </r>
  <r>
    <x v="5"/>
    <s v="3006 - TRANSPORTE TERRESTRE E TRANSITO"/>
    <x v="1120"/>
    <n v="0"/>
    <n v="0"/>
    <n v="0"/>
  </r>
  <r>
    <x v="5"/>
    <s v="3001 - ENERGIA ELETRICA"/>
    <x v="6"/>
    <n v="432870.8"/>
    <n v="22237.35"/>
    <n v="22082.85"/>
  </r>
  <r>
    <x v="5"/>
    <s v="5011 - EDUCACAO BASICA DE QUALIDADE"/>
    <x v="865"/>
    <n v="0"/>
    <n v="0"/>
    <n v="0"/>
  </r>
  <r>
    <x v="5"/>
    <s v="0031 - PROGRAMA DE GESTAO E MANUTENCAO DO MINISTERIO PUBLICO"/>
    <x v="799"/>
    <n v="3300"/>
    <n v="0"/>
    <n v="0"/>
  </r>
  <r>
    <x v="5"/>
    <s v="0903 - OPERACOES ESPECIAIS: TRANSFERENCIAS CONSTITUCIONAIS E AS DECORRENTES DE LEGISLACAO ESPECIFICA"/>
    <x v="82"/>
    <n v="0"/>
    <n v="332230841.32999998"/>
    <n v="332230841.32999998"/>
  </r>
  <r>
    <x v="5"/>
    <s v="2204 - BRASIL NA FRONTEIRA DO CONHECIMENTO"/>
    <x v="1066"/>
    <n v="0"/>
    <n v="1000000"/>
    <n v="1000000"/>
  </r>
  <r>
    <x v="5"/>
    <s v="3006 - TRANSPORTE TERRESTRE E TRANSITO"/>
    <x v="1121"/>
    <n v="40250000"/>
    <n v="0"/>
    <n v="0"/>
  </r>
  <r>
    <x v="5"/>
    <s v="0032 - PROGRAMA DE GESTAO E MANUTENCAO DO PODER EXECUTIVO"/>
    <x v="224"/>
    <n v="46835580.590000004"/>
    <n v="2520016.23"/>
    <n v="2535339.62"/>
  </r>
  <r>
    <x v="5"/>
    <s v="0903 - OPERACOES ESPECIAIS: TRANSFERENCIAS CONSTITUCIONAIS E AS DECORRENTES DE LEGISLACAO ESPECIFICA"/>
    <x v="43"/>
    <n v="0"/>
    <n v="11617841712.030001"/>
    <n v="11617841712.030001"/>
  </r>
  <r>
    <x v="5"/>
    <s v="3003 - PETROLEO, GAS, DERIVADOS E BIOCOMBUSTIVEIS"/>
    <x v="874"/>
    <n v="30000"/>
    <n v="16518.080000000002"/>
    <n v="15832.67"/>
  </r>
  <r>
    <x v="5"/>
    <s v="0902 - OPERACOES ESPECIAIS: FINANCIAMENTOS COM RETORNO"/>
    <x v="619"/>
    <n v="0"/>
    <n v="580892078.26999998"/>
    <n v="580892078.26999998"/>
  </r>
  <r>
    <x v="5"/>
    <s v="2206 - POLITICA NUCLEAR"/>
    <x v="256"/>
    <n v="0"/>
    <n v="14143.27"/>
    <n v="14143.27"/>
  </r>
  <r>
    <x v="5"/>
    <s v="5014 - ESTATISTICAS E AVALIACOES EDUCACIONAIS"/>
    <x v="511"/>
    <n v="5000"/>
    <n v="0"/>
    <n v="0"/>
  </r>
  <r>
    <x v="5"/>
    <s v="2030 - EDUCACAO BASICA"/>
    <x v="436"/>
    <n v="0"/>
    <n v="0"/>
    <n v="0"/>
  </r>
  <r>
    <x v="5"/>
    <s v="5020 - DESENVOLVIMENTO CIENTIFICO, TECNOLOGICO E PRODUTIVO EM SAUDE"/>
    <x v="268"/>
    <n v="80000"/>
    <n v="0"/>
    <n v="0"/>
  </r>
  <r>
    <x v="5"/>
    <s v="5026 - ESPORTE"/>
    <x v="300"/>
    <n v="0"/>
    <n v="2697341.63"/>
    <n v="2689894.57"/>
  </r>
  <r>
    <x v="5"/>
    <s v="2217 - DESENVOLVIMENTO REGIONAL, TERRITORIAL E URBANO"/>
    <x v="116"/>
    <n v="0"/>
    <n v="0"/>
    <n v="0"/>
  </r>
  <r>
    <x v="5"/>
    <s v="3006 - TRANSPORTE TERRESTRE E TRANSITO"/>
    <x v="883"/>
    <n v="0"/>
    <n v="0"/>
    <n v="0"/>
  </r>
  <r>
    <x v="5"/>
    <s v="0032 - PROGRAMA DE GESTAO E MANUTENCAO DO PODER EXECUTIVO"/>
    <x v="577"/>
    <n v="-113.4"/>
    <n v="30383.37"/>
    <n v="25609.49"/>
  </r>
  <r>
    <x v="5"/>
    <s v="3006 - TRANSPORTE TERRESTRE E TRANSITO"/>
    <x v="1059"/>
    <n v="0"/>
    <n v="0"/>
    <n v="0"/>
  </r>
  <r>
    <x v="5"/>
    <s v="1031 - AGROPECUARIA SUSTENTAVEL"/>
    <x v="399"/>
    <n v="0"/>
    <n v="116397.4"/>
    <n v="116397.4"/>
  </r>
  <r>
    <x v="5"/>
    <s v="2049 - MORADIA DIGNA"/>
    <x v="36"/>
    <n v="0"/>
    <n v="0"/>
    <n v="0"/>
  </r>
  <r>
    <x v="5"/>
    <s v="0902 - OPERACOES ESPECIAIS: FINANCIAMENTOS COM RETORNO"/>
    <x v="390"/>
    <n v="172000"/>
    <n v="130000"/>
    <n v="130000"/>
  </r>
  <r>
    <x v="5"/>
    <s v="3006 - TRANSPORTE TERRESTRE E TRANSITO"/>
    <x v="894"/>
    <n v="0"/>
    <n v="0"/>
    <n v="0"/>
  </r>
  <r>
    <x v="5"/>
    <s v="0902 - OPERACOES ESPECIAIS: FINANCIAMENTOS COM RETORNO"/>
    <x v="555"/>
    <n v="0"/>
    <n v="445626991.58999997"/>
    <n v="437735657.63999999"/>
  </r>
  <r>
    <x v="5"/>
    <s v="2216 - POLITICA EXTERNA"/>
    <x v="230"/>
    <n v="573255.64"/>
    <n v="0"/>
    <n v="0"/>
  </r>
  <r>
    <x v="5"/>
    <s v="2221 - RECURSOS HIDRICOS"/>
    <x v="339"/>
    <n v="0"/>
    <n v="982987.92"/>
    <n v="10881.23"/>
  </r>
  <r>
    <x v="5"/>
    <s v="2015 - FORTALECIMENTO DO SISTEMA UNICO DE SAUDE (SUS)"/>
    <x v="507"/>
    <n v="0"/>
    <n v="0"/>
    <n v="0"/>
  </r>
  <r>
    <x v="5"/>
    <s v="5017 - ASSISTENCIA FARMACEUTICA NO SUS"/>
    <x v="124"/>
    <n v="54698089.609999999"/>
    <n v="103153651.84"/>
    <n v="103153651.84"/>
  </r>
  <r>
    <x v="5"/>
    <s v="3006 - TRANSPORTE TERRESTRE E TRANSITO"/>
    <x v="967"/>
    <n v="1000000"/>
    <n v="0"/>
    <n v="0"/>
  </r>
  <r>
    <x v="5"/>
    <s v="2214 - NOVA PREVIDENCIA"/>
    <x v="371"/>
    <n v="0"/>
    <n v="440483399.62"/>
    <n v="510995616.31"/>
  </r>
  <r>
    <x v="5"/>
    <s v="2081 - JUSTICA, CIDADANIA E SEGURANCA PUBLICA"/>
    <x v="308"/>
    <n v="0"/>
    <n v="0"/>
    <n v="0"/>
  </r>
  <r>
    <x v="5"/>
    <s v="3006 - TRANSPORTE TERRESTRE E TRANSITO"/>
    <x v="1122"/>
    <n v="2000000"/>
    <n v="0"/>
    <n v="0"/>
  </r>
  <r>
    <x v="5"/>
    <s v="5026 - ESPORTE"/>
    <x v="223"/>
    <n v="0"/>
    <n v="0"/>
    <n v="0"/>
  </r>
  <r>
    <x v="5"/>
    <s v="2217 - DESENVOLVIMENTO REGIONAL, TERRITORIAL E URBANO"/>
    <x v="783"/>
    <n v="0"/>
    <n v="0"/>
    <n v="0"/>
  </r>
  <r>
    <x v="5"/>
    <s v="1040 - GOVERNANCA FUNDIARIA"/>
    <x v="236"/>
    <n v="57868960"/>
    <n v="0"/>
    <n v="0"/>
  </r>
  <r>
    <x v="5"/>
    <s v="5031 - PROTECAO SOCIAL NO AMBITO DO SISTEMA UNICO DE ASSISTENCIA SOCIAL (SUAS)"/>
    <x v="603"/>
    <n v="110000"/>
    <n v="0"/>
    <n v="0"/>
  </r>
  <r>
    <x v="5"/>
    <s v="5014 - ESTATISTICAS E AVALIACOES EDUCACIONAIS"/>
    <x v="32"/>
    <n v="1930382.43"/>
    <n v="261787.68"/>
    <n v="261787.68"/>
  </r>
  <r>
    <x v="5"/>
    <s v="0907 - OPERACOES ESPECIAIS: REFINANCIAMENTO DA DIVIDA INTERNA"/>
    <x v="328"/>
    <n v="281843752247.21997"/>
    <n v="5607864928.8999996"/>
    <n v="5607864928.8999996"/>
  </r>
  <r>
    <x v="5"/>
    <s v="2210 - EMPREGABILIDADE"/>
    <x v="907"/>
    <n v="756244"/>
    <n v="32305.93"/>
    <n v="32305.93"/>
  </r>
  <r>
    <x v="5"/>
    <s v="3006 - TRANSPORTE TERRESTRE E TRANSITO"/>
    <x v="225"/>
    <n v="0"/>
    <n v="30283.71"/>
    <n v="30283.71"/>
  </r>
  <r>
    <x v="5"/>
    <s v="0151 - PROTECAO DE TERRAS INDIGENAS, GESTAO TERRITORIAL E ETNODESENVOLVIMENTO"/>
    <x v="919"/>
    <n v="17598.47"/>
    <n v="49325.01"/>
    <n v="49325.01"/>
  </r>
  <r>
    <x v="5"/>
    <s v="3006 - TRANSPORTE TERRESTRE E TRANSITO"/>
    <x v="162"/>
    <n v="0"/>
    <n v="318021.23"/>
    <n v="318021.23"/>
  </r>
  <r>
    <x v="5"/>
    <s v="2217 - DESENVOLVIMENTO REGIONAL, TERRITORIAL E URBANO"/>
    <x v="287"/>
    <n v="0"/>
    <n v="0"/>
    <n v="4244.6400000000003"/>
  </r>
  <r>
    <x v="5"/>
    <s v="0032 - PROGRAMA DE GESTAO E MANUTENCAO DO PODER EXECUTIVO"/>
    <x v="678"/>
    <n v="8654000"/>
    <n v="168122489.24000001"/>
    <n v="116554823.25"/>
  </r>
  <r>
    <x v="5"/>
    <s v="5027 - INCLUSAO PRODUTIVA DE PESSOAS EM SITUACAO DE VULNERABILIDADE SOCIAL"/>
    <x v="311"/>
    <n v="629209"/>
    <n v="9650.24"/>
    <n v="8340.89"/>
  </r>
  <r>
    <x v="5"/>
    <s v="2221 - RECURSOS HIDRICOS"/>
    <x v="235"/>
    <n v="5725000"/>
    <n v="193902.88"/>
    <n v="209735.03"/>
  </r>
  <r>
    <x v="5"/>
    <s v="5015 - JUSTICA"/>
    <x v="221"/>
    <n v="-952970.86"/>
    <n v="3484802.29"/>
    <n v="3926771.23"/>
  </r>
  <r>
    <x v="5"/>
    <s v="0032 - PROGRAMA DE GESTAO E MANUTENCAO DO PODER EXECUTIVO"/>
    <x v="729"/>
    <n v="778507893.98000002"/>
    <n v="2909982264.29"/>
    <n v="1951710727.3"/>
  </r>
  <r>
    <x v="5"/>
    <s v="2221 - RECURSOS HIDRICOS"/>
    <x v="1010"/>
    <n v="25259069.510000002"/>
    <n v="9787.3700000000008"/>
    <n v="1850.8"/>
  </r>
  <r>
    <x v="5"/>
    <s v="5018 - ATENCAO ESPECIALIZADA A SAUDE"/>
    <x v="202"/>
    <n v="18843092.539999999"/>
    <n v="8944223.9600000009"/>
    <n v="7893246.75"/>
  </r>
  <r>
    <x v="5"/>
    <s v="2037 - CONSOLIDACAO DO SISTEMA UNICO DE ASSISTENCIA SOCIAL (SUAS)"/>
    <x v="1068"/>
    <n v="0"/>
    <n v="0"/>
    <n v="0"/>
  </r>
  <r>
    <x v="5"/>
    <s v="0903 - OPERACOES ESPECIAIS: TRANSFERENCIAS CONSTITUCIONAIS E AS DECORRENTES DE LEGISLACAO ESPECIFICA"/>
    <x v="654"/>
    <n v="128378251"/>
    <n v="128183170.59999999"/>
    <n v="85998299.799999997"/>
  </r>
  <r>
    <x v="5"/>
    <s v="6012 - DEFESA NACIONAL"/>
    <x v="518"/>
    <n v="1229058.74"/>
    <n v="7500"/>
    <n v="7500"/>
  </r>
  <r>
    <x v="5"/>
    <s v="5023 - VIGILANCIA EM SAUDE"/>
    <x v="917"/>
    <n v="0"/>
    <n v="20471326"/>
    <n v="20471326"/>
  </r>
  <r>
    <x v="5"/>
    <s v="5011 - EDUCACAO BASICA DE QUALIDADE"/>
    <x v="464"/>
    <n v="0"/>
    <n v="5500"/>
    <n v="5500"/>
  </r>
  <r>
    <x v="5"/>
    <s v="3005 - TRANSPORTE AQUAVIARIO"/>
    <x v="863"/>
    <n v="157863716.59999999"/>
    <n v="0"/>
    <n v="0"/>
  </r>
  <r>
    <x v="5"/>
    <s v="4003 - GARANTIA DA ESTABILIDADE MONETARIA E FINANCEIRA"/>
    <x v="358"/>
    <n v="61087.1"/>
    <n v="151616.94"/>
    <n v="151616.94"/>
  </r>
  <r>
    <x v="5"/>
    <s v="3006 - TRANSPORTE TERRESTRE E TRANSITO"/>
    <x v="832"/>
    <n v="0"/>
    <n v="0"/>
    <n v="0"/>
  </r>
  <r>
    <x v="5"/>
    <s v="0909 - OPERACOES ESPECIAIS: OUTROS ENCARGOS ESPECIAIS"/>
    <x v="246"/>
    <n v="-43311.6"/>
    <n v="-43311.6"/>
    <n v="-43311.6"/>
  </r>
  <r>
    <x v="5"/>
    <s v="5012 - EDUCACAO PROFISSIONAL E TECNOLOGICA"/>
    <x v="144"/>
    <n v="0"/>
    <n v="0"/>
    <n v="0"/>
  </r>
  <r>
    <x v="5"/>
    <s v="3006 - TRANSPORTE TERRESTRE E TRANSITO"/>
    <x v="411"/>
    <n v="0"/>
    <n v="0"/>
    <n v="0"/>
  </r>
  <r>
    <x v="5"/>
    <s v="1041 - CONSERVACAO E USO SUSTENTAVEL DA BIODIVERSIDADE E DOS RECURSOS NATURAIS"/>
    <x v="176"/>
    <n v="21913.93"/>
    <n v="54665.97"/>
    <n v="55332.68"/>
  </r>
  <r>
    <x v="5"/>
    <s v="5019 - ATENCAO PRIMARIA A SAUDE"/>
    <x v="1020"/>
    <n v="196000"/>
    <n v="0"/>
    <n v="0"/>
  </r>
  <r>
    <x v="5"/>
    <s v="2204 - BRASIL NA FRONTEIRA DO CONHECIMENTO"/>
    <x v="29"/>
    <n v="240708.66"/>
    <n v="46262.67"/>
    <n v="46262.67"/>
  </r>
  <r>
    <x v="5"/>
    <s v="5016 - SEGURANCA PUBLICA, COMBATE A CORRUPCAO, AO CRIME ORGANIZADO E AO CRIME VIOLENTO"/>
    <x v="956"/>
    <n v="0"/>
    <n v="0"/>
    <n v="0"/>
  </r>
  <r>
    <x v="5"/>
    <s v="3006 - TRANSPORTE TERRESTRE E TRANSITO"/>
    <x v="241"/>
    <n v="5000000"/>
    <n v="12807577.789999999"/>
    <n v="12807577.789999999"/>
  </r>
  <r>
    <x v="5"/>
    <s v="1031 - AGROPECUARIA SUSTENTAVEL"/>
    <x v="15"/>
    <n v="0"/>
    <n v="228472483.06"/>
    <n v="228472483.06"/>
  </r>
  <r>
    <x v="5"/>
    <s v="5033 - SEGURANCA ALIMENTAR E NUTRICIONAL"/>
    <x v="910"/>
    <n v="35860318.119999997"/>
    <n v="2258000"/>
    <n v="2258000"/>
  </r>
  <r>
    <x v="5"/>
    <s v="6012 - DEFESA NACIONAL"/>
    <x v="98"/>
    <n v="-292497.76"/>
    <n v="210400.72"/>
    <n v="213369.07"/>
  </r>
  <r>
    <x v="5"/>
    <s v="2220 - MORADIA DIGNA"/>
    <x v="36"/>
    <n v="0"/>
    <n v="0"/>
    <n v="0"/>
  </r>
  <r>
    <x v="5"/>
    <s v="2214 - NOVA PREVIDENCIA"/>
    <x v="345"/>
    <n v="3248096.95"/>
    <n v="895463.74"/>
    <n v="1350400.85"/>
  </r>
  <r>
    <x v="5"/>
    <s v="2081 - JUSTICA, CIDADANIA E SEGURANCA PUBLICA"/>
    <x v="1000"/>
    <n v="0"/>
    <n v="0"/>
    <n v="0"/>
  </r>
  <r>
    <x v="5"/>
    <s v="5031 - PROTECAO SOCIAL NO AMBITO DO SISTEMA UNICO DE ASSISTENCIA SOCIAL (SUAS)"/>
    <x v="197"/>
    <n v="3249.41"/>
    <n v="266221.40999999997"/>
    <n v="269596.21000000002"/>
  </r>
  <r>
    <x v="5"/>
    <s v="2040 - GESTAO DE RISCOS E DE DESASTRES"/>
    <x v="1123"/>
    <n v="0"/>
    <n v="0"/>
    <n v="0"/>
  </r>
  <r>
    <x v="5"/>
    <s v="3006 - TRANSPORTE TERRESTRE E TRANSITO"/>
    <x v="510"/>
    <n v="0"/>
    <n v="269683.88"/>
    <n v="269683.88"/>
  </r>
  <r>
    <x v="5"/>
    <s v="0909 - OPERACOES ESPECIAIS: OUTROS ENCARGOS ESPECIAIS"/>
    <x v="346"/>
    <n v="0"/>
    <n v="0"/>
    <n v="0"/>
  </r>
  <r>
    <x v="5"/>
    <s v="5017 - ASSISTENCIA FARMACEUTICA NO SUS"/>
    <x v="121"/>
    <n v="205072068.72999999"/>
    <n v="385752613.25999999"/>
    <n v="385752613.25999999"/>
  </r>
  <r>
    <x v="5"/>
    <s v="2222 - SANEAMENTO BASICO"/>
    <x v="1035"/>
    <n v="0"/>
    <n v="0"/>
    <n v="0"/>
  </r>
  <r>
    <x v="5"/>
    <s v="1031 - AGROPECUARIA SUSTENTAVEL"/>
    <x v="468"/>
    <n v="32208.43"/>
    <n v="28874.48"/>
    <n v="28701.85"/>
  </r>
  <r>
    <x v="5"/>
    <s v="2108 - PROGRAMA DE GESTAO E MANUTENCAO DO MINISTERIO DA DEFESA"/>
    <x v="52"/>
    <n v="0"/>
    <n v="0"/>
    <n v="0"/>
  </r>
  <r>
    <x v="5"/>
    <s v="2213 - MODERNIZACAO TRABALHISTA E TRABALHO DIGNO"/>
    <x v="648"/>
    <n v="1500000"/>
    <n v="0"/>
    <n v="0"/>
  </r>
  <r>
    <x v="5"/>
    <s v="2021 - CIENCIA, TECNOLOGIA E INOVACAO"/>
    <x v="11"/>
    <n v="0"/>
    <n v="0"/>
    <n v="0"/>
  </r>
  <r>
    <x v="5"/>
    <s v="2217 - DESENVOLVIMENTO REGIONAL, TERRITORIAL E URBANO"/>
    <x v="222"/>
    <n v="701897.66"/>
    <n v="90399.62"/>
    <n v="102336.06"/>
  </r>
  <r>
    <x v="5"/>
    <s v="2208 - TECNOLOGIAS APLICADAS, INOVACAO E DESENVOLVIMENTO SUSTENTAVEL"/>
    <x v="922"/>
    <n v="0"/>
    <n v="0"/>
    <n v="0"/>
  </r>
  <r>
    <x v="5"/>
    <s v="2015 - FORTALECIMENTO DO SISTEMA UNICO DE SAUDE (SUS)"/>
    <x v="173"/>
    <n v="0"/>
    <n v="0"/>
    <n v="0"/>
  </r>
  <r>
    <x v="5"/>
    <s v="5015 - JUSTICA"/>
    <x v="317"/>
    <n v="6319956.1799999997"/>
    <n v="655518.43000000005"/>
    <n v="658403.81999999995"/>
  </r>
  <r>
    <x v="5"/>
    <s v="0032 - PROGRAMA DE GESTAO E MANUTENCAO DO PODER EXECUTIVO"/>
    <x v="679"/>
    <n v="0"/>
    <n v="522795.67"/>
    <n v="535243.43000000005"/>
  </r>
  <r>
    <x v="5"/>
    <s v="0032 - PROGRAMA DE GESTAO E MANUTENCAO DO PODER EXECUTIVO"/>
    <x v="90"/>
    <n v="0"/>
    <n v="1132098.42"/>
    <n v="1140146.27"/>
  </r>
  <r>
    <x v="5"/>
    <s v="0151 - PROTECAO DE TERRAS INDIGENAS, GESTAO TERRITORIAL E ETNODESENVOLVIMENTO"/>
    <x v="459"/>
    <n v="0"/>
    <n v="0"/>
    <n v="0"/>
  </r>
  <r>
    <x v="5"/>
    <s v="5031 - PROTECAO SOCIAL NO AMBITO DO SISTEMA UNICO DE ASSISTENCIA SOCIAL (SUAS)"/>
    <x v="377"/>
    <n v="34364757.450000003"/>
    <n v="100572489.97"/>
    <n v="100568291.98"/>
  </r>
  <r>
    <x v="5"/>
    <s v="2208 - TECNOLOGIAS APLICADAS, INOVACAO E DESENVOLVIMENTO SUSTENTAVEL"/>
    <x v="658"/>
    <n v="0"/>
    <n v="0"/>
    <n v="0"/>
  </r>
  <r>
    <x v="5"/>
    <s v="1031 - AGROPECUARIA SUSTENTAVEL"/>
    <x v="1054"/>
    <n v="0"/>
    <n v="151177.66"/>
    <n v="151177.66"/>
  </r>
  <r>
    <x v="5"/>
    <s v="5016 - SEGURANCA PUBLICA, COMBATE A CORRUPCAO, AO CRIME ORGANIZADO E AO CRIME VIOLENTO"/>
    <x v="814"/>
    <n v="0"/>
    <n v="52423.48"/>
    <n v="53592.41"/>
  </r>
  <r>
    <x v="5"/>
    <s v="5031 - PROTECAO SOCIAL NO AMBITO DO SISTEMA UNICO DE ASSISTENCIA SOCIAL (SUAS)"/>
    <x v="772"/>
    <n v="0"/>
    <n v="217992.65"/>
    <n v="175513.32"/>
  </r>
  <r>
    <x v="5"/>
    <s v="2217 - DESENVOLVIMENTO REGIONAL, TERRITORIAL E URBANO"/>
    <x v="944"/>
    <n v="50000000"/>
    <n v="0"/>
    <n v="0"/>
  </r>
  <r>
    <x v="5"/>
    <s v="0909 - OPERACOES ESPECIAIS: OUTROS ENCARGOS ESPECIAIS"/>
    <x v="821"/>
    <n v="0"/>
    <n v="26734901.449999999"/>
    <n v="26734901.449999999"/>
  </r>
  <r>
    <x v="5"/>
    <s v="2030 - EDUCACAO BASICA"/>
    <x v="859"/>
    <n v="0"/>
    <n v="0"/>
    <n v="0"/>
  </r>
  <r>
    <x v="5"/>
    <s v="2208 - TECNOLOGIAS APLICADAS, INOVACAO E DESENVOLVIMENTO SUSTENTAVEL"/>
    <x v="189"/>
    <n v="137031"/>
    <n v="0"/>
    <n v="0"/>
  </r>
  <r>
    <x v="5"/>
    <s v="3006 - TRANSPORTE TERRESTRE E TRANSITO"/>
    <x v="651"/>
    <n v="143776.65"/>
    <n v="0"/>
    <n v="0"/>
  </r>
  <r>
    <x v="5"/>
    <s v="2222 - SANEAMENTO BASICO"/>
    <x v="266"/>
    <n v="0"/>
    <n v="0"/>
    <n v="0"/>
  </r>
  <r>
    <x v="5"/>
    <s v="3006 - TRANSPORTE TERRESTRE E TRANSITO"/>
    <x v="673"/>
    <n v="0"/>
    <n v="574351.56999999995"/>
    <n v="574351.56999999995"/>
  </r>
  <r>
    <x v="5"/>
    <s v="1006 - GESTAO DA POLITICA DE DESENVOLVIMENTO SOCIAL E COMBATE A FOME"/>
    <x v="1124"/>
    <n v="0"/>
    <n v="0"/>
    <n v="0"/>
  </r>
  <r>
    <x v="5"/>
    <s v="2222 - SANEAMENTO BASICO"/>
    <x v="126"/>
    <n v="181009643.80000001"/>
    <n v="2090211.09"/>
    <n v="2090211.09"/>
  </r>
  <r>
    <x v="5"/>
    <s v="2027 - CULTURA: DIMENSAO ESSENCIAL DO DESENVOLVIMENTO"/>
    <x v="118"/>
    <n v="0"/>
    <n v="0"/>
    <n v="0"/>
  </r>
  <r>
    <x v="5"/>
    <s v="6012 - DEFESA NACIONAL"/>
    <x v="508"/>
    <n v="507992.8"/>
    <n v="193868.73"/>
    <n v="9574839.0800000001"/>
  </r>
  <r>
    <x v="5"/>
    <s v="0909 - OPERACOES ESPECIAIS: OUTROS ENCARGOS ESPECIAIS"/>
    <x v="36"/>
    <n v="0"/>
    <n v="0"/>
    <n v="0"/>
  </r>
  <r>
    <x v="5"/>
    <s v="2015 - FORTALECIMENTO DO SISTEMA UNICO DE SAUDE (SUS)"/>
    <x v="115"/>
    <n v="0"/>
    <n v="0"/>
    <n v="0"/>
  </r>
  <r>
    <x v="5"/>
    <s v="3004 - AVIACAO CIVIL"/>
    <x v="955"/>
    <n v="-62409.39"/>
    <n v="0"/>
    <n v="0"/>
  </r>
  <r>
    <x v="5"/>
    <s v="2216 - POLITICA EXTERNA"/>
    <x v="889"/>
    <n v="0"/>
    <n v="0"/>
    <n v="0"/>
  </r>
  <r>
    <x v="5"/>
    <s v="1041 - CONSERVACAO E USO SUSTENTAVEL DA BIODIVERSIDADE E DOS RECURSOS NATURAIS"/>
    <x v="604"/>
    <n v="392820"/>
    <n v="233916.91"/>
    <n v="214701.94"/>
  </r>
  <r>
    <x v="5"/>
    <s v="0617 - PROTECAO E PROMOCAO DOS DIREITOS DOS POVOS INDIGENAS"/>
    <x v="819"/>
    <n v="0"/>
    <n v="0"/>
    <n v="0"/>
  </r>
  <r>
    <x v="5"/>
    <s v="2207 - PROGRAMA ESPACIAL BRASILEIRO"/>
    <x v="190"/>
    <n v="0"/>
    <n v="0"/>
    <n v="9647941.9299999997"/>
  </r>
  <r>
    <x v="5"/>
    <s v="3001 - ENERGIA ELETRICA"/>
    <x v="613"/>
    <n v="0"/>
    <n v="1207.22"/>
    <n v="1074.43"/>
  </r>
  <r>
    <x v="5"/>
    <s v="5021 - GESTAO E ORGANIZACAO DO SUS"/>
    <x v="695"/>
    <n v="12890480.84"/>
    <n v="2038448.05"/>
    <n v="2037934.7"/>
  </r>
  <r>
    <x v="5"/>
    <s v="0902 - OPERACOES ESPECIAIS: FINANCIAMENTOS COM RETORNO"/>
    <x v="290"/>
    <n v="0"/>
    <n v="387261385.55000001"/>
    <n v="387261385.55000001"/>
  </r>
  <r>
    <x v="5"/>
    <s v="2209 - BRASIL, NOSSO PROPOSITO"/>
    <x v="137"/>
    <n v="30000"/>
    <n v="55253.15"/>
    <n v="22125.84"/>
  </r>
  <r>
    <x v="5"/>
    <s v="6011 - COOPERACAO COM O DESENVOLVIMENTO NACIONAL"/>
    <x v="852"/>
    <n v="5766000.9400000004"/>
    <n v="250682.05"/>
    <n v="250682.05"/>
  </r>
  <r>
    <x v="5"/>
    <s v="1043 - QUALIDADE AMBIENTAL URBANA"/>
    <x v="109"/>
    <n v="-77230"/>
    <n v="93043.71"/>
    <n v="93043.71"/>
  </r>
  <r>
    <x v="5"/>
    <s v="2206 - POLITICA NUCLEAR"/>
    <x v="687"/>
    <n v="982606.33"/>
    <n v="108611.83"/>
    <n v="105791.11"/>
  </r>
  <r>
    <x v="5"/>
    <s v="5035 - PROMOCAO DE CIDADANIA POR MEIO DO AUXILIO BRASIL E DA ARTICULACAO DE POLITICAS PUBLICAS"/>
    <x v="550"/>
    <n v="6000000"/>
    <n v="14719370804.52"/>
    <n v="14719370804.52"/>
  </r>
  <r>
    <x v="5"/>
    <s v="0032 - PROGRAMA DE GESTAO E MANUTENCAO DO PODER EXECUTIVO"/>
    <x v="91"/>
    <n v="9111100.7400000002"/>
    <n v="8908867.0600000005"/>
    <n v="8951073.7100000009"/>
  </r>
  <r>
    <x v="5"/>
    <s v="5011 - EDUCACAO BASICA DE QUALIDADE"/>
    <x v="929"/>
    <n v="52103729.390000001"/>
    <n v="45095278.18"/>
    <n v="45094579.390000001"/>
  </r>
  <r>
    <x v="5"/>
    <s v="5020 - DESENVOLVIMENTO CIENTIFICO, TECNOLOGICO E PRODUTIVO EM SAUDE"/>
    <x v="515"/>
    <n v="0"/>
    <n v="0"/>
    <n v="0"/>
  </r>
  <r>
    <x v="5"/>
    <s v="5016 - SEGURANCA PUBLICA, COMBATE A CORRUPCAO, AO CRIME ORGANIZADO E AO CRIME VIOLENTO"/>
    <x v="948"/>
    <n v="0"/>
    <n v="0"/>
    <n v="0"/>
  </r>
  <r>
    <x v="5"/>
    <s v="3006 - TRANSPORTE TERRESTRE E TRANSITO"/>
    <x v="332"/>
    <n v="2300000"/>
    <n v="429022.55"/>
    <n v="429022.55"/>
  </r>
  <r>
    <x v="5"/>
    <s v="2213 - MODERNIZACAO TRABALHISTA E TRABALHO DIGNO"/>
    <x v="201"/>
    <n v="4306095598"/>
    <n v="4306095598"/>
    <n v="4306095598"/>
  </r>
  <r>
    <x v="5"/>
    <s v="3006 - TRANSPORTE TERRESTRE E TRANSITO"/>
    <x v="582"/>
    <n v="7750801.5499999998"/>
    <n v="222738.45"/>
    <n v="222738.45"/>
  </r>
  <r>
    <x v="5"/>
    <s v="2077 - AGROPECUARIA SUSTENTAVEL"/>
    <x v="713"/>
    <n v="0"/>
    <n v="0"/>
    <n v="0"/>
  </r>
  <r>
    <x v="5"/>
    <s v="2109 - PROGRAMA DE GESTAO E MANUTENCAO DO MINISTERIO DA EDUCACAO"/>
    <x v="40"/>
    <n v="0"/>
    <n v="0"/>
    <n v="0"/>
  </r>
  <r>
    <x v="5"/>
    <s v="5016 - SEGURANCA PUBLICA, COMBATE A CORRUPCAO, AO CRIME ORGANIZADO E AO CRIME VIOLENTO"/>
    <x v="926"/>
    <n v="0"/>
    <n v="0"/>
    <n v="0"/>
  </r>
  <r>
    <x v="5"/>
    <s v="5021 - GESTAO E ORGANIZACAO DO SUS"/>
    <x v="26"/>
    <n v="0"/>
    <n v="5569.66"/>
    <n v="5569.66"/>
  </r>
  <r>
    <x v="5"/>
    <s v="2213 - MODERNIZACAO TRABALHISTA E TRABALHO DIGNO"/>
    <x v="315"/>
    <n v="252593.38"/>
    <n v="0"/>
    <n v="0"/>
  </r>
  <r>
    <x v="5"/>
    <s v="0910 - OPERACOES ESPECIAIS: GESTAO DA PARTICIPACAO EM ORGANISMOS E ENTIDADES NACIONAIS E INTERNACIONAIS"/>
    <x v="1101"/>
    <n v="0"/>
    <n v="400000"/>
    <n v="1400000"/>
  </r>
  <r>
    <x v="5"/>
    <s v="2215 - POLITICA ECONOMICA E EQUILIBRIO FISCAL"/>
    <x v="96"/>
    <n v="0"/>
    <n v="22350.76"/>
    <n v="22350.76"/>
  </r>
  <r>
    <x v="5"/>
    <s v="5016 - SEGURANCA PUBLICA, COMBATE A CORRUPCAO, AO CRIME ORGANIZADO E AO CRIME VIOLENTO"/>
    <x v="636"/>
    <n v="222089.83"/>
    <n v="361289.83"/>
    <n v="389589.83"/>
  </r>
  <r>
    <x v="5"/>
    <s v="2029 - DESENVOLVIMENTO REGIONAL E TERRITORIAL"/>
    <x v="196"/>
    <n v="0"/>
    <n v="0"/>
    <n v="0"/>
  </r>
  <r>
    <x v="5"/>
    <s v="3005 - TRANSPORTE AQUAVIARIO"/>
    <x v="155"/>
    <n v="0"/>
    <n v="2622787.9700000002"/>
    <n v="2622787.9700000002"/>
  </r>
  <r>
    <x v="5"/>
    <s v="2206 - POLITICA NUCLEAR"/>
    <x v="10"/>
    <n v="-22128.06"/>
    <n v="5982398.6699999999"/>
    <n v="5917338.4000000004"/>
  </r>
  <r>
    <x v="5"/>
    <s v="2208 - TECNOLOGIAS APLICADAS, INOVACAO E DESENVOLVIMENTO SUSTENTAVEL"/>
    <x v="559"/>
    <n v="0"/>
    <n v="0"/>
    <n v="0"/>
  </r>
  <r>
    <x v="5"/>
    <s v="2210 - EMPREGABILIDADE"/>
    <x v="803"/>
    <n v="8525"/>
    <n v="2601.37"/>
    <n v="2601.37"/>
  </r>
  <r>
    <x v="5"/>
    <s v="6014 - PREVENCAO E CONTROLE DO DESMATAMENTO E DOS INCENDIOS NOS BIOMAS"/>
    <x v="185"/>
    <n v="-3482058.2"/>
    <n v="8262943.79"/>
    <n v="9043411.9199999999"/>
  </r>
  <r>
    <x v="5"/>
    <s v="2216 - POLITICA EXTERNA"/>
    <x v="51"/>
    <n v="493643.76"/>
    <n v="480205.36"/>
    <n v="65851.839999999997"/>
  </r>
  <r>
    <x v="5"/>
    <s v="2217 - DESENVOLVIMENTO REGIONAL, TERRITORIAL E URBANO"/>
    <x v="630"/>
    <n v="10000"/>
    <n v="0"/>
    <n v="0"/>
  </r>
  <r>
    <x v="5"/>
    <s v="2207 - PROGRAMA ESPACIAL BRASILEIRO"/>
    <x v="45"/>
    <n v="789874.57"/>
    <n v="64136.56"/>
    <n v="92136.56"/>
  </r>
  <r>
    <x v="5"/>
    <s v="2021 - CIENCIA, TECNOLOGIA E INOVACAO"/>
    <x v="183"/>
    <n v="0"/>
    <n v="0"/>
    <n v="0"/>
  </r>
  <r>
    <x v="5"/>
    <s v="6011 - COOPERACAO COM O DESENVOLVIMENTO NACIONAL"/>
    <x v="430"/>
    <n v="334110.27"/>
    <n v="174555.16"/>
    <n v="50185.01"/>
  </r>
  <r>
    <x v="5"/>
    <s v="5021 - GESTAO E ORGANIZACAO DO SUS"/>
    <x v="211"/>
    <n v="1554837.58"/>
    <n v="1261615.96"/>
    <n v="1257891.25"/>
  </r>
  <r>
    <x v="5"/>
    <s v="1058 - MUDANCA DO CLIMA"/>
    <x v="1044"/>
    <n v="168002.91"/>
    <n v="13145.22"/>
    <n v="13145.22"/>
  </r>
  <r>
    <x v="5"/>
    <s v="2079 - DESENVOLVIMENTO DA INDUSTRIA, COMERCIO E SERVICOS"/>
    <x v="887"/>
    <n v="0"/>
    <n v="0"/>
    <n v="0"/>
  </r>
  <r>
    <x v="5"/>
    <s v="2064 - PROMOCAO E DEFESA DOS DIREITOS HUMANOS"/>
    <x v="1125"/>
    <n v="0"/>
    <n v="0"/>
    <n v="0"/>
  </r>
  <r>
    <x v="5"/>
    <s v="5021 - GESTAO E ORGANIZACAO DO SUS"/>
    <x v="94"/>
    <n v="0"/>
    <n v="0"/>
    <n v="0"/>
  </r>
  <r>
    <x v="5"/>
    <s v="2027 - CULTURA: DIMENSAO ESSENCIAL DO DESENVOLVIMENTO"/>
    <x v="986"/>
    <n v="0"/>
    <n v="0"/>
    <n v="0"/>
  </r>
  <r>
    <x v="5"/>
    <s v="5019 - ATENCAO PRIMARIA A SAUDE"/>
    <x v="286"/>
    <n v="301977661"/>
    <n v="0"/>
    <n v="0"/>
  </r>
  <r>
    <x v="5"/>
    <s v="2031 - EDUCACAO PROFISSIONAL E TECNOLOGICA"/>
    <x v="365"/>
    <n v="0"/>
    <n v="0"/>
    <n v="0"/>
  </r>
  <r>
    <x v="5"/>
    <s v="0909 - OPERACOES ESPECIAIS: OUTROS ENCARGOS ESPECIAIS"/>
    <x v="1065"/>
    <n v="0"/>
    <n v="6270906.7199999997"/>
    <n v="6270906.7199999997"/>
  </r>
  <r>
    <x v="5"/>
    <s v="5014 - ESTATISTICAS E AVALIACOES EDUCACIONAIS"/>
    <x v="707"/>
    <n v="31008777.48"/>
    <n v="6836315.8899999997"/>
    <n v="6603640.9299999997"/>
  </r>
  <r>
    <x v="5"/>
    <s v="0902 - OPERACOES ESPECIAIS: FINANCIAMENTOS COM RETORNO"/>
    <x v="161"/>
    <n v="0"/>
    <n v="7711497.1799999997"/>
    <n v="7711497.1799999997"/>
  </r>
  <r>
    <x v="5"/>
    <s v="3006 - TRANSPORTE TERRESTRE E TRANSITO"/>
    <x v="864"/>
    <n v="0"/>
    <n v="0"/>
    <n v="0"/>
  </r>
  <r>
    <x v="5"/>
    <s v="3006 - TRANSPORTE TERRESTRE E TRANSITO"/>
    <x v="530"/>
    <n v="684211.32"/>
    <n v="1748940.01"/>
    <n v="1479775.63"/>
  </r>
  <r>
    <x v="5"/>
    <s v="3005 - TRANSPORTE AQUAVIARIO"/>
    <x v="443"/>
    <n v="347871.38"/>
    <n v="399463.47"/>
    <n v="1073845.94"/>
  </r>
  <r>
    <x v="5"/>
    <s v="0032 - PROGRAMA DE GESTAO E MANUTENCAO DO PODER EXECUTIVO"/>
    <x v="78"/>
    <n v="430904.47"/>
    <n v="430904.47"/>
    <n v="430907.88"/>
  </r>
  <r>
    <x v="5"/>
    <s v="5013 - EDUCACAO SUPERIOR - GRADUACAO, POS-GRADUACAO, ENSINO, PESQUISA E EXTENSAO"/>
    <x v="850"/>
    <n v="0"/>
    <n v="0"/>
    <n v="0"/>
  </r>
  <r>
    <x v="5"/>
    <s v="5013 - EDUCACAO SUPERIOR - GRADUACAO, POS-GRADUACAO, ENSINO, PESQUISA E EXTENSAO"/>
    <x v="408"/>
    <n v="-7858.6"/>
    <n v="76028.69"/>
    <n v="100190.45"/>
  </r>
  <r>
    <x v="5"/>
    <s v="3006 - TRANSPORTE TERRESTRE E TRANSITO"/>
    <x v="420"/>
    <n v="0"/>
    <n v="2067710.59"/>
    <n v="4756833.67"/>
  </r>
  <r>
    <x v="5"/>
    <s v="2221 - RECURSOS HIDRICOS"/>
    <x v="807"/>
    <n v="22703659.34"/>
    <n v="0"/>
    <n v="0"/>
  </r>
  <r>
    <x v="5"/>
    <s v="3006 - TRANSPORTE TERRESTRE E TRANSITO"/>
    <x v="481"/>
    <n v="0"/>
    <n v="2281244.7000000002"/>
    <n v="215577.62"/>
  </r>
  <r>
    <x v="5"/>
    <s v="0909 - OPERACOES ESPECIAIS: OUTROS ENCARGOS ESPECIAIS"/>
    <x v="440"/>
    <n v="43762762.509999998"/>
    <n v="142549354.66999999"/>
    <n v="98656244.069999993"/>
  </r>
  <r>
    <x v="5"/>
    <s v="0910 - OPERACOES ESPECIAIS: GESTAO DA PARTICIPACAO EM ORGANISMOS E ENTIDADES NACIONAIS E INTERNACIONAIS"/>
    <x v="1104"/>
    <n v="297245"/>
    <n v="5167374"/>
    <n v="9807562"/>
  </r>
  <r>
    <x v="5"/>
    <s v="2223 - A HORA DO TURISMO"/>
    <x v="854"/>
    <n v="0"/>
    <n v="23650000"/>
    <n v="23650000"/>
  </r>
  <r>
    <x v="5"/>
    <s v="2209 - BRASIL, NOSSO PROPOSITO"/>
    <x v="428"/>
    <n v="24652"/>
    <n v="56164.58"/>
    <n v="57669.98"/>
  </r>
  <r>
    <x v="5"/>
    <s v="2084 - RECURSOS HIDRICOS"/>
    <x v="484"/>
    <n v="0"/>
    <n v="0"/>
    <n v="0"/>
  </r>
  <r>
    <x v="5"/>
    <s v="2058 - DEFESA NACIONAL"/>
    <x v="134"/>
    <n v="0"/>
    <n v="0"/>
    <n v="0"/>
  </r>
  <r>
    <x v="5"/>
    <s v="5011 - EDUCACAO BASICA DE QUALIDADE"/>
    <x v="432"/>
    <n v="30000"/>
    <n v="95745215"/>
    <n v="91755215"/>
  </r>
  <r>
    <x v="5"/>
    <s v="5025 - CULTURA"/>
    <x v="303"/>
    <n v="0"/>
    <n v="8175943.3099999996"/>
    <n v="8175398.8099999996"/>
  </r>
  <r>
    <x v="5"/>
    <s v="2222 - SANEAMENTO BASICO"/>
    <x v="1081"/>
    <n v="3560404.26"/>
    <n v="0"/>
    <n v="0"/>
  </r>
  <r>
    <x v="5"/>
    <s v="3006 - TRANSPORTE TERRESTRE E TRANSITO"/>
    <x v="531"/>
    <n v="0"/>
    <n v="0"/>
    <n v="0"/>
  </r>
  <r>
    <x v="5"/>
    <s v="2218 - GESTAO DE RISCOS E DE DESASTRES"/>
    <x v="536"/>
    <n v="1039718.61"/>
    <n v="1452449.16"/>
    <n v="1492867.15"/>
  </r>
  <r>
    <x v="5"/>
    <s v="3006 - TRANSPORTE TERRESTRE E TRANSITO"/>
    <x v="844"/>
    <n v="900000"/>
    <n v="0"/>
    <n v="0"/>
  </r>
  <r>
    <x v="5"/>
    <s v="6012 - DEFESA NACIONAL"/>
    <x v="763"/>
    <n v="1093473.6499999999"/>
    <n v="358939.38"/>
    <n v="297278.90000000002"/>
  </r>
  <r>
    <x v="5"/>
    <s v="5013 - EDUCACAO SUPERIOR - GRADUACAO, POS-GRADUACAO, ENSINO, PESQUISA E EXTENSAO"/>
    <x v="400"/>
    <n v="69785421.659999996"/>
    <n v="72431402.109999999"/>
    <n v="72431402.109999999"/>
  </r>
  <r>
    <x v="5"/>
    <s v="2222 - SANEAMENTO BASICO"/>
    <x v="444"/>
    <n v="0"/>
    <n v="0"/>
    <n v="0"/>
  </r>
  <r>
    <x v="5"/>
    <s v="3006 - TRANSPORTE TERRESTRE E TRANSITO"/>
    <x v="360"/>
    <n v="1200000"/>
    <n v="0"/>
    <n v="0"/>
  </r>
  <r>
    <x v="5"/>
    <s v="0910 - OPERACOES ESPECIAIS: GESTAO DA PARTICIPACAO EM ORGANISMOS E ENTIDADES NACIONAIS E INTERNACIONAIS"/>
    <x v="1056"/>
    <n v="-1383.5"/>
    <n v="-1383.5"/>
    <n v="-1383.5"/>
  </r>
  <r>
    <x v="5"/>
    <s v="5021 - GESTAO E ORGANIZACAO DO SUS"/>
    <x v="477"/>
    <n v="70000"/>
    <n v="87082.11"/>
    <n v="105328.32000000001"/>
  </r>
  <r>
    <x v="5"/>
    <s v="2221 - RECURSOS HIDRICOS"/>
    <x v="88"/>
    <n v="0"/>
    <n v="13811482.1"/>
    <n v="13811482.1"/>
  </r>
  <r>
    <x v="5"/>
    <s v="6013 - OCEANOS, ZONA COSTEIRA E ANTARTICA"/>
    <x v="805"/>
    <n v="0"/>
    <n v="0"/>
    <n v="0"/>
  </r>
  <r>
    <x v="5"/>
    <s v="0151 - PROTECAO DE TERRAS INDIGENAS, GESTAO TERRITORIAL E ETNODESENVOLVIMENTO"/>
    <x v="1126"/>
    <n v="77501"/>
    <n v="61171.68"/>
    <n v="52171.68"/>
  </r>
  <r>
    <x v="5"/>
    <s v="2208 - TECNOLOGIAS APLICADAS, INOVACAO E DESENVOLVIMENTO SUSTENTAVEL"/>
    <x v="191"/>
    <n v="1148331.8500000001"/>
    <n v="1757986.88"/>
    <n v="1735164.15"/>
  </r>
  <r>
    <x v="5"/>
    <s v="2201 - BRASIL MODERNIZA"/>
    <x v="14"/>
    <n v="0"/>
    <n v="0"/>
    <n v="0"/>
  </r>
  <r>
    <x v="5"/>
    <s v="0903 - OPERACOES ESPECIAIS: TRANSFERENCIAS CONSTITUCIONAIS E AS DECORRENTES DE LEGISLACAO ESPECIFICA"/>
    <x v="298"/>
    <n v="0"/>
    <n v="31685112.190000001"/>
    <n v="31685112.190000001"/>
  </r>
  <r>
    <x v="5"/>
    <s v="0032 - PROGRAMA DE GESTAO E MANUTENCAO DO PODER EXECUTIVO"/>
    <x v="17"/>
    <n v="791361.03"/>
    <n v="3124463.54"/>
    <n v="3261896.57"/>
  </r>
  <r>
    <x v="5"/>
    <s v="0032 - PROGRAMA DE GESTAO E MANUTENCAO DO PODER EXECUTIVO"/>
    <x v="425"/>
    <n v="0"/>
    <n v="0"/>
    <n v="0"/>
  </r>
  <r>
    <x v="5"/>
    <s v="5026 - ESPORTE"/>
    <x v="248"/>
    <n v="636233.87"/>
    <n v="1172726.18"/>
    <n v="1173871.77"/>
  </r>
  <r>
    <x v="5"/>
    <s v="0083 - PREVIDENCIA SOCIAL BASICA"/>
    <x v="489"/>
    <n v="0"/>
    <n v="0"/>
    <n v="0"/>
  </r>
  <r>
    <x v="5"/>
    <s v="0903 - OPERACOES ESPECIAIS: TRANSFERENCIAS CONSTITUCIONAIS E AS DECORRENTES DE LEGISLACAO ESPECIFICA"/>
    <x v="64"/>
    <n v="0"/>
    <n v="11101493052.719999"/>
    <n v="11101493052.719999"/>
  </r>
  <r>
    <x v="5"/>
    <s v="3006 - TRANSPORTE TERRESTRE E TRANSITO"/>
    <x v="166"/>
    <n v="0"/>
    <n v="0"/>
    <n v="0"/>
  </r>
  <r>
    <x v="5"/>
    <s v="2205 - CONECTA BRASIL"/>
    <x v="148"/>
    <n v="10427119.51"/>
    <n v="13689651.02"/>
    <n v="27073630.350000001"/>
  </r>
  <r>
    <x v="5"/>
    <s v="2206 - POLITICA NUCLEAR"/>
    <x v="496"/>
    <n v="0"/>
    <n v="0"/>
    <n v="0"/>
  </r>
  <r>
    <x v="5"/>
    <s v="2080 - EDUCACAO DE QUALIDADE PARA TODOS"/>
    <x v="859"/>
    <n v="0"/>
    <n v="0"/>
    <n v="0"/>
  </r>
  <r>
    <x v="5"/>
    <s v="6012 - DEFESA NACIONAL"/>
    <x v="1085"/>
    <n v="0"/>
    <n v="0"/>
    <n v="0"/>
  </r>
  <r>
    <x v="5"/>
    <s v="3006 - TRANSPORTE TERRESTRE E TRANSITO"/>
    <x v="418"/>
    <n v="0"/>
    <n v="0"/>
    <n v="0"/>
  </r>
  <r>
    <x v="5"/>
    <s v="1031 - AGROPECUARIA SUSTENTAVEL"/>
    <x v="231"/>
    <n v="0"/>
    <n v="0"/>
    <n v="0"/>
  </r>
  <r>
    <x v="5"/>
    <s v="2221 - RECURSOS HIDRICOS"/>
    <x v="203"/>
    <n v="0"/>
    <n v="0"/>
    <n v="0"/>
  </r>
  <r>
    <x v="5"/>
    <s v="5017 - ASSISTENCIA FARMACEUTICA NO SUS"/>
    <x v="229"/>
    <n v="60605806.159999996"/>
    <n v="56188002.049999997"/>
    <n v="40938632.229999997"/>
  </r>
  <r>
    <x v="5"/>
    <s v="0032 - PROGRAMA DE GESTAO E MANUTENCAO DO PODER EXECUTIVO"/>
    <x v="626"/>
    <n v="347000"/>
    <n v="2547000"/>
    <n v="2200000"/>
  </r>
  <r>
    <x v="5"/>
    <s v="2217 - DESENVOLVIMENTO REGIONAL, TERRITORIAL E URBANO"/>
    <x v="527"/>
    <n v="0"/>
    <n v="11076868.220000001"/>
    <n v="14771016.939999999"/>
  </r>
  <r>
    <x v="5"/>
    <s v="0903 - OPERACOES ESPECIAIS: TRANSFERENCIAS CONSTITUCIONAIS E AS DECORRENTES DE LEGISLACAO ESPECIFICA"/>
    <x v="128"/>
    <n v="248158659.72999999"/>
    <n v="248220845.94999999"/>
    <n v="165864090.53"/>
  </r>
  <r>
    <x v="5"/>
    <s v="2021 - CIENCIA, TECNOLOGIA E INOVACAO"/>
    <x v="674"/>
    <n v="0"/>
    <n v="0"/>
    <n v="0"/>
  </r>
  <r>
    <x v="5"/>
    <s v="4002 - SEGURANCA INSTITUCIONAL"/>
    <x v="193"/>
    <n v="0"/>
    <n v="36088.57"/>
    <n v="42688.57"/>
  </r>
  <r>
    <x v="5"/>
    <s v="2208 - TECNOLOGIAS APLICADAS, INOVACAO E DESENVOLVIMENTO SUSTENTAVEL"/>
    <x v="804"/>
    <n v="1499999.99"/>
    <n v="0"/>
    <n v="0.16"/>
  </r>
  <r>
    <x v="5"/>
    <s v="2206 - POLITICA NUCLEAR"/>
    <x v="659"/>
    <n v="185418.53"/>
    <n v="69388.63"/>
    <n v="59923.37"/>
  </r>
  <r>
    <x v="5"/>
    <s v="2015 - FORTALECIMENTO DO SISTEMA UNICO DE SAUDE (SUS)"/>
    <x v="902"/>
    <n v="0"/>
    <n v="0"/>
    <n v="0"/>
  </r>
  <r>
    <x v="5"/>
    <s v="2204 - BRASIL NA FRONTEIRA DO CONHECIMENTO"/>
    <x v="183"/>
    <n v="91912034.950000003"/>
    <n v="81971654.329999998"/>
    <n v="80986758.180000007"/>
  </r>
  <r>
    <x v="5"/>
    <s v="0903 - OPERACOES ESPECIAIS: TRANSFERENCIAS CONSTITUCIONAIS E AS DECORRENTES DE LEGISLACAO ESPECIFICA"/>
    <x v="215"/>
    <n v="0"/>
    <n v="96418208.290000007"/>
    <n v="96418208.290000007"/>
  </r>
  <r>
    <x v="5"/>
    <s v="6012 - DEFESA NACIONAL"/>
    <x v="301"/>
    <n v="-37339.160000000003"/>
    <n v="0"/>
    <n v="0"/>
  </r>
  <r>
    <x v="5"/>
    <s v="3006 - TRANSPORTE TERRESTRE E TRANSITO"/>
    <x v="853"/>
    <n v="0"/>
    <n v="262812.84000000003"/>
    <n v="919617.29"/>
  </r>
  <r>
    <x v="5"/>
    <s v="0903 - OPERACOES ESPECIAIS: TRANSFERENCIAS CONSTITUCIONAIS E AS DECORRENTES DE LEGISLACAO ESPECIFICA"/>
    <x v="1127"/>
    <n v="0"/>
    <n v="0"/>
    <n v="0"/>
  </r>
  <r>
    <x v="5"/>
    <s v="2080 - EDUCACAO DE QUALIDADE PARA TODOS"/>
    <x v="682"/>
    <n v="0"/>
    <n v="0"/>
    <n v="0"/>
  </r>
  <r>
    <x v="5"/>
    <s v="0032 - PROGRAMA DE GESTAO E MANUTENCAO DO PODER EXECUTIVO"/>
    <x v="237"/>
    <n v="-50000"/>
    <n v="3585280.27"/>
    <n v="1967937.31"/>
  </r>
  <r>
    <x v="5"/>
    <s v="6012 - DEFESA NACIONAL"/>
    <x v="683"/>
    <n v="1086242.46"/>
    <n v="1158322.48"/>
    <n v="1157568.1599999999"/>
  </r>
  <r>
    <x v="5"/>
    <s v="1031 - AGROPECUARIA SUSTENTAVEL"/>
    <x v="981"/>
    <n v="0"/>
    <n v="0"/>
    <n v="0"/>
  </r>
  <r>
    <x v="5"/>
    <s v="3006 - TRANSPORTE TERRESTRE E TRANSITO"/>
    <x v="835"/>
    <n v="0"/>
    <n v="148466.51"/>
    <n v="148466.51"/>
  </r>
  <r>
    <x v="5"/>
    <s v="3006 - TRANSPORTE TERRESTRE E TRANSITO"/>
    <x v="421"/>
    <n v="86976.39"/>
    <n v="6183121.4100000001"/>
    <n v="7214647.3600000003"/>
  </r>
  <r>
    <x v="5"/>
    <s v="2207 - PROGRAMA ESPACIAL BRASILEIRO"/>
    <x v="719"/>
    <n v="16163025.83"/>
    <n v="569775.01"/>
    <n v="569775.01"/>
  </r>
  <r>
    <x v="5"/>
    <s v="5020 - DESENVOLVIMENTO CIENTIFICO, TECNOLOGICO E PRODUTIVO EM SAUDE"/>
    <x v="612"/>
    <n v="0"/>
    <n v="0"/>
    <n v="0"/>
  </r>
  <r>
    <x v="5"/>
    <s v="0909 - OPERACOES ESPECIAIS: OUTROS ENCARGOS ESPECIAIS"/>
    <x v="1128"/>
    <n v="906801538"/>
    <n v="906801538"/>
    <n v="906801538"/>
  </r>
  <r>
    <x v="5"/>
    <s v="5031 - PROTECAO SOCIAL NO AMBITO DO SISTEMA UNICO DE ASSISTENCIA SOCIAL (SUAS)"/>
    <x v="463"/>
    <n v="71200605.329999998"/>
    <n v="0"/>
    <n v="0"/>
  </r>
  <r>
    <x v="5"/>
    <s v="0909 - OPERACOES ESPECIAIS: OUTROS ENCARGOS ESPECIAIS"/>
    <x v="846"/>
    <n v="22000000"/>
    <n v="8599521.4399999995"/>
    <n v="12720971.66"/>
  </r>
  <r>
    <x v="5"/>
    <s v="2204 - BRASIL NA FRONTEIRA DO CONHECIMENTO"/>
    <x v="208"/>
    <n v="13408015.25"/>
    <n v="3146151.37"/>
    <n v="3328691.37"/>
  </r>
  <r>
    <x v="5"/>
    <s v="0903 - OPERACOES ESPECIAIS: TRANSFERENCIAS CONSTITUCIONAIS E AS DECORRENTES DE LEGISLACAO ESPECIFICA"/>
    <x v="670"/>
    <n v="60959722.170000002"/>
    <n v="60952450.509999998"/>
    <n v="43155780.509999998"/>
  </r>
  <r>
    <x v="5"/>
    <s v="5021 - GESTAO E ORGANIZACAO DO SUS"/>
    <x v="312"/>
    <n v="900000"/>
    <n v="187285.84"/>
    <n v="191515.47"/>
  </r>
  <r>
    <x v="5"/>
    <s v="2212 - MELHORIA DO AMBIENTE DE NEGOCIOS E DA PRODUTIVIDADE"/>
    <x v="329"/>
    <n v="31139683.600000001"/>
    <n v="31816145.399999999"/>
    <n v="31816145.399999999"/>
  </r>
  <r>
    <x v="5"/>
    <s v="3006 - TRANSPORTE TERRESTRE E TRANSITO"/>
    <x v="405"/>
    <n v="3221559.66"/>
    <n v="196720.18"/>
    <n v="196720.18"/>
  </r>
  <r>
    <x v="5"/>
    <s v="2080 - EDUCACAO DE QUALIDADE PARA TODOS"/>
    <x v="258"/>
    <n v="0"/>
    <n v="0"/>
    <n v="0"/>
  </r>
  <r>
    <x v="5"/>
    <s v="5021 - GESTAO E ORGANIZACAO DO SUS"/>
    <x v="873"/>
    <n v="2973621"/>
    <n v="2973621"/>
    <n v="0"/>
  </r>
  <r>
    <x v="5"/>
    <s v="2029 - DESENVOLVIMENTO REGIONAL E TERRITORIAL"/>
    <x v="1129"/>
    <n v="0"/>
    <n v="0"/>
    <n v="0"/>
  </r>
  <r>
    <x v="5"/>
    <s v="2035 - ESPORTE, CIDADANIA E DESENVOLVIMENTO"/>
    <x v="223"/>
    <n v="0"/>
    <n v="0"/>
    <n v="0"/>
  </r>
  <r>
    <x v="5"/>
    <s v="3006 - TRANSPORTE TERRESTRE E TRANSITO"/>
    <x v="334"/>
    <n v="3092441"/>
    <n v="6498626.0700000003"/>
    <n v="6498626.0700000003"/>
  </r>
  <r>
    <x v="5"/>
    <s v="0033 - PROGRAMA DE GESTAO E MANUTENCAO DO PODER JUDICIARIO"/>
    <x v="1130"/>
    <n v="566400.71"/>
    <n v="478834.31"/>
    <n v="478834.31"/>
  </r>
  <r>
    <x v="5"/>
    <s v="6015 - EDUCACAO INFANTIL"/>
    <x v="923"/>
    <n v="19863437.620000001"/>
    <n v="26572761.27"/>
    <n v="26572761.27"/>
  </r>
  <r>
    <x v="5"/>
    <s v="5026 - ESPORTE"/>
    <x v="947"/>
    <n v="3330667"/>
    <n v="0"/>
    <n v="0"/>
  </r>
  <r>
    <x v="5"/>
    <s v="1031 - AGROPECUARIA SUSTENTAVEL"/>
    <x v="474"/>
    <n v="0"/>
    <n v="0"/>
    <n v="0"/>
  </r>
  <r>
    <x v="5"/>
    <s v="3004 - AVIACAO CIVIL"/>
    <x v="379"/>
    <n v="0"/>
    <n v="4160395.48"/>
    <n v="4160395.48"/>
  </r>
  <r>
    <x v="5"/>
    <s v="2208 - TECNOLOGIAS APLICADAS, INOVACAO E DESENVOLVIMENTO SUSTENTAVEL"/>
    <x v="879"/>
    <n v="4676556.34"/>
    <n v="0"/>
    <n v="0"/>
  </r>
  <r>
    <x v="5"/>
    <s v="6012 - DEFESA NACIONAL"/>
    <x v="279"/>
    <n v="19949.39"/>
    <n v="50019.199999999997"/>
    <n v="50019.199999999997"/>
  </r>
  <r>
    <x v="5"/>
    <s v="2223 - A HORA DO TURISMO"/>
    <x v="217"/>
    <n v="-2292.1799999999998"/>
    <n v="4351.79"/>
    <n v="4351.79"/>
  </r>
  <r>
    <x v="5"/>
    <s v="5026 - ESPORTE"/>
    <x v="92"/>
    <n v="0"/>
    <n v="7495862.5"/>
    <n v="7495862.5"/>
  </r>
  <r>
    <x v="5"/>
    <s v="3006 - TRANSPORTE TERRESTRE E TRANSITO"/>
    <x v="994"/>
    <n v="4699284.5199999996"/>
    <n v="118526.08"/>
    <n v="125789.37"/>
  </r>
  <r>
    <x v="5"/>
    <s v="5020 - DESENVOLVIMENTO CIENTIFICO, TECNOLOGICO E PRODUTIVO EM SAUDE"/>
    <x v="576"/>
    <n v="2055684.02"/>
    <n v="3793931.68"/>
    <n v="4059404.54"/>
  </r>
  <r>
    <x v="5"/>
    <s v="2217 - DESENVOLVIMENTO REGIONAL, TERRITORIAL E URBANO"/>
    <x v="545"/>
    <n v="0"/>
    <n v="0"/>
    <n v="0"/>
  </r>
  <r>
    <x v="5"/>
    <s v="0903 - OPERACOES ESPECIAIS: TRANSFERENCIAS CONSTITUCIONAIS E AS DECORRENTES DE LEGISLACAO ESPECIFICA"/>
    <x v="2"/>
    <n v="0"/>
    <n v="5793309144"/>
    <n v="5793309144"/>
  </r>
  <r>
    <x v="5"/>
    <s v="5013 - EDUCACAO SUPERIOR - GRADUACAO, POS-GRADUACAO, ENSINO, PESQUISA E EXTENSAO"/>
    <x v="95"/>
    <n v="90000"/>
    <n v="256913.95"/>
    <n v="183713.95"/>
  </r>
  <r>
    <x v="5"/>
    <s v="5019 - ATENCAO PRIMARIA A SAUDE"/>
    <x v="1034"/>
    <n v="801268562"/>
    <n v="1695263399"/>
    <n v="1695263399"/>
  </r>
  <r>
    <x v="5"/>
    <s v="2211 - INSERCAO ECONOMICA INTERNACIONAL"/>
    <x v="147"/>
    <n v="284000"/>
    <n v="324011.75"/>
    <n v="234968.57"/>
  </r>
  <r>
    <x v="5"/>
    <s v="2216 - POLITICA EXTERNA"/>
    <x v="1092"/>
    <n v="-30086.34"/>
    <n v="-30086.34"/>
    <n v="-30086.34"/>
  </r>
  <r>
    <x v="5"/>
    <s v="0905 - OPERACOES ESPECIAIS: SERVICO DA DIVIDA INTERNA (JUROS EAMORTIZACOES)"/>
    <x v="0"/>
    <n v="45279564353.650002"/>
    <n v="1488493031.1099999"/>
    <n v="1488493031.1099999"/>
  </r>
  <r>
    <x v="5"/>
    <s v="3006 - TRANSPORTE TERRESTRE E TRANSITO"/>
    <x v="355"/>
    <n v="500000"/>
    <n v="83488.539999999994"/>
    <n v="83488.539999999994"/>
  </r>
  <r>
    <x v="5"/>
    <s v="6012 - DEFESA NACIONAL"/>
    <x v="276"/>
    <n v="1462844.28"/>
    <n v="223743.69"/>
    <n v="226421.43"/>
  </r>
  <r>
    <x v="5"/>
    <s v="5020 - DESENVOLVIMENTO CIENTIFICO, TECNOLOGICO E PRODUTIVO EM SAUDE"/>
    <x v="1032"/>
    <n v="0"/>
    <n v="0"/>
    <n v="0"/>
  </r>
  <r>
    <x v="5"/>
    <s v="5013 - EDUCACAO SUPERIOR - GRADUACAO, POS-GRADUACAO, ENSINO, PESQUISA E EXTENSAO"/>
    <x v="409"/>
    <n v="7008480.4000000004"/>
    <n v="4881275.1500000004"/>
    <n v="4881280.4000000004"/>
  </r>
  <r>
    <x v="5"/>
    <s v="0910 - OPERACOES ESPECIAIS: GESTAO DA PARTICIPACAO EM ORGANISMOS E ENTIDADES NACIONAIS E INTERNACIONAIS"/>
    <x v="1131"/>
    <n v="700000"/>
    <n v="657439.81999999995"/>
    <n v="657439.81999999995"/>
  </r>
  <r>
    <x v="5"/>
    <s v="3006 - TRANSPORTE TERRESTRE E TRANSITO"/>
    <x v="141"/>
    <n v="54977212"/>
    <n v="8194580.2699999996"/>
    <n v="12402723.390000001"/>
  </r>
  <r>
    <x v="5"/>
    <s v="2058 - DEFESA NACIONAL"/>
    <x v="130"/>
    <n v="0"/>
    <n v="0"/>
    <n v="0"/>
  </r>
  <r>
    <x v="5"/>
    <s v="2208 - TECNOLOGIAS APLICADAS, INOVACAO E DESENVOLVIMENTO SUSTENTAVEL"/>
    <x v="179"/>
    <n v="2324228.42"/>
    <n v="3748307.2"/>
    <n v="3998580"/>
  </r>
  <r>
    <x v="5"/>
    <s v="6013 - OCEANOS, ZONA COSTEIRA E ANTARTICA"/>
    <x v="764"/>
    <n v="11096.53"/>
    <n v="23306.93"/>
    <n v="49976.3"/>
  </r>
  <r>
    <x v="5"/>
    <s v="0032 - PROGRAMA DE GESTAO E MANUTENCAO DO PODER EXECUTIVO"/>
    <x v="517"/>
    <n v="286085"/>
    <n v="961652.91"/>
    <n v="953793.99"/>
  </r>
  <r>
    <x v="5"/>
    <s v="1058 - MUDANCA DO CLIMA"/>
    <x v="620"/>
    <n v="0"/>
    <n v="0"/>
    <n v="0"/>
  </r>
  <r>
    <x v="5"/>
    <s v="0034 - PROGRAMA DE GESTAO E MANUTENCAO DO PODER LEGISLATIVO"/>
    <x v="834"/>
    <n v="4505.5"/>
    <n v="4505.5"/>
    <n v="0"/>
  </r>
  <r>
    <x v="5"/>
    <s v="2219 - MOBILIDADE URBANA"/>
    <x v="142"/>
    <n v="0"/>
    <n v="0"/>
    <n v="0"/>
  </r>
  <r>
    <x v="5"/>
    <s v="5018 - ATENCAO ESPECIALIZADA A SAUDE"/>
    <x v="292"/>
    <n v="11603461.58"/>
    <n v="5571022.8200000003"/>
    <n v="6048673.8300000001"/>
  </r>
  <r>
    <x v="5"/>
    <s v="0906 - OPERACOES ESPECIAIS: SERVICO DA DIVIDA EXTERNA (JUROS EAMORTIZACOES)"/>
    <x v="1062"/>
    <n v="643696983.94000006"/>
    <n v="643696983.94000006"/>
    <n v="643696983.94000006"/>
  </r>
  <r>
    <x v="5"/>
    <s v="2212 - MELHORIA DO AMBIENTE DE NEGOCIOS E DA PRODUTIVIDADE"/>
    <x v="767"/>
    <n v="239425.41"/>
    <n v="696396.72"/>
    <n v="765127.26"/>
  </r>
  <r>
    <x v="5"/>
    <s v="3001 - ENERGIA ELETRICA"/>
    <x v="106"/>
    <n v="160000"/>
    <n v="1718784.02"/>
    <n v="1680489.22"/>
  </r>
  <r>
    <x v="5"/>
    <s v="3001 - ENERGIA ELETRICA"/>
    <x v="915"/>
    <n v="41000"/>
    <n v="21260.35"/>
    <n v="21260.35"/>
  </r>
  <r>
    <x v="5"/>
    <s v="3006 - TRANSPORTE TERRESTRE E TRANSITO"/>
    <x v="808"/>
    <n v="1000000"/>
    <n v="210235.12"/>
    <n v="210235.12"/>
  </r>
  <r>
    <x v="5"/>
    <s v="0909 - OPERACOES ESPECIAIS: OUTROS ENCARGOS ESPECIAIS"/>
    <x v="288"/>
    <n v="0"/>
    <n v="2145706.34"/>
    <n v="1833497.63"/>
  </r>
  <r>
    <x v="5"/>
    <s v="0032 - PROGRAMA DE GESTAO E MANUTENCAO DO PODER EXECUTIVO"/>
    <x v="745"/>
    <n v="0"/>
    <n v="2881094058.4200001"/>
    <n v="2881094058.4200001"/>
  </r>
  <r>
    <x v="5"/>
    <s v="0033 - PROGRAMA DE GESTAO E MANUTENCAO DO PODER JUDICIARIO"/>
    <x v="415"/>
    <n v="0"/>
    <n v="0"/>
    <n v="0"/>
  </r>
  <r>
    <x v="5"/>
    <s v="3006 - TRANSPORTE TERRESTRE E TRANSITO"/>
    <x v="416"/>
    <n v="19000000"/>
    <n v="11361525.869999999"/>
    <n v="11361525.869999999"/>
  </r>
  <r>
    <x v="5"/>
    <s v="3006 - TRANSPORTE TERRESTRE E TRANSITO"/>
    <x v="837"/>
    <n v="0"/>
    <n v="0"/>
    <n v="0"/>
  </r>
  <r>
    <x v="5"/>
    <s v="6012 - DEFESA NACIONAL"/>
    <x v="591"/>
    <n v="0"/>
    <n v="32706.84"/>
    <n v="52031.97"/>
  </r>
  <r>
    <x v="5"/>
    <s v="2208 - TECNOLOGIAS APLICADAS, INOVACAO E DESENVOLVIMENTO SUSTENTAVEL"/>
    <x v="820"/>
    <n v="0"/>
    <n v="0"/>
    <n v="0"/>
  </r>
  <r>
    <x v="5"/>
    <s v="6012 - DEFESA NACIONAL"/>
    <x v="220"/>
    <n v="177529.55"/>
    <n v="23155470.440000001"/>
    <n v="25425503.16"/>
  </r>
  <r>
    <x v="5"/>
    <s v="5019 - ATENCAO PRIMARIA A SAUDE"/>
    <x v="412"/>
    <n v="4212000"/>
    <n v="4212000"/>
    <n v="4212000"/>
  </r>
  <r>
    <x v="5"/>
    <s v="2206 - POLITICA NUCLEAR"/>
    <x v="198"/>
    <n v="0"/>
    <n v="0"/>
    <n v="0"/>
  </r>
  <r>
    <x v="5"/>
    <s v="2204 - BRASIL NA FRONTEIRA DO CONHECIMENTO"/>
    <x v="598"/>
    <n v="11115320.390000001"/>
    <n v="44366925.359999999"/>
    <n v="62223619.409999996"/>
  </r>
  <r>
    <x v="5"/>
    <s v="0901 - OPERACOES ESPECIAIS: CUMPRIMENTO DE SENTENCAS JUDICIAIS"/>
    <x v="244"/>
    <n v="0"/>
    <n v="49843183.539999999"/>
    <n v="49843183.539999999"/>
  </r>
  <r>
    <x v="5"/>
    <s v="2221 - RECURSOS HIDRICOS"/>
    <x v="663"/>
    <n v="115407366.81"/>
    <n v="7299015.0999999996"/>
    <n v="17881776.09"/>
  </r>
  <r>
    <x v="5"/>
    <s v="6012 - DEFESA NACIONAL"/>
    <x v="65"/>
    <n v="119762"/>
    <n v="172867.01"/>
    <n v="325219.77"/>
  </r>
  <r>
    <x v="5"/>
    <s v="5023 - VIGILANCIA EM SAUDE"/>
    <x v="234"/>
    <n v="19959921.5"/>
    <n v="18570883.579999998"/>
    <n v="12177548.58"/>
  </r>
  <r>
    <x v="5"/>
    <s v="2221 - RECURSOS HIDRICOS"/>
    <x v="615"/>
    <n v="73312.41"/>
    <n v="4428.4799999999996"/>
    <n v="11037.08"/>
  </r>
  <r>
    <x v="5"/>
    <s v="3006 - TRANSPORTE TERRESTRE E TRANSITO"/>
    <x v="601"/>
    <n v="0"/>
    <n v="0"/>
    <n v="0"/>
  </r>
  <r>
    <x v="5"/>
    <s v="5028 - INCLUSAO SOCIAL POR MEIO DO BOLSA FAMILIA E DA ARTICULACAO DE POLITICAS PUBLICAS"/>
    <x v="152"/>
    <n v="0"/>
    <n v="0"/>
    <n v="0"/>
  </r>
  <r>
    <x v="5"/>
    <s v="5023 - VIGILANCIA EM SAUDE"/>
    <x v="145"/>
    <n v="165071280"/>
    <n v="164590800"/>
    <n v="164590800"/>
  </r>
  <r>
    <x v="5"/>
    <s v="2076 - DESENVOLVIMENTO E PROMOCAO DO TURISMO"/>
    <x v="13"/>
    <n v="0"/>
    <n v="0"/>
    <n v="0"/>
  </r>
  <r>
    <x v="5"/>
    <s v="5018 - ATENCAO ESPECIALIZADA A SAUDE"/>
    <x v="502"/>
    <n v="48872619.939999998"/>
    <n v="5818054.6399999997"/>
    <n v="5796527.6500000004"/>
  </r>
  <r>
    <x v="5"/>
    <s v="0906 - OPERACOES ESPECIAIS: SERVICO DA DIVIDA EXTERNA (JUROS EAMORTIZACOES)"/>
    <x v="127"/>
    <n v="1138198579.71"/>
    <n v="1138198579.71"/>
    <n v="1138198579.71"/>
  </r>
  <r>
    <x v="5"/>
    <s v="2211 - INSERCAO ECONOMICA INTERNACIONAL"/>
    <x v="352"/>
    <n v="0"/>
    <n v="0"/>
    <n v="0"/>
  </r>
  <r>
    <x v="5"/>
    <s v="2221 - RECURSOS HIDRICOS"/>
    <x v="484"/>
    <n v="22402824.100000001"/>
    <n v="4545551.9400000004"/>
    <n v="11064448.359999999"/>
  </r>
  <r>
    <x v="5"/>
    <s v="5014 - ESTATISTICAS E AVALIACOES EDUCACIONAIS"/>
    <x v="755"/>
    <n v="29472391.620000001"/>
    <n v="5911139.2800000003"/>
    <n v="5900985.1200000001"/>
  </r>
  <r>
    <x v="5"/>
    <s v="4003 - GARANTIA DA ESTABILIDADE MONETARIA E FINANCEIRA"/>
    <x v="728"/>
    <n v="1869804.82"/>
    <n v="12139092.17"/>
    <n v="16451948.800000001"/>
  </r>
  <r>
    <x v="5"/>
    <s v="6014 - PREVENCAO E CONTROLE DO DESMATAMENTO E DOS INCENDIOS NOS BIOMAS"/>
    <x v="1048"/>
    <n v="1914546.08"/>
    <n v="2830362.05"/>
    <n v="6673614.2999999998"/>
  </r>
  <r>
    <x v="5"/>
    <s v="3001 - ENERGIA ELETRICA"/>
    <x v="16"/>
    <n v="59726.559999999998"/>
    <n v="716132.87"/>
    <n v="723629.21"/>
  </r>
  <r>
    <x v="5"/>
    <s v="2058 - DEFESA NACIONAL"/>
    <x v="589"/>
    <n v="0"/>
    <n v="0"/>
    <n v="0"/>
  </r>
  <r>
    <x v="5"/>
    <s v="2080 - EDUCACAO DE QUALIDADE PARA TODOS"/>
    <x v="798"/>
    <n v="0"/>
    <n v="0"/>
    <n v="0"/>
  </r>
  <r>
    <x v="5"/>
    <s v="6012 - DEFESA NACIONAL"/>
    <x v="210"/>
    <n v="0"/>
    <n v="0"/>
    <n v="0"/>
  </r>
  <r>
    <x v="5"/>
    <s v="2212 - MELHORIA DO AMBIENTE DE NEGOCIOS E DA PRODUTIVIDADE"/>
    <x v="238"/>
    <n v="0"/>
    <n v="706743.28"/>
    <n v="578664.77"/>
  </r>
  <r>
    <x v="5"/>
    <s v="0909 - OPERACOES ESPECIAIS: OUTROS ENCARGOS ESPECIAIS"/>
    <x v="18"/>
    <n v="25566533.850000001"/>
    <n v="25566533.850000001"/>
    <n v="25566533.850000001"/>
  </r>
  <r>
    <x v="5"/>
    <s v="1058 - MUDANCA DO CLIMA"/>
    <x v="567"/>
    <n v="235388.14"/>
    <n v="840471.41"/>
    <n v="845794.29"/>
  </r>
  <r>
    <x v="5"/>
    <s v="2208 - TECNOLOGIAS APLICADAS, INOVACAO E DESENVOLVIMENTO SUSTENTAVEL"/>
    <x v="285"/>
    <n v="3305070.27"/>
    <n v="14989080.75"/>
    <n v="15347430.75"/>
  </r>
  <r>
    <x v="5"/>
    <s v="2216 - POLITICA EXTERNA"/>
    <x v="734"/>
    <n v="20200382.260000002"/>
    <n v="304716.74"/>
    <n v="308742.5"/>
  </r>
  <r>
    <x v="5"/>
    <s v="2208 - TECNOLOGIAS APLICADAS, INOVACAO E DESENVOLVIMENTO SUSTENTAVEL"/>
    <x v="333"/>
    <n v="0"/>
    <n v="510118.16"/>
    <n v="8771918.6099999994"/>
  </r>
  <r>
    <x v="5"/>
    <s v="3001 - ENERGIA ELETRICA"/>
    <x v="868"/>
    <n v="15000"/>
    <n v="46456.54"/>
    <n v="43130.06"/>
  </r>
  <r>
    <x v="5"/>
    <s v="2221 - RECURSOS HIDRICOS"/>
    <x v="414"/>
    <n v="0"/>
    <n v="0"/>
    <n v="0"/>
  </r>
  <r>
    <x v="5"/>
    <s v="3005 - TRANSPORTE AQUAVIARIO"/>
    <x v="367"/>
    <n v="51917983.740000002"/>
    <n v="435599.47"/>
    <n v="28321.73"/>
  </r>
  <r>
    <x v="5"/>
    <s v="2207 - PROGRAMA ESPACIAL BRASILEIRO"/>
    <x v="381"/>
    <n v="677630.43"/>
    <n v="2638172.09"/>
    <n v="3138128.17"/>
  </r>
  <r>
    <x v="5"/>
    <s v="1043 - QUALIDADE AMBIENTAL URBANA"/>
    <x v="72"/>
    <n v="4262.37"/>
    <n v="37366.949999999997"/>
    <n v="37366.949999999997"/>
  </r>
  <r>
    <x v="5"/>
    <s v="2012 - FORTALECIMENTO E DINAMIZACAO DA AGRICULTURA FAMILIAR"/>
    <x v="569"/>
    <n v="0"/>
    <n v="0"/>
    <n v="0"/>
  </r>
  <r>
    <x v="5"/>
    <s v="2221 - RECURSOS HIDRICOS"/>
    <x v="1077"/>
    <n v="0"/>
    <n v="0"/>
    <n v="0"/>
  </r>
  <r>
    <x v="5"/>
    <s v="2015 - FORTALECIMENTO DO SISTEMA UNICO DE SAUDE (SUS)"/>
    <x v="437"/>
    <n v="0"/>
    <n v="0"/>
    <n v="0"/>
  </r>
  <r>
    <x v="5"/>
    <s v="6012 - DEFESA NACIONAL"/>
    <x v="878"/>
    <n v="-460664.82"/>
    <n v="65569.05"/>
    <n v="56939.05"/>
  </r>
  <r>
    <x v="5"/>
    <s v="0909 - OPERACOES ESPECIAIS: OUTROS ENCARGOS ESPECIAIS"/>
    <x v="181"/>
    <n v="196640505"/>
    <n v="0"/>
    <n v="0"/>
  </r>
  <r>
    <x v="5"/>
    <s v="0903 - OPERACOES ESPECIAIS: TRANSFERENCIAS CONSTITUCIONAIS E AS DECORRENTES DE LEGISLACAO ESPECIFICA"/>
    <x v="253"/>
    <n v="550911768.84000003"/>
    <n v="601720627.84000003"/>
    <n v="579243010.99000001"/>
  </r>
  <r>
    <x v="5"/>
    <s v="6012 - DEFESA NACIONAL"/>
    <x v="442"/>
    <n v="16335.78"/>
    <n v="87686.97"/>
    <n v="79784.3"/>
  </r>
  <r>
    <x v="5"/>
    <s v="2217 - DESENVOLVIMENTO REGIONAL, TERRITORIAL E URBANO"/>
    <x v="382"/>
    <n v="0"/>
    <n v="0"/>
    <n v="0"/>
  </r>
  <r>
    <x v="5"/>
    <s v="5028 - INCLUSAO SOCIAL POR MEIO DO BOLSA FAMILIA E DA ARTICULACAO DE POLITICAS PUBLICAS"/>
    <x v="1132"/>
    <n v="468319000"/>
    <n v="0"/>
    <n v="0"/>
  </r>
  <r>
    <x v="5"/>
    <s v="2205 - CONECTA BRASIL"/>
    <x v="80"/>
    <n v="0.04"/>
    <n v="13431976.550000001"/>
    <n v="12713380.050000001"/>
  </r>
  <r>
    <x v="5"/>
    <s v="2206 - POLITICA NUCLEAR"/>
    <x v="627"/>
    <n v="6640"/>
    <n v="10348"/>
    <n v="10348"/>
  </r>
  <r>
    <x v="5"/>
    <s v="3006 - TRANSPORTE TERRESTRE E TRANSITO"/>
    <x v="27"/>
    <n v="0"/>
    <n v="711559.23"/>
    <n v="711559.23"/>
  </r>
  <r>
    <x v="5"/>
    <s v="3002 - GEOLOGIA, MINERACAO E TRANSFORMACAO MINERAL"/>
    <x v="877"/>
    <n v="0"/>
    <n v="1788483.86"/>
    <n v="1754793.45"/>
  </r>
  <r>
    <x v="5"/>
    <s v="5018 - ATENCAO ESPECIALIZADA A SAUDE"/>
    <x v="1043"/>
    <n v="100000"/>
    <n v="158912.54"/>
    <n v="153607.24"/>
  </r>
  <r>
    <x v="5"/>
    <s v="1041 - CONSERVACAO E USO SUSTENTAVEL DA BIODIVERSIDADE E DOS RECURSOS NATURAIS"/>
    <x v="711"/>
    <n v="37070848.079999998"/>
    <n v="9175149.6699999999"/>
    <n v="9017688.4900000002"/>
  </r>
  <r>
    <x v="5"/>
    <s v="2217 - DESENVOLVIMENTO REGIONAL, TERRITORIAL E URBANO"/>
    <x v="30"/>
    <n v="1569222.54"/>
    <n v="818867.68"/>
    <n v="720445.58"/>
  </r>
  <r>
    <x v="5"/>
    <s v="5023 - VIGILANCIA EM SAUDE"/>
    <x v="509"/>
    <n v="8279324.5499999998"/>
    <n v="7025515.0300000003"/>
    <n v="6785816.5700000003"/>
  </r>
  <r>
    <x v="5"/>
    <s v="2222 - SANEAMENTO BASICO"/>
    <x v="1109"/>
    <n v="399828.78"/>
    <n v="9642.16"/>
    <n v="9642.16"/>
  </r>
  <r>
    <x v="5"/>
    <s v="3006 - TRANSPORTE TERRESTRE E TRANSITO"/>
    <x v="309"/>
    <n v="0"/>
    <n v="0"/>
    <n v="0"/>
  </r>
  <r>
    <x v="5"/>
    <s v="3006 - TRANSPORTE TERRESTRE E TRANSITO"/>
    <x v="872"/>
    <n v="0"/>
    <n v="1966488.69"/>
    <n v="1966488.69"/>
  </r>
  <r>
    <x v="5"/>
    <s v="3002 - GEOLOGIA, MINERACAO E TRANSFORMACAO MINERAL"/>
    <x v="790"/>
    <n v="79873.11"/>
    <n v="57773.279999999999"/>
    <n v="75054.03"/>
  </r>
  <r>
    <x v="5"/>
    <s v="1041 - CONSERVACAO E USO SUSTENTAVEL DA BIODIVERSIDADE E DOS RECURSOS NATURAIS"/>
    <x v="744"/>
    <n v="69807.33"/>
    <n v="67297.009999999995"/>
    <n v="37659.68"/>
  </r>
  <r>
    <x v="5"/>
    <s v="3006 - TRANSPORTE TERRESTRE E TRANSITO"/>
    <x v="671"/>
    <n v="0"/>
    <n v="162941.67000000001"/>
    <n v="139523.76999999999"/>
  </r>
  <r>
    <x v="5"/>
    <s v="5017 - ASSISTENCIA FARMACEUTICA NO SUS"/>
    <x v="388"/>
    <n v="19045910.219999999"/>
    <n v="82664382.560000002"/>
    <n v="138055141.75"/>
  </r>
  <r>
    <x v="5"/>
    <s v="6013 - OCEANOS, ZONA COSTEIRA E ANTARTICA"/>
    <x v="778"/>
    <n v="25841.71"/>
    <n v="56543.73"/>
    <n v="85346.87"/>
  </r>
  <r>
    <x v="5"/>
    <s v="0032 - PROGRAMA DE GESTAO E MANUTENCAO DO PODER EXECUTIVO"/>
    <x v="472"/>
    <n v="5833302.4900000002"/>
    <n v="38304600"/>
    <n v="38490506.700000003"/>
  </r>
  <r>
    <x v="5"/>
    <s v="2080 - EDUCACAO DE QUALIDADE PARA TODOS"/>
    <x v="504"/>
    <n v="0"/>
    <n v="0"/>
    <n v="0"/>
  </r>
  <r>
    <x v="5"/>
    <s v="2217 - DESENVOLVIMENTO REGIONAL, TERRITORIAL E URBANO"/>
    <x v="610"/>
    <n v="5400"/>
    <n v="4948.95"/>
    <n v="4948.95"/>
  </r>
  <r>
    <x v="5"/>
    <s v="5021 - GESTAO E ORGANIZACAO DO SUS"/>
    <x v="20"/>
    <n v="8225613.7000000002"/>
    <n v="1201666.6599999999"/>
    <n v="1201666.6599999999"/>
  </r>
  <r>
    <x v="5"/>
    <s v="0032 - PROGRAMA DE GESTAO E MANUTENCAO DO PODER EXECUTIVO"/>
    <x v="681"/>
    <n v="34068401.659999996"/>
    <n v="119955029.98999999"/>
    <n v="220610320.28999999"/>
  </r>
  <r>
    <x v="5"/>
    <s v="2214 - NOVA PREVIDENCIA"/>
    <x v="617"/>
    <n v="550000"/>
    <n v="5325886.43"/>
    <n v="5288903.53"/>
  </r>
  <r>
    <x v="5"/>
    <s v="0032 - PROGRAMA DE GESTAO E MANUTENCAO DO PODER EXECUTIVO"/>
    <x v="433"/>
    <n v="-1646160.31"/>
    <n v="0"/>
    <n v="0"/>
  </r>
  <r>
    <x v="5"/>
    <s v="1031 - AGROPECUARIA SUSTENTAVEL"/>
    <x v="602"/>
    <n v="1273276.3"/>
    <n v="0"/>
    <n v="0"/>
  </r>
  <r>
    <x v="5"/>
    <s v="3002 - GEOLOGIA, MINERACAO E TRANSFORMACAO MINERAL"/>
    <x v="748"/>
    <n v="124311.76"/>
    <n v="89693.62"/>
    <n v="93183.29"/>
  </r>
  <r>
    <x v="5"/>
    <s v="5020 - DESENVOLVIMENTO CIENTIFICO, TECNOLOGICO E PRODUTIVO EM SAUDE"/>
    <x v="4"/>
    <n v="0"/>
    <n v="0"/>
    <n v="100908.63"/>
  </r>
  <r>
    <x v="5"/>
    <s v="2205 - CONECTA BRASIL"/>
    <x v="398"/>
    <n v="1800000"/>
    <n v="2707262.36"/>
    <n v="907262.36"/>
  </r>
  <r>
    <x v="5"/>
    <s v="5019 - ATENCAO PRIMARIA A SAUDE"/>
    <x v="86"/>
    <n v="2106000"/>
    <n v="2106000"/>
    <n v="2106000"/>
  </r>
  <r>
    <x v="5"/>
    <s v="3003 - PETROLEO, GAS, DERIVADOS E BIOCOMBUSTIVEIS"/>
    <x v="704"/>
    <n v="-957372.3"/>
    <n v="1692769.49"/>
    <n v="762951.28"/>
  </r>
  <r>
    <x v="5"/>
    <s v="1041 - CONSERVACAO E USO SUSTENTAVEL DA BIODIVERSIDADE E DOS RECURSOS NATURAIS"/>
    <x v="293"/>
    <n v="0"/>
    <n v="21797.09"/>
    <n v="23811.91"/>
  </r>
  <r>
    <x v="5"/>
    <s v="3006 - TRANSPORTE TERRESTRE E TRANSITO"/>
    <x v="216"/>
    <n v="0"/>
    <n v="33831.57"/>
    <n v="33831.57"/>
  </r>
  <r>
    <x v="5"/>
    <s v="2214 - NOVA PREVIDENCIA"/>
    <x v="187"/>
    <n v="-11370949.859999999"/>
    <n v="3275598.86"/>
    <n v="4001977.03"/>
  </r>
  <r>
    <x v="5"/>
    <s v="6012 - DEFESA NACIONAL"/>
    <x v="870"/>
    <n v="4578868.01"/>
    <n v="4628503.32"/>
    <n v="1316992.1299999999"/>
  </r>
  <r>
    <x v="5"/>
    <s v="2118 - PROGRAMA DE GESTAO E MANUTENCAO DO MINISTERIO DAS RELACOES EXTERIORES"/>
    <x v="52"/>
    <n v="0"/>
    <n v="0"/>
    <n v="0"/>
  </r>
  <r>
    <x v="5"/>
    <s v="4001 - COMUNICACAO PUBLICA E DIVULGACAO DE ATOS E MATERIAS DO GOVERNO FEDERAL"/>
    <x v="84"/>
    <n v="-427410.16"/>
    <n v="2025198.53"/>
    <n v="1427872.4"/>
  </r>
  <r>
    <x v="5"/>
    <s v="2204 - BRASIL NA FRONTEIRA DO CONHECIMENTO"/>
    <x v="540"/>
    <n v="96000"/>
    <n v="1334235.6499999999"/>
    <n v="1334235.6499999999"/>
  </r>
  <r>
    <x v="5"/>
    <s v="2222 - SANEAMENTO BASICO"/>
    <x v="150"/>
    <n v="9302089.9399999995"/>
    <n v="3927554.34"/>
    <n v="3927554.34"/>
  </r>
  <r>
    <x v="5"/>
    <s v="2213 - MODERNIZACAO TRABALHISTA E TRABALHO DIGNO"/>
    <x v="214"/>
    <n v="3637936725.6599998"/>
    <n v="3637936725.6599998"/>
    <n v="3637936725.6599998"/>
  </r>
  <r>
    <x v="5"/>
    <s v="5013 - EDUCACAO SUPERIOR - GRADUACAO, POS-GRADUACAO, ENSINO, PESQUISA E EXTENSAO"/>
    <x v="258"/>
    <n v="0"/>
    <n v="84934.55"/>
    <n v="84934.55"/>
  </r>
  <r>
    <x v="5"/>
    <s v="5018 - ATENCAO ESPECIALIZADA A SAUDE"/>
    <x v="1053"/>
    <n v="915269375"/>
    <n v="1798796634"/>
    <n v="1798796634"/>
  </r>
  <r>
    <x v="5"/>
    <s v="1031 - AGROPECUARIA SUSTENTAVEL"/>
    <x v="323"/>
    <n v="0"/>
    <n v="354051498.17000002"/>
    <n v="354051498.17000002"/>
  </r>
  <r>
    <x v="5"/>
    <s v="3006 - TRANSPORTE TERRESTRE E TRANSITO"/>
    <x v="892"/>
    <n v="0"/>
    <n v="0"/>
    <n v="0"/>
  </r>
  <r>
    <x v="5"/>
    <s v="5025 - CULTURA"/>
    <x v="990"/>
    <n v="150000000"/>
    <n v="150000000"/>
    <n v="0"/>
  </r>
  <r>
    <x v="5"/>
    <s v="0903 - OPERACOES ESPECIAIS: TRANSFERENCIAS CONSTITUCIONAIS E AS DECORRENTES DE LEGISLACAO ESPECIFICA"/>
    <x v="368"/>
    <n v="18680495.670000002"/>
    <n v="50043187.350000001"/>
    <n v="56415534.460000001"/>
  </r>
  <r>
    <x v="5"/>
    <s v="1031 - AGROPECUARIA SUSTENTAVEL"/>
    <x v="461"/>
    <n v="38152.019999999997"/>
    <n v="10647.15"/>
    <n v="6788.29"/>
  </r>
  <r>
    <x v="5"/>
    <s v="2214 - NOVA PREVIDENCIA"/>
    <x v="592"/>
    <n v="668488.46"/>
    <n v="-2017947.59"/>
    <n v="-1956156.49"/>
  </r>
  <r>
    <x v="5"/>
    <s v="6012 - DEFESA NACIONAL"/>
    <x v="38"/>
    <n v="0"/>
    <n v="0"/>
    <n v="0"/>
  </r>
  <r>
    <x v="5"/>
    <s v="2210 - EMPREGABILIDADE"/>
    <x v="1061"/>
    <n v="0"/>
    <n v="16125.82"/>
    <n v="16125.82"/>
  </r>
  <r>
    <x v="5"/>
    <s v="6012 - DEFESA NACIONAL"/>
    <x v="726"/>
    <n v="67665371.790000007"/>
    <n v="36386871.600000001"/>
    <n v="7880601.5499999998"/>
  </r>
  <r>
    <x v="5"/>
    <s v="2217 - DESENVOLVIMENTO REGIONAL, TERRITORIAL E URBANO"/>
    <x v="196"/>
    <n v="5771014.5199999996"/>
    <n v="23869.439999999999"/>
    <n v="33077.440000000002"/>
  </r>
  <r>
    <x v="5"/>
    <s v="4001 - COMUNICACAO PUBLICA E DIVULGACAO DE ATOS E MATERIAS DO GOVERNO FEDERAL"/>
    <x v="35"/>
    <n v="7151714.5300000003"/>
    <n v="5780522.6600000001"/>
    <n v="6665236.2300000004"/>
  </r>
  <r>
    <x v="5"/>
    <s v="5018 - ATENCAO ESPECIALIZADA A SAUDE"/>
    <x v="330"/>
    <n v="49746316.380000003"/>
    <n v="14535923.42"/>
    <n v="20200376.75"/>
  </r>
  <r>
    <x v="5"/>
    <s v="0032 - PROGRAMA DE GESTAO E MANUTENCAO DO PODER EXECUTIVO"/>
    <x v="588"/>
    <n v="573891.98"/>
    <n v="556436.78"/>
    <n v="545187.39"/>
  </r>
  <r>
    <x v="5"/>
    <s v="2080 - EDUCACAO DE QUALIDADE PARA TODOS"/>
    <x v="401"/>
    <n v="0"/>
    <n v="0"/>
    <n v="0"/>
  </r>
  <r>
    <x v="5"/>
    <s v="5013 - EDUCACAO SUPERIOR - GRADUACAO, POS-GRADUACAO, ENSINO, PESQUISA E EXTENSAO"/>
    <x v="401"/>
    <n v="292129"/>
    <n v="0"/>
    <n v="0"/>
  </r>
  <r>
    <x v="5"/>
    <s v="0032 - PROGRAMA DE GESTAO E MANUTENCAO DO PODER EXECUTIVO"/>
    <x v="489"/>
    <n v="75681724.890000001"/>
    <n v="107436477.15000001"/>
    <n v="110478885.92"/>
  </r>
  <r>
    <x v="5"/>
    <s v="0032 - PROGRAMA DE GESTAO E MANUTENCAO DO PODER EXECUTIVO"/>
    <x v="802"/>
    <n v="0"/>
    <n v="125185.09"/>
    <n v="125061.56"/>
  </r>
  <r>
    <x v="5"/>
    <s v="3006 - TRANSPORTE TERRESTRE E TRANSITO"/>
    <x v="1133"/>
    <n v="0"/>
    <n v="0"/>
    <n v="0"/>
  </r>
  <r>
    <x v="5"/>
    <s v="3004 - AVIACAO CIVIL"/>
    <x v="31"/>
    <n v="635706.44999999995"/>
    <n v="211500.75"/>
    <n v="0"/>
  </r>
  <r>
    <x v="5"/>
    <s v="3002 - GEOLOGIA, MINERACAO E TRANSFORMACAO MINERAL"/>
    <x v="710"/>
    <n v="1482959.81"/>
    <n v="1103180.0900000001"/>
    <n v="1055983.6000000001"/>
  </r>
  <r>
    <x v="5"/>
    <s v="6012 - DEFESA NACIONAL"/>
    <x v="8"/>
    <n v="0"/>
    <n v="0"/>
    <n v="0"/>
  </r>
  <r>
    <x v="5"/>
    <s v="2218 - GESTAO DE RISCOS E DE DESASTRES"/>
    <x v="716"/>
    <n v="416545.71"/>
    <n v="242951.9"/>
    <n v="274807.90999999997"/>
  </r>
  <r>
    <x v="5"/>
    <s v="2201 - BRASIL MODERNIZA"/>
    <x v="451"/>
    <n v="18071.54"/>
    <n v="1312660.81"/>
    <n v="1270367.4099999999"/>
  </r>
  <r>
    <x v="5"/>
    <s v="2206 - POLITICA NUCLEAR"/>
    <x v="708"/>
    <n v="0"/>
    <n v="387261.64"/>
    <n v="387261.64"/>
  </r>
  <r>
    <x v="5"/>
    <s v="2214 - NOVA PREVIDENCIA"/>
    <x v="523"/>
    <n v="9490"/>
    <n v="23543.56"/>
    <n v="15660.92"/>
  </r>
  <r>
    <x v="5"/>
    <s v="0902 - OPERACOES ESPECIAIS: FINANCIAMENTOS COM RETORNO"/>
    <x v="44"/>
    <n v="1978390895.26"/>
    <n v="1978390895.26"/>
    <n v="1978390895.26"/>
  </r>
  <r>
    <x v="5"/>
    <s v="2015 - FORTALECIMENTO DO SISTEMA UNICO DE SAUDE (SUS)"/>
    <x v="1025"/>
    <n v="0"/>
    <n v="0"/>
    <n v="0"/>
  </r>
  <r>
    <x v="5"/>
    <s v="2213 - MODERNIZACAO TRABALHISTA E TRABALHO DIGNO"/>
    <x v="353"/>
    <n v="3737088"/>
    <n v="12953958.16"/>
    <n v="24685310.649999999"/>
  </r>
  <r>
    <x v="5"/>
    <s v="2106 - PROGRAMA DE GESTAO E MANUTENCAO DO MINISTERIO DA CIENCIA, TECNOLOGIA, INOVACOES E COMUNICACOES"/>
    <x v="52"/>
    <n v="0"/>
    <n v="0"/>
    <n v="0"/>
  </r>
  <r>
    <x v="5"/>
    <s v="5021 - GESTAO E ORGANIZACAO DO SUS"/>
    <x v="475"/>
    <n v="2565857.04"/>
    <n v="2330841.0699999998"/>
    <n v="1520729.49"/>
  </r>
  <r>
    <x v="5"/>
    <s v="6012 - DEFESA NACIONAL"/>
    <x v="881"/>
    <n v="2279449.17"/>
    <n v="0"/>
    <n v="0"/>
  </r>
  <r>
    <x v="5"/>
    <s v="2027 - CULTURA: DIMENSAO ESSENCIAL DO DESENVOLVIMENTO"/>
    <x v="271"/>
    <n v="0"/>
    <n v="0"/>
    <n v="0"/>
  </r>
  <r>
    <x v="5"/>
    <s v="0031 - PROGRAMA DE GESTAO E MANUTENCAO DO MINISTERIO PUBLICO"/>
    <x v="67"/>
    <n v="170157.12"/>
    <n v="9601.14"/>
    <n v="9601.14"/>
  </r>
  <r>
    <x v="5"/>
    <s v="2214 - NOVA PREVIDENCIA"/>
    <x v="740"/>
    <n v="2960534.12"/>
    <n v="877846.56"/>
    <n v="810224.34"/>
  </r>
  <r>
    <x v="5"/>
    <s v="6012 - DEFESA NACIONAL"/>
    <x v="638"/>
    <n v="-4907244.9400000004"/>
    <n v="38534853.560000002"/>
    <n v="38441595.659999996"/>
  </r>
  <r>
    <x v="5"/>
    <s v="6012 - DEFESA NACIONAL"/>
    <x v="492"/>
    <n v="3437426.76"/>
    <n v="919378.36"/>
    <n v="676687.17"/>
  </r>
  <r>
    <x v="5"/>
    <s v="5013 - EDUCACAO SUPERIOR - GRADUACAO, POS-GRADUACAO, ENSINO, PESQUISA E EXTENSAO"/>
    <x v="404"/>
    <n v="0"/>
    <n v="0"/>
    <n v="0"/>
  </r>
  <r>
    <x v="5"/>
    <s v="0903 - OPERACOES ESPECIAIS: TRANSFERENCIAS CONSTITUCIONAIS E AS DECORRENTES DE LEGISLACAO ESPECIFICA"/>
    <x v="623"/>
    <n v="55244058.5"/>
    <n v="55338661.439999998"/>
    <n v="56344267.140000001"/>
  </r>
  <r>
    <x v="5"/>
    <s v="5019 - ATENCAO PRIMARIA A SAUDE"/>
    <x v="261"/>
    <n v="1506471218.9100001"/>
    <n v="1508080415.8399999"/>
    <n v="1508060940.24"/>
  </r>
  <r>
    <x v="5"/>
    <s v="5018 - ATENCAO ESPECIALIZADA A SAUDE"/>
    <x v="76"/>
    <n v="0"/>
    <n v="108269"/>
    <n v="0"/>
  </r>
  <r>
    <x v="5"/>
    <s v="3006 - TRANSPORTE TERRESTRE E TRANSITO"/>
    <x v="277"/>
    <n v="934081.12"/>
    <n v="87468.82"/>
    <n v="148876.10999999999"/>
  </r>
  <r>
    <x v="5"/>
    <s v="0909 - OPERACOES ESPECIAIS: OUTROS ENCARGOS ESPECIAIS"/>
    <x v="112"/>
    <n v="12076819.49"/>
    <n v="12076819.49"/>
    <n v="12076819.49"/>
  </r>
  <r>
    <x v="5"/>
    <s v="5020 - DESENVOLVIMENTO CIENTIFICO, TECNOLOGICO E PRODUTIVO EM SAUDE"/>
    <x v="441"/>
    <n v="0"/>
    <n v="0"/>
    <n v="0"/>
  </r>
  <r>
    <x v="5"/>
    <s v="5013 - EDUCACAO SUPERIOR - GRADUACAO, POS-GRADUACAO, ENSINO, PESQUISA E EXTENSAO"/>
    <x v="1134"/>
    <n v="6766941"/>
    <n v="0"/>
    <n v="0"/>
  </r>
  <r>
    <x v="5"/>
    <s v="5026 - ESPORTE"/>
    <x v="971"/>
    <n v="299358.09999999998"/>
    <n v="0"/>
    <n v="0"/>
  </r>
  <r>
    <x v="5"/>
    <s v="2223 - A HORA DO TURISMO"/>
    <x v="419"/>
    <n v="1199300"/>
    <n v="224507.61"/>
    <n v="226479.45"/>
  </r>
  <r>
    <x v="5"/>
    <s v="0910 - OPERACOES ESPECIAIS: GESTAO DA PARTICIPACAO EM ORGANISMOS E ENTIDADES NACIONAIS E INTERNACIONAIS"/>
    <x v="937"/>
    <n v="0"/>
    <n v="4052056.25"/>
    <n v="4052056.25"/>
  </r>
  <r>
    <x v="5"/>
    <s v="3006 - TRANSPORTE TERRESTRE E TRANSITO"/>
    <x v="450"/>
    <n v="0"/>
    <n v="20870491.16"/>
    <n v="20870491.16"/>
  </r>
  <r>
    <x v="5"/>
    <s v="5025 - CULTURA"/>
    <x v="271"/>
    <n v="450416.67"/>
    <n v="76228.12"/>
    <n v="72041.009999999995"/>
  </r>
  <r>
    <x v="5"/>
    <s v="3006 - TRANSPORTE TERRESTRE E TRANSITO"/>
    <x v="359"/>
    <n v="52309539.170000002"/>
    <n v="257348.18"/>
    <n v="255604.86"/>
  </r>
  <r>
    <x v="5"/>
    <s v="2214 - NOVA PREVIDENCIA"/>
    <x v="546"/>
    <n v="0"/>
    <n v="0"/>
    <n v="0"/>
  </r>
  <r>
    <x v="5"/>
    <s v="1041 - CONSERVACAO E USO SUSTENTAVEL DA BIODIVERSIDADE E DOS RECURSOS NATURAIS"/>
    <x v="718"/>
    <n v="77657.91"/>
    <n v="65306.45"/>
    <n v="72656.17"/>
  </r>
  <r>
    <x v="5"/>
    <s v="2223 - A HORA DO TURISMO"/>
    <x v="269"/>
    <n v="34213.4"/>
    <n v="83821.929999999993"/>
    <n v="83821.929999999993"/>
  </r>
  <r>
    <x v="5"/>
    <s v="2220 - MORADIA DIGNA"/>
    <x v="822"/>
    <n v="6000000000"/>
    <n v="0"/>
    <n v="0"/>
  </r>
  <r>
    <x v="5"/>
    <s v="6012 - DEFESA NACIONAL"/>
    <x v="257"/>
    <n v="-1360850.31"/>
    <n v="36429129.280000001"/>
    <n v="36429129.280000001"/>
  </r>
  <r>
    <x v="5"/>
    <s v="6012 - DEFESA NACIONAL"/>
    <x v="278"/>
    <n v="428658.06"/>
    <n v="218533.34"/>
    <n v="206015.24"/>
  </r>
  <r>
    <x v="5"/>
    <s v="3006 - TRANSPORTE TERRESTRE E TRANSITO"/>
    <x v="838"/>
    <n v="25865856.350000001"/>
    <n v="14826309.109999999"/>
    <n v="14826309.109999999"/>
  </r>
  <r>
    <x v="5"/>
    <s v="6012 - DEFESA NACIONAL"/>
    <x v="199"/>
    <n v="3491400"/>
    <n v="0"/>
    <n v="0"/>
  </r>
  <r>
    <x v="5"/>
    <s v="2029 - DESENVOLVIMENTO REGIONAL E TERRITORIAL"/>
    <x v="632"/>
    <n v="0"/>
    <n v="0"/>
    <n v="0"/>
  </r>
  <r>
    <x v="5"/>
    <s v="6015 - EDUCACAO INFANTIL"/>
    <x v="983"/>
    <n v="2396439.34"/>
    <n v="2396439.34"/>
    <n v="2396439.34"/>
  </r>
  <r>
    <x v="5"/>
    <s v="2015 - FORTALECIMENTO DO SISTEMA UNICO DE SAUDE (SUS)"/>
    <x v="515"/>
    <n v="0"/>
    <n v="0"/>
    <n v="0"/>
  </r>
  <r>
    <x v="5"/>
    <s v="2212 - MELHORIA DO AMBIENTE DE NEGOCIOS E DA PRODUTIVIDADE"/>
    <x v="887"/>
    <n v="0"/>
    <n v="43367.65"/>
    <n v="24580.86"/>
  </r>
  <r>
    <x v="5"/>
    <s v="5031 - PROTECAO SOCIAL NO AMBITO DO SISTEMA UNICO DE ASSISTENCIA SOCIAL (SUAS)"/>
    <x v="514"/>
    <n v="1500132"/>
    <n v="4128081383.9200001"/>
    <n v="4049133138.79"/>
  </r>
  <r>
    <x v="5"/>
    <s v="0903 - OPERACOES ESPECIAIS: TRANSFERENCIAS CONSTITUCIONAIS E AS DECORRENTES DE LEGISLACAO ESPECIFICA"/>
    <x v="135"/>
    <n v="0"/>
    <n v="129242673.27"/>
    <n v="129242673.27"/>
  </r>
  <r>
    <x v="5"/>
    <s v="0909 - OPERACOES ESPECIAIS: OUTROS ENCARGOS ESPECIAIS"/>
    <x v="60"/>
    <n v="349333802.97000003"/>
    <n v="349745570.98000002"/>
    <n v="349745570.98000002"/>
  </r>
  <r>
    <x v="5"/>
    <s v="2221 - RECURSOS HIDRICOS"/>
    <x v="22"/>
    <n v="0"/>
    <n v="0"/>
    <n v="0"/>
  </r>
  <r>
    <x v="5"/>
    <s v="2221 - RECURSOS HIDRICOS"/>
    <x v="194"/>
    <n v="20000"/>
    <n v="0"/>
    <n v="15133.58"/>
  </r>
  <r>
    <x v="5"/>
    <s v="0032 - PROGRAMA DE GESTAO E MANUTENCAO DO PODER EXECUTIVO"/>
    <x v="357"/>
    <n v="901236728.54999995"/>
    <n v="3536870039.8699999"/>
    <n v="2441023512.6900001"/>
  </r>
  <r>
    <x v="5"/>
    <s v="5033 - SEGURANCA ALIMENTAR E NUTRICIONAL"/>
    <x v="370"/>
    <n v="1632164.26"/>
    <n v="1641346.18"/>
    <n v="141346.18"/>
  </r>
  <r>
    <x v="5"/>
    <s v="3006 - TRANSPORTE TERRESTRE E TRANSITO"/>
    <x v="350"/>
    <n v="22802804.390000001"/>
    <n v="0"/>
    <n v="0"/>
  </r>
  <r>
    <x v="5"/>
    <s v="5020 - DESENVOLVIMENTO CIENTIFICO, TECNOLOGICO E PRODUTIVO EM SAUDE"/>
    <x v="833"/>
    <n v="0"/>
    <n v="0"/>
    <n v="0"/>
  </r>
  <r>
    <x v="5"/>
    <s v="3006 - TRANSPORTE TERRESTRE E TRANSITO"/>
    <x v="860"/>
    <n v="14249889.52"/>
    <n v="240939.4"/>
    <n v="240939.4"/>
  </r>
  <r>
    <x v="5"/>
    <s v="2208 - TECNOLOGIAS APLICADAS, INOVACAO E DESENVOLVIMENTO SUSTENTAVEL"/>
    <x v="900"/>
    <n v="0"/>
    <n v="0"/>
    <n v="0"/>
  </r>
  <r>
    <x v="5"/>
    <s v="2212 - MELHORIA DO AMBIENTE DE NEGOCIOS E DA PRODUTIVIDADE"/>
    <x v="903"/>
    <n v="657898.80000000005"/>
    <n v="219656.97"/>
    <n v="216519.97"/>
  </r>
  <r>
    <x v="5"/>
    <s v="2217 - DESENVOLVIMENTO REGIONAL, TERRITORIAL E URBANO"/>
    <x v="110"/>
    <n v="37495"/>
    <n v="0"/>
    <n v="0"/>
  </r>
  <r>
    <x v="5"/>
    <s v="5016 - SEGURANCA PUBLICA, COMBATE A CORRUPCAO, AO CRIME ORGANIZADO E AO CRIME VIOLENTO"/>
    <x v="79"/>
    <n v="0"/>
    <n v="2072905.78"/>
    <n v="2069520.58"/>
  </r>
  <r>
    <x v="5"/>
    <s v="2217 - DESENVOLVIMENTO REGIONAL, TERRITORIAL E URBANO"/>
    <x v="839"/>
    <n v="1978109.7"/>
    <n v="0"/>
    <n v="0"/>
  </r>
  <r>
    <x v="5"/>
    <s v="5021 - GESTAO E ORGANIZACAO DO SUS"/>
    <x v="326"/>
    <n v="0"/>
    <n v="46005.09"/>
    <n v="7738.79"/>
  </r>
  <r>
    <x v="5"/>
    <s v="2015 - FORTALECIMENTO DO SISTEMA UNICO DE SAUDE (SUS)"/>
    <x v="234"/>
    <n v="0"/>
    <n v="0"/>
    <n v="0"/>
  </r>
  <r>
    <x v="5"/>
    <s v="2040 - GESTAO DE RISCOS E DE DESASTRES"/>
    <x v="786"/>
    <n v="0"/>
    <n v="0"/>
    <n v="0"/>
  </r>
  <r>
    <x v="5"/>
    <s v="2214 - NOVA PREVIDENCIA"/>
    <x v="372"/>
    <n v="399000"/>
    <n v="580462.64"/>
    <n v="563232.19999999995"/>
  </r>
  <r>
    <x v="5"/>
    <s v="3006 - TRANSPORTE TERRESTRE E TRANSITO"/>
    <x v="485"/>
    <n v="0"/>
    <n v="0"/>
    <n v="0"/>
  </r>
  <r>
    <x v="5"/>
    <s v="6016 - EDUCACAO ESPECIAL"/>
    <x v="249"/>
    <n v="2428970.13"/>
    <n v="2806182.54"/>
    <n v="3022548.66"/>
  </r>
  <r>
    <x v="5"/>
    <s v="2064 - PROMOCAO E DEFESA DOS DIREITOS HUMANOS"/>
    <x v="1135"/>
    <n v="0"/>
    <n v="0"/>
    <n v="0"/>
  </r>
  <r>
    <x v="5"/>
    <s v="5020 - DESENVOLVIMENTO CIENTIFICO, TECNOLOGICO E PRODUTIVO EM SAUDE"/>
    <x v="61"/>
    <n v="383333.34"/>
    <n v="0"/>
    <n v="0"/>
  </r>
  <r>
    <x v="5"/>
    <s v="5034 - PROTECAO A VIDA, FORTALECIMENTO DA FAMILIA, PROMOCAO E DEFESA DOS DIREITOS HUMANOS PARA TODOS"/>
    <x v="393"/>
    <n v="428595.88"/>
    <n v="405999.9"/>
    <n v="432011"/>
  </r>
  <r>
    <x v="5"/>
    <s v="2082 - POLITICA EXTERNA"/>
    <x v="781"/>
    <n v="0"/>
    <n v="0"/>
    <n v="0"/>
  </r>
  <r>
    <x v="5"/>
    <s v="2080 - EDUCACAO DE QUALIDADE PARA TODOS"/>
    <x v="769"/>
    <n v="0"/>
    <n v="0"/>
    <n v="0"/>
  </r>
  <r>
    <x v="5"/>
    <s v="3004 - AVIACAO CIVIL"/>
    <x v="151"/>
    <n v="95880"/>
    <n v="795126.6"/>
    <n v="795126.6"/>
  </r>
  <r>
    <x v="5"/>
    <s v="5021 - GESTAO E ORGANIZACAO DO SUS"/>
    <x v="855"/>
    <n v="0"/>
    <n v="44428.45"/>
    <n v="44168.88"/>
  </r>
  <r>
    <x v="5"/>
    <s v="2212 - MELHORIA DO AMBIENTE DE NEGOCIOS E DA PRODUTIVIDADE"/>
    <x v="99"/>
    <n v="135187.03"/>
    <n v="38641.620000000003"/>
    <n v="28712.99"/>
  </r>
  <r>
    <x v="5"/>
    <s v="1041 - CONSERVACAO E USO SUSTENTAVEL DA BIODIVERSIDADE E DOS RECURSOS NATURAIS"/>
    <x v="470"/>
    <n v="204023.01"/>
    <n v="164995.63"/>
    <n v="188191.61"/>
  </r>
  <r>
    <x v="5"/>
    <s v="3002 - GEOLOGIA, MINERACAO E TRANSFORMACAO MINERAL"/>
    <x v="743"/>
    <n v="800944.67"/>
    <n v="838862.1"/>
    <n v="399987.77"/>
  </r>
  <r>
    <x v="5"/>
    <s v="5016 - SEGURANCA PUBLICA, COMBATE A CORRUPCAO, AO CRIME ORGANIZADO E AO CRIME VIOLENTO"/>
    <x v="469"/>
    <n v="3527030.76"/>
    <n v="8904808.6899999995"/>
    <n v="8845894.6099999994"/>
  </r>
  <r>
    <x v="5"/>
    <s v="0901 - OPERACOES ESPECIAIS: CUMPRIMENTO DE SENTENCAS JUDICIAIS"/>
    <x v="684"/>
    <n v="1858873.08"/>
    <n v="151741652.97999999"/>
    <n v="151290184.84"/>
  </r>
  <r>
    <x v="5"/>
    <s v="2054 - PLANEJAMENTO URBANO"/>
    <x v="545"/>
    <n v="0"/>
    <n v="0"/>
    <n v="0"/>
  </r>
  <r>
    <x v="5"/>
    <s v="2219 - MOBILIDADE URBANA"/>
    <x v="427"/>
    <n v="0"/>
    <n v="0"/>
    <n v="0"/>
  </r>
  <r>
    <x v="5"/>
    <s v="2015 - FORTALECIMENTO DO SISTEMA UNICO DE SAUDE (SUS)"/>
    <x v="286"/>
    <n v="0"/>
    <n v="0"/>
    <n v="0"/>
  </r>
  <r>
    <x v="5"/>
    <s v="2220 - MORADIA DIGNA"/>
    <x v="1136"/>
    <n v="0"/>
    <n v="0"/>
    <n v="0"/>
  </r>
  <r>
    <x v="5"/>
    <s v="5013 - EDUCACAO SUPERIOR - GRADUACAO, POS-GRADUACAO, ENSINO, PESQUISA E EXTENSAO"/>
    <x v="571"/>
    <n v="33300"/>
    <n v="37885.94"/>
    <n v="31930.9"/>
  </r>
  <r>
    <x v="5"/>
    <s v="5019 - ATENCAO PRIMARIA A SAUDE"/>
    <x v="423"/>
    <n v="0"/>
    <n v="1184000"/>
    <n v="0"/>
  </r>
  <r>
    <x v="5"/>
    <s v="2218 - GESTAO DE RISCOS E DE DESASTRES"/>
    <x v="643"/>
    <n v="594595.75"/>
    <n v="736653.55"/>
    <n v="753997.39"/>
  </r>
  <r>
    <x v="5"/>
    <s v="5013 - EDUCACAO SUPERIOR - GRADUACAO, POS-GRADUACAO, ENSINO, PESQUISA E EXTENSAO"/>
    <x v="394"/>
    <n v="0"/>
    <n v="0"/>
    <n v="0"/>
  </r>
  <r>
    <x v="5"/>
    <s v="2208 - TECNOLOGIAS APLICADAS, INOVACAO E DESENVOLVIMENTO SUSTENTAVEL"/>
    <x v="33"/>
    <n v="45700"/>
    <n v="0"/>
    <n v="13609071"/>
  </r>
  <r>
    <x v="5"/>
    <s v="0905 - OPERACOES ESPECIAIS: SERVICO DA DIVIDA INTERNA (JUROS EAMORTIZACOES)"/>
    <x v="347"/>
    <n v="0"/>
    <n v="7114554.9400000004"/>
    <n v="5623004.6699999999"/>
  </r>
  <r>
    <x v="5"/>
    <s v="6012 - DEFESA NACIONAL"/>
    <x v="1076"/>
    <n v="253271"/>
    <n v="0"/>
    <n v="0"/>
  </r>
  <r>
    <x v="5"/>
    <s v="3004 - AVIACAO CIVIL"/>
    <x v="595"/>
    <n v="6801775.0499999998"/>
    <n v="3346084.39"/>
    <n v="2849762.36"/>
  </r>
  <r>
    <x v="5"/>
    <s v="3006 - TRANSPORTE TERRESTRE E TRANSITO"/>
    <x v="539"/>
    <n v="49000000"/>
    <n v="16278999.1"/>
    <n v="18064208.260000002"/>
  </r>
  <r>
    <x v="5"/>
    <s v="2204 - BRASIL NA FRONTEIRA DO CONHECIMENTO"/>
    <x v="674"/>
    <n v="450000"/>
    <n v="80000"/>
    <n v="80000"/>
  </r>
  <r>
    <x v="5"/>
    <s v="3006 - TRANSPORTE TERRESTRE E TRANSITO"/>
    <x v="274"/>
    <n v="1238343.1599999999"/>
    <n v="31259"/>
    <n v="47106.6"/>
  </r>
  <r>
    <x v="5"/>
    <s v="0910 - OPERACOES ESPECIAIS: GESTAO DA PARTICIPACAO EM ORGANISMOS E ENTIDADES NACIONAIS E INTERNACIONAIS"/>
    <x v="1137"/>
    <n v="2859164"/>
    <n v="788762"/>
    <n v="788762"/>
  </r>
  <r>
    <x v="5"/>
    <s v="2214 - NOVA PREVIDENCIA"/>
    <x v="506"/>
    <n v="500000"/>
    <n v="229429.33"/>
    <n v="235138.67"/>
  </r>
  <r>
    <x v="5"/>
    <s v="6012 - DEFESA NACIONAL"/>
    <x v="596"/>
    <n v="61061.61"/>
    <n v="478894.93"/>
    <n v="706168.62"/>
  </r>
  <r>
    <x v="5"/>
    <s v="5034 - PROTECAO A VIDA, FORTALECIMENTO DA FAMILIA, PROMOCAO E DEFESA DOS DIREITOS HUMANOS PARA TODOS"/>
    <x v="911"/>
    <n v="6356000"/>
    <n v="3525178.04"/>
    <n v="2525178.04"/>
  </r>
  <r>
    <x v="5"/>
    <s v="2223 - A HORA DO TURISMO"/>
    <x v="528"/>
    <n v="0"/>
    <n v="0"/>
    <n v="0"/>
  </r>
  <r>
    <x v="5"/>
    <s v="2208 - TECNOLOGIAS APLICADAS, INOVACAO E DESENVOLVIMENTO SUSTENTAVEL"/>
    <x v="5"/>
    <n v="22598005.149999999"/>
    <n v="22598005.149999999"/>
    <n v="22598005.149999999"/>
  </r>
  <r>
    <x v="5"/>
    <s v="0032 - PROGRAMA DE GESTAO E MANUTENCAO DO PODER EXECUTIVO"/>
    <x v="422"/>
    <n v="64887.199999999997"/>
    <n v="78156.98"/>
    <n v="106448.47"/>
  </r>
  <r>
    <x v="5"/>
    <s v="0032 - PROGRAMA DE GESTAO E MANUTENCAO DO PODER EXECUTIVO"/>
    <x v="505"/>
    <n v="3160000"/>
    <n v="103485832.25"/>
    <n v="70356016.140000001"/>
  </r>
  <r>
    <x v="5"/>
    <s v="5031 - PROTECAO SOCIAL NO AMBITO DO SISTEMA UNICO DE ASSISTENCIA SOCIAL (SUAS)"/>
    <x v="307"/>
    <n v="58486287.479999997"/>
    <n v="58164909.100000001"/>
    <n v="58521995.590000004"/>
  </r>
  <r>
    <x v="5"/>
    <s v="3004 - AVIACAO CIVIL"/>
    <x v="85"/>
    <n v="2838250.14"/>
    <n v="0"/>
    <n v="0"/>
  </r>
  <r>
    <x v="5"/>
    <s v="5019 - ATENCAO PRIMARIA A SAUDE"/>
    <x v="316"/>
    <n v="0"/>
    <n v="0"/>
    <n v="0"/>
  </r>
  <r>
    <x v="5"/>
    <s v="5017 - ASSISTENCIA FARMACEUTICA NO SUS"/>
    <x v="836"/>
    <n v="0"/>
    <n v="4400000"/>
    <n v="0"/>
  </r>
  <r>
    <x v="5"/>
    <s v="5023 - VIGILANCIA EM SAUDE"/>
    <x v="494"/>
    <n v="34292.54"/>
    <n v="297714.28000000003"/>
    <n v="5241887.24"/>
  </r>
  <r>
    <x v="5"/>
    <s v="0903 - OPERACOES ESPECIAIS: TRANSFERENCIAS CONSTITUCIONAIS E AS DECORRENTES DE LEGISLACAO ESPECIFICA"/>
    <x v="448"/>
    <n v="408157127.76999998"/>
    <n v="908915845.03999996"/>
    <n v="678097866.75"/>
  </r>
  <r>
    <x v="5"/>
    <s v="2208 - TECNOLOGIAS APLICADAS, INOVACAO E DESENVOLVIMENTO SUSTENTAVEL"/>
    <x v="749"/>
    <n v="295943.28999999998"/>
    <n v="5943.29"/>
    <n v="5943.29"/>
  </r>
  <r>
    <x v="5"/>
    <s v="0032 - PROGRAMA DE GESTAO E MANUTENCAO DO PODER EXECUTIVO"/>
    <x v="295"/>
    <n v="29843.279999999999"/>
    <n v="91932.73"/>
    <n v="192791.38"/>
  </r>
  <r>
    <x v="5"/>
    <s v="6012 - DEFESA NACIONAL"/>
    <x v="471"/>
    <n v="7016"/>
    <n v="109642.27"/>
    <n v="83592.81"/>
  </r>
  <r>
    <x v="5"/>
    <s v="2015 - FORTALECIMENTO DO SISTEMA UNICO DE SAUDE (SUS)"/>
    <x v="502"/>
    <n v="0"/>
    <n v="0"/>
    <n v="0"/>
  </r>
  <r>
    <x v="5"/>
    <s v="6012 - DEFESA NACIONAL"/>
    <x v="254"/>
    <n v="-630313011.21000004"/>
    <n v="170439696.12"/>
    <n v="170439696.12"/>
  </r>
  <r>
    <x v="5"/>
    <s v="2080 - EDUCACAO DE QUALIDADE PARA TODOS"/>
    <x v="454"/>
    <n v="0"/>
    <n v="0"/>
    <n v="0"/>
  </r>
  <r>
    <x v="5"/>
    <s v="6012 - DEFESA NACIONAL"/>
    <x v="542"/>
    <n v="0"/>
    <n v="0"/>
    <n v="0"/>
  </r>
  <r>
    <x v="5"/>
    <s v="0032 - PROGRAMA DE GESTAO E MANUTENCAO DO PODER EXECUTIVO"/>
    <x v="363"/>
    <n v="1473326"/>
    <n v="1473408"/>
    <n v="176047.18"/>
  </r>
  <r>
    <x v="5"/>
    <s v="6012 - DEFESA NACIONAL"/>
    <x v="563"/>
    <n v="241371.32"/>
    <n v="37912.39"/>
    <n v="45570.85"/>
  </r>
  <r>
    <x v="5"/>
    <s v="5011 - EDUCACAO BASICA DE QUALIDADE"/>
    <x v="436"/>
    <n v="843000"/>
    <n v="390088.62"/>
    <n v="550247.19999999995"/>
  </r>
  <r>
    <x v="5"/>
    <s v="5013 - EDUCACAO SUPERIOR - GRADUACAO, POS-GRADUACAO, ENSINO, PESQUISA E EXTENSAO"/>
    <x v="123"/>
    <n v="112505400"/>
    <n v="18953200"/>
    <n v="11461100"/>
  </r>
  <r>
    <x v="5"/>
    <s v="0032 - PROGRAMA DE GESTAO E MANUTENCAO DO PODER EXECUTIVO"/>
    <x v="532"/>
    <n v="65304.75"/>
    <n v="0"/>
    <n v="1360.16"/>
  </r>
  <r>
    <x v="5"/>
    <s v="0032 - PROGRAMA DE GESTAO E MANUTENCAO DO PODER EXECUTIVO"/>
    <x v="383"/>
    <n v="768949141.76999998"/>
    <n v="3267941948.6399999"/>
    <n v="2399089192.9299998"/>
  </r>
  <r>
    <x v="5"/>
    <s v="2215 - POLITICA ECONOMICA E EQUILIBRIO FISCAL"/>
    <x v="364"/>
    <n v="242909.52"/>
    <n v="146371.69"/>
    <n v="153861.1"/>
  </r>
  <r>
    <x v="5"/>
    <s v="3006 - TRANSPORTE TERRESTRE E TRANSITO"/>
    <x v="120"/>
    <n v="0"/>
    <n v="0"/>
    <n v="0"/>
  </r>
  <r>
    <x v="5"/>
    <s v="5032 - REDE DE SUPORTE SOCIAL AO DEPENDENTE QUIMICO: CUIDADOS,PREVENCAO E REINSERCAO SOCIAL"/>
    <x v="631"/>
    <n v="39716691.75"/>
    <n v="16152339.67"/>
    <n v="17460576.859999999"/>
  </r>
  <r>
    <x v="5"/>
    <s v="3005 - TRANSPORTE AQUAVIARIO"/>
    <x v="212"/>
    <n v="613391.80000000005"/>
    <n v="2267372.7000000002"/>
    <n v="4101798.88"/>
  </r>
  <r>
    <x v="5"/>
    <s v="0032 - PROGRAMA DE GESTAO E MANUTENCAO DO PODER EXECUTIVO"/>
    <x v="984"/>
    <n v="5235730.74"/>
    <n v="1824674.96"/>
    <n v="176408.06"/>
  </r>
  <r>
    <x v="5"/>
    <s v="2222 - SANEAMENTO BASICO"/>
    <x v="904"/>
    <n v="0"/>
    <n v="56045.85"/>
    <n v="22140.7"/>
  </r>
  <r>
    <x v="5"/>
    <s v="5018 - ATENCAO ESPECIALIZADA A SAUDE"/>
    <x v="366"/>
    <n v="177819420.99000001"/>
    <n v="89254411.239999995"/>
    <n v="96199218.260000005"/>
  </r>
  <r>
    <x v="5"/>
    <s v="1040 - GOVERNANCA FUNDIARIA"/>
    <x v="281"/>
    <n v="-35623.1"/>
    <n v="18019.34"/>
    <n v="22168.74"/>
  </r>
  <r>
    <x v="5"/>
    <s v="1031 - AGROPECUARIA SUSTENTAVEL"/>
    <x v="622"/>
    <n v="54024.67"/>
    <n v="22075.61"/>
    <n v="18439.990000000002"/>
  </r>
  <r>
    <x v="5"/>
    <s v="5021 - GESTAO E ORGANIZACAO DO SUS"/>
    <x v="593"/>
    <n v="8754554"/>
    <n v="25501537.789999999"/>
    <n v="1191659.58"/>
  </r>
  <r>
    <x v="5"/>
    <s v="0032 - PROGRAMA DE GESTAO E MANUTENCAO DO PODER EXECUTIVO"/>
    <x v="481"/>
    <n v="1834002.41"/>
    <n v="11043145.92"/>
    <n v="10387351.4"/>
  </r>
  <r>
    <x v="5"/>
    <s v="2221 - RECURSOS HIDRICOS"/>
    <x v="424"/>
    <n v="350856.69"/>
    <n v="434338.75"/>
    <n v="448985.5"/>
  </r>
  <r>
    <x v="5"/>
    <s v="2206 - POLITICA NUCLEAR"/>
    <x v="429"/>
    <n v="11994091.210000001"/>
    <n v="12694132.279999999"/>
    <n v="14552276.5"/>
  </r>
  <r>
    <x v="5"/>
    <s v="6012 - DEFESA NACIONAL"/>
    <x v="951"/>
    <n v="6000000"/>
    <n v="508115.58"/>
    <n v="511310.55"/>
  </r>
  <r>
    <x v="5"/>
    <s v="5021 - GESTAO E ORGANIZACAO DO SUS"/>
    <x v="560"/>
    <n v="3441915.19"/>
    <n v="9320675.2300000004"/>
    <n v="19506648.640000001"/>
  </r>
  <r>
    <x v="5"/>
    <s v="6012 - DEFESA NACIONAL"/>
    <x v="243"/>
    <n v="6158147.8499999996"/>
    <n v="3338524.72"/>
    <n v="3240547.8"/>
  </r>
  <r>
    <x v="5"/>
    <s v="6011 - COOPERACAO COM O DESENVOLVIMENTO NACIONAL"/>
    <x v="55"/>
    <n v="245002.42"/>
    <n v="53731.58"/>
    <n v="29687.74"/>
  </r>
  <r>
    <x v="5"/>
    <s v="5034 - PROTECAO A VIDA, FORTALECIMENTO DA FAMILIA, PROMOCAO E DEFESA DOS DIREITOS HUMANOS PARA TODOS"/>
    <x v="305"/>
    <n v="0"/>
    <n v="722410.52"/>
    <n v="722410.52"/>
  </r>
  <r>
    <x v="5"/>
    <s v="2134 - PROGRAMA DE GESTAO E MANUTENCAO DO MINISTERIO DA MULHER, DA FAMILIA E DOS DIREITOS HUMANOS"/>
    <x v="52"/>
    <n v="0"/>
    <n v="0"/>
    <n v="0"/>
  </r>
  <r>
    <x v="5"/>
    <s v="2080 - EDUCACAO DE QUALIDADE PARA TODOS"/>
    <x v="762"/>
    <n v="0"/>
    <n v="0"/>
    <n v="0"/>
  </r>
  <r>
    <x v="5"/>
    <s v="5023 - VIGILANCIA EM SAUDE"/>
    <x v="324"/>
    <n v="2185041.35"/>
    <n v="1745769.58"/>
    <n v="1055960.1599999999"/>
  </r>
  <r>
    <x v="5"/>
    <s v="0903 - OPERACOES ESPECIAIS: TRANSFERENCIAS CONSTITUCIONAIS E AS DECORRENTES DE LEGISLACAO ESPECIFICA"/>
    <x v="28"/>
    <n v="0"/>
    <n v="422217637.32999998"/>
    <n v="422217637.32999998"/>
  </r>
  <r>
    <x v="5"/>
    <s v="2221 - RECURSOS HIDRICOS"/>
    <x v="645"/>
    <n v="4362354.8"/>
    <n v="196215.05"/>
    <n v="44135.25"/>
  </r>
  <r>
    <x v="5"/>
    <s v="2204 - BRASIL NA FRONTEIRA DO CONHECIMENTO"/>
    <x v="680"/>
    <n v="2142632.16"/>
    <n v="2804124.59"/>
    <n v="2772903.03"/>
  </r>
  <r>
    <x v="5"/>
    <s v="2027 - CULTURA: DIMENSAO ESSENCIAL DO DESENVOLVIMENTO"/>
    <x v="753"/>
    <n v="0"/>
    <n v="0"/>
    <n v="0"/>
  </r>
  <r>
    <x v="5"/>
    <s v="1041 - CONSERVACAO E USO SUSTENTAVEL DA BIODIVERSIDADE E DOS RECURSOS NATURAIS"/>
    <x v="177"/>
    <n v="144858.44"/>
    <n v="145385.51999999999"/>
    <n v="143474.21"/>
  </r>
  <r>
    <x v="5"/>
    <s v="0032 - PROGRAMA DE GESTAO E MANUTENCAO DO PODER EXECUTIVO"/>
    <x v="897"/>
    <n v="0"/>
    <n v="3548.38"/>
    <n v="3548.38"/>
  </r>
  <r>
    <x v="5"/>
    <s v="2214 - NOVA PREVIDENCIA"/>
    <x v="667"/>
    <n v="128521710555"/>
    <n v="95696039068.330002"/>
    <n v="95385726745.009995"/>
  </r>
  <r>
    <x v="5"/>
    <s v="6012 - DEFESA NACIONAL"/>
    <x v="544"/>
    <n v="0"/>
    <n v="0"/>
    <n v="0"/>
  </r>
  <r>
    <x v="5"/>
    <s v="0032 - PROGRAMA DE GESTAO E MANUTENCAO DO PODER EXECUTIVO"/>
    <x v="552"/>
    <n v="50000"/>
    <n v="13279.33"/>
    <n v="13279.33"/>
  </r>
  <r>
    <x v="5"/>
    <s v="2058 - DEFESA NACIONAL"/>
    <x v="25"/>
    <n v="0"/>
    <n v="0"/>
    <n v="0"/>
  </r>
  <r>
    <x v="5"/>
    <s v="6012 - DEFESA NACIONAL"/>
    <x v="75"/>
    <n v="102250.86"/>
    <n v="315954.64"/>
    <n v="284087.92"/>
  </r>
  <r>
    <x v="5"/>
    <s v="6012 - DEFESA NACIONAL"/>
    <x v="134"/>
    <n v="0"/>
    <n v="0"/>
    <n v="0"/>
  </r>
  <r>
    <x v="5"/>
    <s v="2208 - TECNOLOGIAS APLICADAS, INOVACAO E DESENVOLVIMENTO SUSTENTAVEL"/>
    <x v="916"/>
    <n v="500000"/>
    <n v="0"/>
    <n v="9600000"/>
  </r>
  <r>
    <x v="5"/>
    <s v="6011 - COOPERACAO COM O DESENVOLVIMENTO NACIONAL"/>
    <x v="721"/>
    <n v="1106941.6200000001"/>
    <n v="26047.64"/>
    <n v="26047.64"/>
  </r>
  <r>
    <x v="5"/>
    <s v="3003 - PETROLEO, GAS, DERIVADOS E BIOCOMBUSTIVEIS"/>
    <x v="688"/>
    <n v="8277403.4800000004"/>
    <n v="5124715.4400000004"/>
    <n v="4043235.82"/>
  </r>
  <r>
    <x v="5"/>
    <s v="1041 - CONSERVACAO E USO SUSTENTAVEL DA BIODIVERSIDADE E DOS RECURSOS NATURAIS"/>
    <x v="19"/>
    <n v="16000"/>
    <n v="22424.61"/>
    <n v="22424.61"/>
  </r>
  <r>
    <x v="5"/>
    <s v="3006 - TRANSPORTE TERRESTRE E TRANSITO"/>
    <x v="453"/>
    <n v="8146477.2300000004"/>
    <n v="9932015.3200000003"/>
    <n v="10234182.449999999"/>
  </r>
  <r>
    <x v="5"/>
    <s v="0032 - PROGRAMA DE GESTAO E MANUTENCAO DO PODER EXECUTIVO"/>
    <x v="795"/>
    <n v="3600451.17"/>
    <n v="3802539.37"/>
    <n v="3800671.89"/>
  </r>
  <r>
    <x v="5"/>
    <s v="5025 - CULTURA"/>
    <x v="1"/>
    <n v="0"/>
    <n v="0"/>
    <n v="0"/>
  </r>
  <r>
    <x v="5"/>
    <s v="5016 - SEGURANCA PUBLICA, COMBATE A CORRUPCAO, AO CRIME ORGANIZADO E AO CRIME VIOLENTO"/>
    <x v="642"/>
    <n v="619594.72"/>
    <n v="11464782.74"/>
    <n v="13155860.109999999"/>
  </r>
  <r>
    <x v="5"/>
    <s v="5020 - DESENVOLVIMENTO CIENTIFICO, TECNOLOGICO E PRODUTIVO EM SAUDE"/>
    <x v="503"/>
    <n v="0"/>
    <n v="3547027.8"/>
    <n v="3538591.8"/>
  </r>
  <r>
    <x v="5"/>
    <s v="5016 - SEGURANCA PUBLICA, COMBATE A CORRUPCAO, AO CRIME ORGANIZADO E AO CRIME VIOLENTO"/>
    <x v="754"/>
    <n v="635249.48"/>
    <n v="0"/>
    <n v="0"/>
  </r>
  <r>
    <x v="5"/>
    <s v="3006 - TRANSPORTE TERRESTRE E TRANSITO"/>
    <x v="635"/>
    <n v="0"/>
    <n v="1622418.63"/>
    <n v="1461578.63"/>
  </r>
  <r>
    <x v="5"/>
    <s v="6012 - DEFESA NACIONAL"/>
    <x v="391"/>
    <n v="7054863.9900000002"/>
    <n v="397556.21"/>
    <n v="1767336.06"/>
  </r>
  <r>
    <x v="5"/>
    <s v="5011 - EDUCACAO BASICA DE QUALIDADE"/>
    <x v="386"/>
    <n v="27284610.210000001"/>
    <n v="36895664.520000003"/>
    <n v="36895664.520000003"/>
  </r>
  <r>
    <x v="5"/>
    <s v="5033 - SEGURANCA ALIMENTAR E NUTRICIONAL"/>
    <x v="901"/>
    <n v="620000000"/>
    <n v="606785471"/>
    <n v="606785471"/>
  </r>
  <r>
    <x v="5"/>
    <s v="0034 - PROGRAMA DE GESTAO E MANUTENCAO DO PODER LEGISLATIVO"/>
    <x v="696"/>
    <n v="136032.32999999999"/>
    <n v="253090.95"/>
    <n v="241658.42"/>
  </r>
  <r>
    <x v="5"/>
    <s v="3004 - AVIACAO CIVIL"/>
    <x v="996"/>
    <n v="0"/>
    <n v="5562.26"/>
    <n v="5562.26"/>
  </r>
  <r>
    <x v="5"/>
    <s v="0909 - OPERACOES ESPECIAIS: OUTROS ENCARGOS ESPECIAIS"/>
    <x v="556"/>
    <n v="0"/>
    <n v="568126.65"/>
    <n v="613665.34"/>
  </r>
  <r>
    <x v="5"/>
    <s v="2222 - SANEAMENTO BASICO"/>
    <x v="706"/>
    <n v="0"/>
    <n v="0"/>
    <n v="0"/>
  </r>
  <r>
    <x v="5"/>
    <s v="6014 - PREVENCAO E CONTROLE DO DESMATAMENTO E DOS INCENDIOS NOS BIOMAS"/>
    <x v="620"/>
    <n v="0"/>
    <n v="210326.72"/>
    <n v="210326.72"/>
  </r>
  <r>
    <x v="5"/>
    <s v="5031 - PROTECAO SOCIAL NO AMBITO DO SISTEMA UNICO DE ASSISTENCIA SOCIAL (SUAS)"/>
    <x v="251"/>
    <n v="-1155000"/>
    <n v="218708.91"/>
    <n v="211288.06"/>
  </r>
  <r>
    <x v="5"/>
    <s v="5026 - ESPORTE"/>
    <x v="794"/>
    <n v="450000"/>
    <n v="0"/>
    <n v="0"/>
  </r>
  <r>
    <x v="5"/>
    <s v="5021 - GESTAO E ORGANIZACAO DO SUS"/>
    <x v="245"/>
    <n v="1600000"/>
    <n v="9102.5400000000009"/>
    <n v="9102.5400000000009"/>
  </r>
  <r>
    <x v="5"/>
    <s v="1040 - GOVERNANCA FUNDIARIA"/>
    <x v="905"/>
    <n v="60424.1"/>
    <n v="85423.78"/>
    <n v="92050.240000000005"/>
  </r>
  <r>
    <x v="5"/>
    <s v="0905 - OPERACOES ESPECIAIS: SERVICO DA DIVIDA INTERNA (JUROS EAMORTIZACOES)"/>
    <x v="70"/>
    <n v="0"/>
    <n v="8591394.6999999993"/>
    <n v="8591394.6999999993"/>
  </r>
  <r>
    <x v="5"/>
    <s v="5021 - GESTAO E ORGANIZACAO DO SUS"/>
    <x v="507"/>
    <n v="387073325.57999998"/>
    <n v="139081770.84"/>
    <n v="129719689.22"/>
  </r>
  <r>
    <x v="5"/>
    <s v="6012 - DEFESA NACIONAL"/>
    <x v="466"/>
    <n v="116291049.13"/>
    <n v="30766553.27"/>
    <n v="30651253.27"/>
  </r>
  <r>
    <x v="5"/>
    <s v="6012 - DEFESA NACIONAL"/>
    <x v="172"/>
    <n v="8731961.6699999999"/>
    <n v="400000"/>
    <n v="588925.18000000005"/>
  </r>
  <r>
    <x v="5"/>
    <s v="0909 - OPERACOES ESPECIAIS: OUTROS ENCARGOS ESPECIAIS"/>
    <x v="765"/>
    <n v="812081736.91999996"/>
    <n v="485497697.87"/>
    <n v="485497697.87"/>
  </r>
  <r>
    <x v="5"/>
    <s v="6012 - DEFESA NACIONAL"/>
    <x v="655"/>
    <n v="81917.41"/>
    <n v="124634.47"/>
    <n v="745495.49"/>
  </r>
  <r>
    <x v="5"/>
    <s v="0032 - PROGRAMA DE GESTAO E MANUTENCAO DO PODER EXECUTIVO"/>
    <x v="575"/>
    <n v="0"/>
    <n v="0"/>
    <n v="0"/>
  </r>
  <r>
    <x v="5"/>
    <s v="2015 - FORTALECIMENTO DO SISTEMA UNICO DE SAUDE (SUS)"/>
    <x v="825"/>
    <n v="0"/>
    <n v="0"/>
    <n v="0"/>
  </r>
  <r>
    <x v="5"/>
    <s v="2206 - POLITICA NUCLEAR"/>
    <x v="851"/>
    <n v="57530.23"/>
    <n v="0"/>
    <n v="0"/>
  </r>
  <r>
    <x v="5"/>
    <s v="0032 - PROGRAMA DE GESTAO E MANUTENCAO DO PODER EXECUTIVO"/>
    <x v="356"/>
    <n v="16589101.890000001"/>
    <n v="20658823.940000001"/>
    <n v="16708421.529999999"/>
  </r>
  <r>
    <x v="5"/>
    <s v="3006 - TRANSPORTE TERRESTRE E TRANSITO"/>
    <x v="125"/>
    <n v="0"/>
    <n v="2033863.86"/>
    <n v="1885213.22"/>
  </r>
  <r>
    <x v="5"/>
    <s v="2061 - PREVIDENCIA SOCIAL"/>
    <x v="740"/>
    <n v="0"/>
    <n v="0"/>
    <n v="0"/>
  </r>
  <r>
    <x v="5"/>
    <s v="2015 - FORTALECIMENTO DO SISTEMA UNICO DE SAUDE (SUS)"/>
    <x v="316"/>
    <n v="0"/>
    <n v="0"/>
    <n v="0"/>
  </r>
  <r>
    <x v="5"/>
    <s v="3006 - TRANSPORTE TERRESTRE E TRANSITO"/>
    <x v="666"/>
    <n v="1010310.2"/>
    <n v="11033205.529999999"/>
    <n v="10080724.02"/>
  </r>
  <r>
    <x v="5"/>
    <s v="5023 - VIGILANCIA EM SAUDE"/>
    <x v="284"/>
    <n v="0"/>
    <n v="0"/>
    <n v="0"/>
  </r>
  <r>
    <x v="5"/>
    <s v="0032 - PROGRAMA DE GESTAO E MANUTENCAO DO PODER EXECUTIVO"/>
    <x v="945"/>
    <n v="0"/>
    <n v="67540"/>
    <n v="125540.42"/>
  </r>
  <r>
    <x v="5"/>
    <s v="0032 - PROGRAMA DE GESTAO E MANUTENCAO DO PODER EXECUTIVO"/>
    <x v="349"/>
    <n v="45768.160000000003"/>
    <n v="495128.13"/>
    <n v="519018.77"/>
  </r>
  <r>
    <x v="5"/>
    <s v="5023 - VIGILANCIA EM SAUDE"/>
    <x v="207"/>
    <n v="188129850.33000001"/>
    <n v="174854641.55000001"/>
    <n v="109323253.23999999"/>
  </r>
  <r>
    <x v="5"/>
    <s v="1040 - GOVERNANCA FUNDIARIA"/>
    <x v="585"/>
    <n v="264381.49"/>
    <n v="333414.11"/>
    <n v="341610.3"/>
  </r>
  <r>
    <x v="5"/>
    <s v="0032 - PROGRAMA DE GESTAO E MANUTENCAO DO PODER EXECUTIVO"/>
    <x v="493"/>
    <n v="0"/>
    <n v="117352336.67"/>
    <n v="84208821.659999996"/>
  </r>
  <r>
    <x v="5"/>
    <s v="0032 - PROGRAMA DE GESTAO E MANUTENCAO DO PODER EXECUTIVO"/>
    <x v="348"/>
    <n v="-447137.72"/>
    <n v="796886.75"/>
    <n v="722316.37"/>
  </r>
  <r>
    <x v="5"/>
    <s v="0032 - PROGRAMA DE GESTAO E MANUTENCAO DO PODER EXECUTIVO"/>
    <x v="495"/>
    <n v="77450936.849999994"/>
    <n v="20900387.260000002"/>
    <n v="24912803.789999999"/>
  </r>
  <r>
    <x v="5"/>
    <s v="2208 - TECNOLOGIAS APLICADAS, INOVACAO E DESENVOLVIMENTO SUSTENTAVEL"/>
    <x v="239"/>
    <n v="100000"/>
    <n v="34716.86"/>
    <n v="34716.86"/>
  </r>
  <r>
    <x v="5"/>
    <s v="2223 - A HORA DO TURISMO"/>
    <x v="100"/>
    <n v="675250.93"/>
    <n v="675250.93"/>
    <n v="675250.93"/>
  </r>
  <r>
    <x v="5"/>
    <s v="5034 - PROTECAO A VIDA, FORTALECIMENTO DA FAMILIA, PROMOCAO E DEFESA DOS DIREITOS HUMANOS PARA TODOS"/>
    <x v="700"/>
    <n v="5137556.13"/>
    <n v="680242.98"/>
    <n v="641851.24"/>
  </r>
  <r>
    <x v="5"/>
    <s v="6011 - COOPERACAO COM O DESENVOLVIMENTO NACIONAL"/>
    <x v="134"/>
    <n v="148052916"/>
    <n v="0"/>
    <n v="0"/>
  </r>
  <r>
    <x v="5"/>
    <s v="0033 - PROGRAMA DE GESTAO E MANUTENCAO DO PODER JUDICIARIO"/>
    <x v="297"/>
    <n v="100000"/>
    <n v="106956.33"/>
    <n v="106956.33"/>
  </r>
  <r>
    <x v="5"/>
    <s v="5025 - CULTURA"/>
    <x v="553"/>
    <n v="71372.81"/>
    <n v="46084.5"/>
    <n v="57069.5"/>
  </r>
  <r>
    <x v="5"/>
    <s v="1031 - AGROPECUARIA SUSTENTAVEL"/>
    <x v="660"/>
    <n v="301836.23"/>
    <n v="800128.11"/>
    <n v="834261.99"/>
  </r>
  <r>
    <x v="5"/>
    <s v="2037 - CONSOLIDACAO DO SISTEMA UNICO DE ASSISTENCIA SOCIAL (SUAS)"/>
    <x v="41"/>
    <n v="0"/>
    <n v="0"/>
    <n v="0"/>
  </r>
  <r>
    <x v="5"/>
    <s v="2216 - POLITICA EXTERNA"/>
    <x v="362"/>
    <n v="195664.1"/>
    <n v="147996.5"/>
    <n v="147996.5"/>
  </r>
  <r>
    <x v="5"/>
    <s v="2058 - DEFESA NACIONAL"/>
    <x v="1097"/>
    <n v="0"/>
    <n v="0"/>
    <n v="0"/>
  </r>
  <r>
    <x v="5"/>
    <s v="0910 - OPERACOES ESPECIAIS: GESTAO DA PARTICIPACAO EM ORGANISMOS E ENTIDADES NACIONAIS E INTERNACIONAIS"/>
    <x v="966"/>
    <n v="-2171707.46"/>
    <n v="0"/>
    <n v="0"/>
  </r>
  <r>
    <x v="5"/>
    <s v="3001 - ENERGIA ELETRICA"/>
    <x v="97"/>
    <n v="45000"/>
    <n v="64168.86"/>
    <n v="45370.79"/>
  </r>
  <r>
    <x v="5"/>
    <s v="5023 - VIGILANCIA EM SAUDE"/>
    <x v="115"/>
    <n v="109974431.02"/>
    <n v="109801874.88"/>
    <n v="109801874.88"/>
  </r>
  <r>
    <x v="5"/>
    <s v="6012 - DEFESA NACIONAL"/>
    <x v="652"/>
    <n v="54406170.43"/>
    <n v="11322132.23"/>
    <n v="7994263.9299999997"/>
  </r>
  <r>
    <x v="5"/>
    <s v="6012 - DEFESA NACIONAL"/>
    <x v="639"/>
    <n v="124455564.34"/>
    <n v="77872111.510000005"/>
    <n v="107071974.06"/>
  </r>
  <r>
    <x v="5"/>
    <s v="2217 - DESENVOLVIMENTO REGIONAL, TERRITORIAL E URBANO"/>
    <x v="322"/>
    <n v="5080261.68"/>
    <n v="122764.81"/>
    <n v="109866.68"/>
  </r>
  <r>
    <x v="5"/>
    <s v="0032 - PROGRAMA DE GESTAO E MANUTENCAO DO PODER EXECUTIVO"/>
    <x v="1001"/>
    <n v="0"/>
    <n v="0"/>
    <n v="0"/>
  </r>
  <r>
    <x v="5"/>
    <s v="5035 - PROMOCAO DE CIDADANIA POR MEIO DO AUXILIO BRASIL E DA ARTICULACAO DE POLITICAS PUBLICAS"/>
    <x v="299"/>
    <n v="0"/>
    <n v="2796682.63"/>
    <n v="2796682.63"/>
  </r>
  <r>
    <x v="5"/>
    <s v="3006 - TRANSPORTE TERRESTRE E TRANSITO"/>
    <x v="111"/>
    <n v="0"/>
    <n v="106806.88"/>
    <n v="113757.73"/>
  </r>
  <r>
    <x v="5"/>
    <s v="5025 - CULTURA"/>
    <x v="549"/>
    <n v="9942359.1500000004"/>
    <n v="7034203.3399999999"/>
    <n v="6986264.4800000004"/>
  </r>
  <r>
    <x v="5"/>
    <s v="6014 - PREVENCAO E CONTROLE DO DESMATAMENTO E DOS INCENDIOS NOS BIOMAS"/>
    <x v="624"/>
    <n v="36638455.329999998"/>
    <n v="5068830.62"/>
    <n v="1481379.46"/>
  </r>
  <r>
    <x v="5"/>
    <s v="5026 - ESPORTE"/>
    <x v="57"/>
    <n v="83303538.239999995"/>
    <n v="1000000"/>
    <n v="1000000"/>
  </r>
  <r>
    <x v="5"/>
    <s v="0910 - OPERACOES ESPECIAIS: GESTAO DA PARTICIPACAO EM ORGANISMOS E ENTIDADES NACIONAIS E INTERNACIONAIS"/>
    <x v="1138"/>
    <n v="250000"/>
    <n v="232012.85"/>
    <n v="232012.85"/>
  </r>
  <r>
    <x v="5"/>
    <s v="5011 - EDUCACAO BASICA DE QUALIDADE"/>
    <x v="875"/>
    <n v="0"/>
    <n v="0"/>
    <n v="0"/>
  </r>
  <r>
    <x v="5"/>
    <s v="5016 - SEGURANCA PUBLICA, COMBATE A CORRUPCAO, AO CRIME ORGANIZADO E AO CRIME VIOLENTO"/>
    <x v="516"/>
    <n v="26500567.649999999"/>
    <n v="4501670.37"/>
    <n v="3867830.26"/>
  </r>
  <r>
    <x v="5"/>
    <s v="2201 - BRASIL MODERNIZA"/>
    <x v="209"/>
    <n v="22328049.870000001"/>
    <n v="1414631.55"/>
    <n v="1272553.69"/>
  </r>
  <r>
    <x v="5"/>
    <s v="1040 - GOVERNANCA FUNDIARIA"/>
    <x v="81"/>
    <n v="74272.399999999994"/>
    <n v="72562.73"/>
    <n v="79685.899999999994"/>
  </r>
  <r>
    <x v="5"/>
    <s v="2207 - PROGRAMA ESPACIAL BRASILEIRO"/>
    <x v="39"/>
    <n v="4588950.33"/>
    <n v="3991.6"/>
    <n v="3991.6"/>
  </r>
  <r>
    <x v="5"/>
    <s v="6012 - DEFESA NACIONAL"/>
    <x v="521"/>
    <n v="43324520.82"/>
    <n v="880702.39"/>
    <n v="362799.1"/>
  </r>
  <r>
    <x v="5"/>
    <s v="3002 - GEOLOGIA, MINERACAO E TRANSFORMACAO MINERAL"/>
    <x v="607"/>
    <n v="796644.82"/>
    <n v="1042245.28"/>
    <n v="1535732.25"/>
  </r>
  <r>
    <x v="5"/>
    <s v="2080 - EDUCACAO DE QUALIDADE PARA TODOS"/>
    <x v="394"/>
    <n v="0"/>
    <n v="0"/>
    <n v="0"/>
  </r>
  <r>
    <x v="5"/>
    <s v="2217 - DESENVOLVIMENTO REGIONAL, TERRITORIAL E URBANO"/>
    <x v="460"/>
    <n v="0"/>
    <n v="0"/>
    <n v="17601.5"/>
  </r>
  <r>
    <x v="5"/>
    <s v="3006 - TRANSPORTE TERRESTRE E TRANSITO"/>
    <x v="367"/>
    <n v="1011186831.1"/>
    <n v="668868090.51999998"/>
    <n v="665026473.63"/>
  </r>
  <r>
    <x v="5"/>
    <s v="2206 - POLITICA NUCLEAR"/>
    <x v="664"/>
    <n v="169591.32"/>
    <n v="31161.18"/>
    <n v="25870.41"/>
  </r>
  <r>
    <x v="5"/>
    <s v="0032 - PROGRAMA DE GESTAO E MANUTENCAO DO PODER EXECUTIVO"/>
    <x v="341"/>
    <n v="294922.65999999997"/>
    <n v="730007.77"/>
    <n v="708412.5"/>
  </r>
  <r>
    <x v="5"/>
    <s v="2204 - BRASIL NA FRONTEIRA DO CONHECIMENTO"/>
    <x v="37"/>
    <n v="300000"/>
    <n v="109639732"/>
    <n v="109639732"/>
  </r>
  <r>
    <x v="5"/>
    <s v="1041 - CONSERVACAO E USO SUSTENTAVEL DA BIODIVERSIDADE E DOS RECURSOS NATURAIS"/>
    <x v="977"/>
    <n v="129306.08"/>
    <n v="61426.97"/>
    <n v="65809.509999999995"/>
  </r>
  <r>
    <x v="5"/>
    <s v="5015 - JUSTICA"/>
    <x v="584"/>
    <n v="2431068.66"/>
    <n v="322789.3"/>
    <n v="383499.56"/>
  </r>
  <r>
    <x v="5"/>
    <s v="0032 - PROGRAMA DE GESTAO E MANUTENCAO DO PODER EXECUTIVO"/>
    <x v="1139"/>
    <n v="0"/>
    <n v="0"/>
    <n v="0"/>
  </r>
  <r>
    <x v="5"/>
    <s v="5029 - PRODUCAO DE DADOS E CONHECIMENTO PARA O APRIMORAMENTO DE POLITICAS PUBLICAS"/>
    <x v="320"/>
    <n v="2548470.54"/>
    <n v="0"/>
    <n v="0"/>
  </r>
  <r>
    <x v="5"/>
    <s v="1041 - CONSERVACAO E USO SUSTENTAVEL DA BIODIVERSIDADE E DOS RECURSOS NATURAIS"/>
    <x v="702"/>
    <n v="1817603.23"/>
    <n v="878114.35"/>
    <n v="917187.63"/>
  </r>
  <r>
    <x v="5"/>
    <s v="2221 - RECURSOS HIDRICOS"/>
    <x v="204"/>
    <n v="60000"/>
    <n v="17550.72"/>
    <n v="32472.12"/>
  </r>
  <r>
    <x v="5"/>
    <s v="2015 - FORTALECIMENTO DO SISTEMA UNICO DE SAUDE (SUS)"/>
    <x v="366"/>
    <n v="0"/>
    <n v="0"/>
    <n v="0"/>
  </r>
  <r>
    <x v="5"/>
    <s v="2206 - POLITICA NUCLEAR"/>
    <x v="594"/>
    <n v="0"/>
    <n v="0"/>
    <n v="0"/>
  </r>
  <r>
    <x v="5"/>
    <s v="2206 - POLITICA NUCLEAR"/>
    <x v="774"/>
    <n v="11386630.119999999"/>
    <n v="4187187.7"/>
    <n v="4166474.12"/>
  </r>
  <r>
    <x v="5"/>
    <s v="6012 - DEFESA NACIONAL"/>
    <x v="273"/>
    <n v="1857507.27"/>
    <n v="994813.3"/>
    <n v="897746.69"/>
  </r>
  <r>
    <x v="5"/>
    <s v="2217 - DESENVOLVIMENTO REGIONAL, TERRITORIAL E URBANO"/>
    <x v="406"/>
    <n v="134608.76999999999"/>
    <n v="92800.08"/>
    <n v="105079.89"/>
  </r>
  <r>
    <x v="5"/>
    <s v="5015 - JUSTICA"/>
    <x v="690"/>
    <n v="2671008.42"/>
    <n v="679986.23"/>
    <n v="506961.87"/>
  </r>
  <r>
    <x v="5"/>
    <s v="0901 - OPERACOES ESPECIAIS: CUMPRIMENTO DE SENTENCAS JUDICIAIS"/>
    <x v="882"/>
    <n v="0"/>
    <n v="0"/>
    <n v="0"/>
  </r>
  <r>
    <x v="5"/>
    <s v="2201 - BRASIL MODERNIZA"/>
    <x v="520"/>
    <n v="273163.83"/>
    <n v="261109.44"/>
    <n v="257589.99"/>
  </r>
  <r>
    <x v="5"/>
    <s v="2208 - TECNOLOGIAS APLICADAS, INOVACAO E DESENVOLVIMENTO SUSTENTAVEL"/>
    <x v="260"/>
    <n v="27246645.390000001"/>
    <n v="14250616.369999999"/>
    <n v="100044669.63"/>
  </r>
  <r>
    <x v="5"/>
    <s v="1031 - AGROPECUARIA SUSTENTAVEL"/>
    <x v="259"/>
    <n v="500000"/>
    <n v="5843120.2400000002"/>
    <n v="5843120.2400000002"/>
  </r>
  <r>
    <x v="5"/>
    <s v="2213 - MODERNIZACAO TRABALHISTA E TRABALHO DIGNO"/>
    <x v="534"/>
    <n v="1779218.12"/>
    <n v="3036438"/>
    <n v="3041704.68"/>
  </r>
  <r>
    <x v="5"/>
    <s v="3002 - GEOLOGIA, MINERACAO E TRANSFORMACAO MINERAL"/>
    <x v="665"/>
    <n v="3654890.15"/>
    <n v="3188982.44"/>
    <n v="3182278.95"/>
  </r>
  <r>
    <x v="5"/>
    <s v="2221 - RECURSOS HIDRICOS"/>
    <x v="486"/>
    <n v="320100"/>
    <n v="207484.68"/>
    <n v="207484.68"/>
  </r>
  <r>
    <x v="5"/>
    <s v="2208 - TECNOLOGIAS APLICADAS, INOVACAO E DESENVOLVIMENTO SUSTENTAVEL"/>
    <x v="373"/>
    <n v="0"/>
    <n v="0"/>
    <n v="0"/>
  </r>
  <r>
    <x v="5"/>
    <s v="6012 - DEFESA NACIONAL"/>
    <x v="340"/>
    <n v="86858.65"/>
    <n v="43163.91"/>
    <n v="34416.03"/>
  </r>
  <r>
    <x v="5"/>
    <s v="3006 - TRANSPORTE TERRESTRE E TRANSITO"/>
    <x v="392"/>
    <n v="0"/>
    <n v="758648.78"/>
    <n v="758648.78"/>
  </r>
  <r>
    <x v="5"/>
    <s v="5016 - SEGURANCA PUBLICA, COMBATE A CORRUPCAO, AO CRIME ORGANIZADO E AO CRIME VIOLENTO"/>
    <x v="574"/>
    <n v="2148103.29"/>
    <n v="23338975.510000002"/>
    <n v="20507405.77"/>
  </r>
  <r>
    <x v="5"/>
    <s v="1031 - AGROPECUARIA SUSTENTAVEL"/>
    <x v="291"/>
    <n v="752080.89"/>
    <n v="515318.2"/>
    <n v="466646.83"/>
  </r>
  <r>
    <x v="5"/>
    <s v="0032 - PROGRAMA DE GESTAO E MANUTENCAO DO PODER EXECUTIVO"/>
    <x v="446"/>
    <n v="-138944989.56999999"/>
    <n v="1144605.69"/>
    <n v="1144605.69"/>
  </r>
  <r>
    <x v="5"/>
    <s v="0911 - OPERACOES ESPECIAIS - REMUNERACAO DE AGENTES FINANCEIROS"/>
    <x v="650"/>
    <n v="89659487.219999999"/>
    <n v="80741915.370000005"/>
    <n v="80696913.200000003"/>
  </r>
  <r>
    <x v="5"/>
    <s v="2204 - BRASIL NA FRONTEIRA DO CONHECIMENTO"/>
    <x v="11"/>
    <n v="141845.24"/>
    <n v="0"/>
    <n v="0"/>
  </r>
  <r>
    <x v="5"/>
    <s v="6012 - DEFESA NACIONAL"/>
    <x v="746"/>
    <n v="1261786.1299999999"/>
    <n v="917687.65"/>
    <n v="820708.41"/>
  </r>
  <r>
    <x v="5"/>
    <s v="6012 - DEFESA NACIONAL"/>
    <x v="500"/>
    <n v="-10975432.9"/>
    <n v="3943951.63"/>
    <n v="4053782.82"/>
  </r>
  <r>
    <x v="5"/>
    <s v="5021 - GESTAO E ORGANIZACAO DO SUS"/>
    <x v="157"/>
    <n v="7549310.9900000002"/>
    <n v="7450508.6399999997"/>
    <n v="59240.52"/>
  </r>
  <r>
    <x v="5"/>
    <s v="6012 - DEFESA NACIONAL"/>
    <x v="337"/>
    <n v="4073150.13"/>
    <n v="268239.46000000002"/>
    <n v="394914.63"/>
  </r>
  <r>
    <x v="5"/>
    <s v="5020 - DESENVOLVIMENTO CIENTIFICO, TECNOLOGICO E PRODUTIVO EM SAUDE"/>
    <x v="672"/>
    <n v="13974712.060000001"/>
    <n v="5111600.5599999996"/>
    <n v="5034968.22"/>
  </r>
  <r>
    <x v="5"/>
    <s v="5026 - ESPORTE"/>
    <x v="533"/>
    <n v="183043061.55000001"/>
    <n v="0"/>
    <n v="0"/>
  </r>
  <r>
    <x v="5"/>
    <s v="2222 - SANEAMENTO BASICO"/>
    <x v="554"/>
    <n v="0"/>
    <n v="0"/>
    <n v="0"/>
  </r>
  <r>
    <x v="5"/>
    <s v="0032 - PROGRAMA DE GESTAO E MANUTENCAO DO PODER EXECUTIVO"/>
    <x v="933"/>
    <n v="0"/>
    <n v="37834756.270000003"/>
    <n v="37834756.270000003"/>
  </r>
  <r>
    <x v="5"/>
    <s v="2221 - RECURSOS HIDRICOS"/>
    <x v="465"/>
    <n v="2831238.13"/>
    <n v="4577076.0999999996"/>
    <n v="4774678.17"/>
  </r>
  <r>
    <x v="5"/>
    <s v="6012 - DEFESA NACIONAL"/>
    <x v="499"/>
    <n v="1046604.99"/>
    <n v="29272533.890000001"/>
    <n v="29878140.09"/>
  </r>
  <r>
    <x v="5"/>
    <s v="0032 - PROGRAMA DE GESTAO E MANUTENCAO DO PODER EXECUTIVO"/>
    <x v="699"/>
    <n v="31369507.91"/>
    <n v="25694852.629999999"/>
    <n v="26170877.649999999"/>
  </r>
  <r>
    <x v="5"/>
    <s v="5011 - EDUCACAO BASICA DE QUALIDADE"/>
    <x v="407"/>
    <n v="20842494.02"/>
    <n v="9854438.5299999993"/>
    <n v="9212976.1999999993"/>
  </r>
  <r>
    <x v="5"/>
    <s v="2215 - POLITICA ECONOMICA E EQUILIBRIO FISCAL"/>
    <x v="661"/>
    <n v="0"/>
    <n v="13270716.529999999"/>
    <n v="13331063.08"/>
  </r>
  <r>
    <x v="5"/>
    <s v="0903 - OPERACOES ESPECIAIS: TRANSFERENCIAS CONSTITUCIONAIS E AS DECORRENTES DE LEGISLACAO ESPECIFICA"/>
    <x v="578"/>
    <n v="19536735.829999998"/>
    <n v="19610632.870000001"/>
    <n v="19316609.829999998"/>
  </r>
  <r>
    <x v="5"/>
    <s v="0617 - PROTECAO E PROMOCAO DOS DIREITOS DOS POVOS INDIGENAS"/>
    <x v="373"/>
    <n v="0"/>
    <n v="0"/>
    <n v="0"/>
  </r>
  <r>
    <x v="5"/>
    <s v="0032 - PROGRAMA DE GESTAO E MANUTENCAO DO PODER EXECUTIVO"/>
    <x v="570"/>
    <n v="11410295.4"/>
    <n v="8580029.9800000004"/>
    <n v="8381602.7599999998"/>
  </r>
  <r>
    <x v="5"/>
    <s v="2221 - RECURSOS HIDRICOS"/>
    <x v="845"/>
    <n v="78965006.620000005"/>
    <n v="0"/>
    <n v="11349660.390000001"/>
  </r>
  <r>
    <x v="5"/>
    <s v="1031 - AGROPECUARIA SUSTENTAVEL"/>
    <x v="569"/>
    <n v="1659359.34"/>
    <n v="16880.099999999999"/>
    <n v="16123.24"/>
  </r>
  <r>
    <x v="5"/>
    <s v="6012 - DEFESA NACIONAL"/>
    <x v="378"/>
    <n v="13377062.779999999"/>
    <n v="43788.89"/>
    <n v="41998.57"/>
  </r>
  <r>
    <x v="5"/>
    <s v="5021 - GESTAO E ORGANIZACAO DO SUS"/>
    <x v="480"/>
    <n v="1661050.51"/>
    <n v="114432.38"/>
    <n v="116100.54"/>
  </r>
  <r>
    <x v="5"/>
    <s v="5021 - GESTAO E ORGANIZACAO DO SUS"/>
    <x v="46"/>
    <n v="458910.25"/>
    <n v="344052.44"/>
    <n v="259927.36"/>
  </r>
  <r>
    <x v="5"/>
    <s v="2202 - DEFESA AGROPECUARIA"/>
    <x v="697"/>
    <n v="2366016.09"/>
    <n v="1155800.1200000001"/>
    <n v="1093889.76"/>
  </r>
  <r>
    <x v="5"/>
    <s v="1031 - AGROPECUARIA SUSTENTAVEL"/>
    <x v="512"/>
    <n v="-160221.98000000001"/>
    <n v="4359363.63"/>
    <n v="1876005.34"/>
  </r>
  <r>
    <x v="5"/>
    <s v="1031 - AGROPECUARIA SUSTENTAVEL"/>
    <x v="77"/>
    <n v="0"/>
    <n v="0"/>
    <n v="0"/>
  </r>
  <r>
    <x v="5"/>
    <s v="2217 - DESENVOLVIMENTO REGIONAL, TERRITORIAL E URBANO"/>
    <x v="632"/>
    <n v="0"/>
    <n v="0"/>
    <n v="0"/>
  </r>
  <r>
    <x v="5"/>
    <s v="6012 - DEFESA NACIONAL"/>
    <x v="561"/>
    <n v="11607955.279999999"/>
    <n v="1308821.74"/>
    <n v="1282974.08"/>
  </r>
  <r>
    <x v="5"/>
    <s v="5015 - JUSTICA"/>
    <x v="308"/>
    <n v="-574625.6"/>
    <n v="1829792.47"/>
    <n v="1829476.41"/>
  </r>
  <r>
    <x v="5"/>
    <s v="1031 - AGROPECUARIA SUSTENTAVEL"/>
    <x v="192"/>
    <n v="51400"/>
    <n v="61006.84"/>
    <n v="60119.11"/>
  </r>
  <r>
    <x v="5"/>
    <s v="5033 - SEGURANCA ALIMENTAR E NUTRICIONAL"/>
    <x v="564"/>
    <n v="22441845.300000001"/>
    <n v="0"/>
    <n v="0"/>
  </r>
  <r>
    <x v="5"/>
    <s v="5023 - VIGILANCIA EM SAUDE"/>
    <x v="247"/>
    <n v="44728489.75"/>
    <n v="28722012.34"/>
    <n v="33616379.969999999"/>
  </r>
  <r>
    <x v="5"/>
    <s v="6012 - DEFESA NACIONAL"/>
    <x v="580"/>
    <n v="513664.69"/>
    <n v="193391.32"/>
    <n v="342585.13"/>
  </r>
  <r>
    <x v="5"/>
    <s v="2203 - PESQUISA E INOVACAO AGROPECUARIA"/>
    <x v="618"/>
    <n v="1893569.97"/>
    <n v="990488.9"/>
    <n v="991868.9"/>
  </r>
  <r>
    <x v="5"/>
    <s v="1031 - AGROPECUARIA SUSTENTAVEL"/>
    <x v="387"/>
    <n v="8195560.96"/>
    <n v="687132.53"/>
    <n v="665757.77"/>
  </r>
  <r>
    <x v="5"/>
    <s v="0901 - OPERACOES ESPECIAIS: CUMPRIMENTO DE SENTENCAS JUDICIAIS"/>
    <x v="606"/>
    <n v="29785773.27"/>
    <n v="39494961.030000001"/>
    <n v="39494961.030000001"/>
  </r>
  <r>
    <x v="5"/>
    <s v="5017 - ASSISTENCIA FARMACEUTICA NO SUS"/>
    <x v="219"/>
    <n v="104185859.58"/>
    <n v="157063915.78999999"/>
    <n v="136193902.28"/>
  </r>
  <r>
    <x v="5"/>
    <s v="1041 - CONSERVACAO E USO SUSTENTAVEL DA BIODIVERSIDADE E DOS RECURSOS NATURAIS"/>
    <x v="568"/>
    <n v="161913"/>
    <n v="313666.34999999998"/>
    <n v="327289.21000000002"/>
  </r>
  <r>
    <x v="5"/>
    <s v="0033 - PROGRAMA DE GESTAO E MANUTENCAO DO PODER JUDICIARIO"/>
    <x v="205"/>
    <n v="14799.68"/>
    <n v="0"/>
    <n v="0"/>
  </r>
  <r>
    <x v="5"/>
    <s v="6012 - DEFESA NACIONAL"/>
    <x v="777"/>
    <n v="144795.69"/>
    <n v="301282.88"/>
    <n v="320557.7"/>
  </r>
  <r>
    <x v="5"/>
    <s v="6012 - DEFESA NACIONAL"/>
    <x v="525"/>
    <n v="2403148.66"/>
    <n v="2359489.13"/>
    <n v="2604756.2599999998"/>
  </r>
  <r>
    <x v="5"/>
    <s v="1040 - GOVERNANCA FUNDIARIA"/>
    <x v="737"/>
    <n v="1956898.31"/>
    <n v="1955764.92"/>
    <n v="766482.32"/>
  </r>
  <r>
    <x v="5"/>
    <s v="5025 - CULTURA"/>
    <x v="118"/>
    <n v="0"/>
    <n v="0"/>
    <n v="0"/>
  </r>
  <r>
    <x v="5"/>
    <s v="5025 - CULTURA"/>
    <x v="488"/>
    <n v="1880053.71"/>
    <n v="753912.91"/>
    <n v="725312.6"/>
  </r>
  <r>
    <x v="5"/>
    <s v="3002 - GEOLOGIA, MINERACAO E TRANSFORMACAO MINERAL"/>
    <x v="641"/>
    <n v="2174053.54"/>
    <n v="1103093.95"/>
    <n v="1163133.1399999999"/>
  </r>
  <r>
    <x v="5"/>
    <s v="0032 - PROGRAMA DE GESTAO E MANUTENCAO DO PODER EXECUTIVO"/>
    <x v="599"/>
    <n v="34249607.439999998"/>
    <n v="3744845.58"/>
    <n v="7506668.2199999997"/>
  </r>
  <r>
    <x v="5"/>
    <s v="1031 - AGROPECUARIA SUSTENTAVEL"/>
    <x v="685"/>
    <n v="1472486.63"/>
    <n v="553454.31000000006"/>
    <n v="464212.59"/>
  </r>
  <r>
    <x v="5"/>
    <s v="6011 - COOPERACAO COM O DESENVOLVIMENTO NACIONAL"/>
    <x v="656"/>
    <n v="254378.81"/>
    <n v="2609184.4300000002"/>
    <n v="2672539.7000000002"/>
  </r>
  <r>
    <x v="5"/>
    <s v="2221 - RECURSOS HIDRICOS"/>
    <x v="327"/>
    <n v="0"/>
    <n v="0"/>
    <n v="0"/>
  </r>
  <r>
    <x v="5"/>
    <s v="2208 - TECNOLOGIAS APLICADAS, INOVACAO E DESENVOLVIMENTO SUSTENTAVEL"/>
    <x v="87"/>
    <n v="10034.620000000001"/>
    <n v="3385.18"/>
    <n v="946718.27"/>
  </r>
  <r>
    <x v="5"/>
    <s v="6013 - OCEANOS, ZONA COSTEIRA E ANTARTICA"/>
    <x v="413"/>
    <n v="250674.41"/>
    <n v="130767.53"/>
    <n v="103931.57"/>
  </r>
  <r>
    <x v="5"/>
    <s v="1031 - AGROPECUARIA SUSTENTAVEL"/>
    <x v="713"/>
    <n v="293822652.31"/>
    <n v="702462.52"/>
    <n v="702462.52"/>
  </r>
  <r>
    <x v="5"/>
    <s v="5033 - SEGURANCA ALIMENTAR E NUTRICIONAL"/>
    <x v="792"/>
    <n v="5121784.6500000004"/>
    <n v="81915.8"/>
    <n v="81915.8"/>
  </r>
  <r>
    <x v="5"/>
    <s v="2029 - DESENVOLVIMENTO REGIONAL E TERRITORIAL"/>
    <x v="1055"/>
    <n v="0"/>
    <n v="0"/>
    <n v="0"/>
  </r>
  <r>
    <x v="5"/>
    <s v="2216 - POLITICA EXTERNA"/>
    <x v="694"/>
    <n v="690185.12"/>
    <n v="593387.65"/>
    <n v="606990.17000000004"/>
  </r>
  <r>
    <x v="5"/>
    <s v="2205 - CONECTA BRASIL"/>
    <x v="686"/>
    <n v="1436629.47"/>
    <n v="1940323.96"/>
    <n v="1943865.5"/>
  </r>
  <r>
    <x v="5"/>
    <s v="5025 - CULTURA"/>
    <x v="753"/>
    <n v="18399601.379999999"/>
    <n v="490616.37"/>
    <n v="952283.72"/>
  </r>
  <r>
    <x v="5"/>
    <s v="5022 - PROTECAO, PROMOCAO E RECUPERACAO DA SAUDE INDIGENA"/>
    <x v="742"/>
    <n v="6182725.0700000003"/>
    <n v="5757507.8600000003"/>
    <n v="5826596.2199999997"/>
  </r>
  <r>
    <x v="5"/>
    <s v="0902 - OPERACOES ESPECIAIS: FINANCIAMENTOS COM RETORNO"/>
    <x v="146"/>
    <n v="0"/>
    <n v="580892078.26999998"/>
    <n v="580892078.26999998"/>
  </r>
  <r>
    <x v="5"/>
    <s v="6011 - COOPERACAO COM O DESENVOLVIMENTO NACIONAL"/>
    <x v="733"/>
    <n v="27785337.850000001"/>
    <n v="29492291.77"/>
    <n v="29743240.609999999"/>
  </r>
  <r>
    <x v="5"/>
    <s v="0902 - OPERACOES ESPECIAIS: FINANCIAMENTOS COM RETORNO"/>
    <x v="24"/>
    <n v="0"/>
    <n v="387261385.55000001"/>
    <n v="387261385.55000001"/>
  </r>
  <r>
    <x v="5"/>
    <s v="1041 - CONSERVACAO E USO SUSTENTAVEL DA BIODIVERSIDADE E DOS RECURSOS NATURAIS"/>
    <x v="154"/>
    <n v="38667"/>
    <n v="134529.45000000001"/>
    <n v="106382.21"/>
  </r>
  <r>
    <x v="5"/>
    <s v="0910 - OPERACOES ESPECIAIS: GESTAO DA PARTICIPACAO EM ORGANISMOS E ENTIDADES NACIONAIS E INTERNACIONAIS"/>
    <x v="693"/>
    <n v="545734.64"/>
    <n v="790595.38"/>
    <n v="851467.62"/>
  </r>
  <r>
    <x v="5"/>
    <s v="2203 - PESQUISA E INOVACAO AGROPECUARIA"/>
    <x v="780"/>
    <n v="742359.46"/>
    <n v="641049.56999999995"/>
    <n v="321874.37"/>
  </r>
  <r>
    <x v="5"/>
    <s v="5013 - EDUCACAO SUPERIOR - GRADUACAO, POS-GRADUACAO, ENSINO, PESQUISA E EXTENSAO"/>
    <x v="793"/>
    <n v="288525650.83999997"/>
    <n v="69063132.239999995"/>
    <n v="69614087.879999995"/>
  </r>
  <r>
    <x v="5"/>
    <s v="5013 - EDUCACAO SUPERIOR - GRADUACAO, POS-GRADUACAO, ENSINO, PESQUISA E EXTENSAO"/>
    <x v="129"/>
    <n v="38020679.920000002"/>
    <n v="25947450.030000001"/>
    <n v="24880338.050000001"/>
  </r>
  <r>
    <x v="5"/>
    <s v="2221 - RECURSOS HIDRICOS"/>
    <x v="513"/>
    <n v="-470515.7"/>
    <n v="1035080.13"/>
    <n v="496463.29"/>
  </r>
  <r>
    <x v="5"/>
    <s v="5018 - ATENCAO ESPECIALIZADA A SAUDE"/>
    <x v="437"/>
    <n v="4940026840.6599998"/>
    <n v="4967767986.8299999"/>
    <n v="4991624341.2600002"/>
  </r>
  <r>
    <x v="5"/>
    <s v="1031 - AGROPECUARIA SUSTENTAVEL"/>
    <x v="723"/>
    <n v="2283628.3199999998"/>
    <n v="3826550.83"/>
    <n v="5601986.6100000003"/>
  </r>
  <r>
    <x v="5"/>
    <s v="1031 - AGROPECUARIA SUSTENTAVEL"/>
    <x v="535"/>
    <n v="162321.78"/>
    <n v="16921.5"/>
    <n v="16961.5"/>
  </r>
  <r>
    <x v="5"/>
    <s v="5016 - SEGURANCA PUBLICA, COMBATE A CORRUPCAO, AO CRIME ORGANIZADO E AO CRIME VIOLENTO"/>
    <x v="439"/>
    <n v="3001016.92"/>
    <n v="115841"/>
    <n v="38259.120000000003"/>
  </r>
  <r>
    <x v="5"/>
    <s v="1040 - GOVERNANCA FUNDIARIA"/>
    <x v="180"/>
    <n v="11628.86"/>
    <n v="28740.25"/>
    <n v="25233.62"/>
  </r>
  <r>
    <x v="5"/>
    <s v="0033 - PROGRAMA DE GESTAO E MANUTENCAO DO PODER JUDICIARIO"/>
    <x v="547"/>
    <n v="-469.45"/>
    <n v="-469.45"/>
    <n v="-469.45"/>
  </r>
  <r>
    <x v="5"/>
    <s v="0617 - PROTECAO E PROMOCAO DOS DIREITOS DOS POVOS INDIGENAS"/>
    <x v="725"/>
    <n v="11913253.119999999"/>
    <n v="9300471.4000000004"/>
    <n v="8348396.5300000003"/>
  </r>
  <r>
    <x v="5"/>
    <s v="2221 - RECURSOS HIDRICOS"/>
    <x v="573"/>
    <n v="-19442.88"/>
    <n v="140398.17000000001"/>
    <n v="125052.06"/>
  </r>
  <r>
    <x v="5"/>
    <s v="5011 - EDUCACAO BASICA DE QUALIDADE"/>
    <x v="747"/>
    <n v="3420694.11"/>
    <n v="3934729.51"/>
    <n v="4288445.8499999996"/>
  </r>
  <r>
    <x v="5"/>
    <s v="2216 - POLITICA EXTERNA"/>
    <x v="732"/>
    <n v="2039983.76"/>
    <n v="3539230.86"/>
    <n v="3490010.77"/>
  </r>
  <r>
    <x v="5"/>
    <s v="0032 - PROGRAMA DE GESTAO E MANUTENCAO DO PODER EXECUTIVO"/>
    <x v="760"/>
    <n v="39217725.310000002"/>
    <n v="7149031.5499999998"/>
    <n v="7176513.1500000004"/>
  </r>
  <r>
    <x v="5"/>
    <s v="2216 - POLITICA EXTERNA"/>
    <x v="775"/>
    <n v="954747.14"/>
    <n v="959321.25"/>
    <n v="927094.54"/>
  </r>
  <r>
    <x v="5"/>
    <s v="0033 - PROGRAMA DE GESTAO E MANUTENCAO DO PODER JUDICIARIO"/>
    <x v="376"/>
    <n v="0"/>
    <n v="17934.3"/>
    <n v="0"/>
  </r>
  <r>
    <x v="5"/>
    <s v="6012 - DEFESA NACIONAL"/>
    <x v="773"/>
    <n v="16823139.809999999"/>
    <n v="6418053.0999999996"/>
    <n v="5858315.46"/>
  </r>
  <r>
    <x v="5"/>
    <s v="5034 - PROTECAO A VIDA, FORTALECIMENTO DA FAMILIA, PROMOCAO E DEFESA DOS DIREITOS HUMANOS PARA TODOS"/>
    <x v="898"/>
    <n v="0"/>
    <n v="0"/>
    <n v="0"/>
  </r>
  <r>
    <x v="5"/>
    <s v="2209 - BRASIL, NOSSO PROPOSITO"/>
    <x v="750"/>
    <n v="6095599.1100000003"/>
    <n v="4944326.38"/>
    <n v="5049209.2"/>
  </r>
  <r>
    <x v="5"/>
    <s v="5017 - ASSISTENCIA FARMACEUTICA NO SUS"/>
    <x v="374"/>
    <n v="1243182194.71"/>
    <n v="708772023.22000003"/>
    <n v="808198440.11000001"/>
  </r>
  <r>
    <x v="5"/>
    <s v="1031 - AGROPECUARIA SUSTENTAVEL"/>
    <x v="562"/>
    <n v="299610.67"/>
    <n v="859396.85"/>
    <n v="825155.58"/>
  </r>
  <r>
    <x v="5"/>
    <s v="2015 - FORTALECIMENTO DO SISTEMA UNICO DE SAUDE (SUS)"/>
    <x v="862"/>
    <n v="0"/>
    <n v="0"/>
    <n v="0"/>
  </r>
  <r>
    <x v="5"/>
    <s v="0909 - OPERACOES ESPECIAIS: OUTROS ENCARGOS ESPECIAIS"/>
    <x v="616"/>
    <n v="581780.22"/>
    <n v="47271064.590000004"/>
    <n v="47413330.859999999"/>
  </r>
  <r>
    <x v="5"/>
    <s v="2202 - DEFESA AGROPECUARIA"/>
    <x v="103"/>
    <n v="3841.92"/>
    <n v="41825.550000000003"/>
    <n v="39805.949999999997"/>
  </r>
  <r>
    <x v="5"/>
    <s v="6012 - DEFESA NACIONAL"/>
    <x v="736"/>
    <n v="2465969.5"/>
    <n v="2637230.2799999998"/>
    <n v="2951550.35"/>
  </r>
  <r>
    <x v="5"/>
    <s v="6012 - DEFESA NACIONAL"/>
    <x v="130"/>
    <n v="23314391.920000002"/>
    <n v="11396876.76"/>
    <n v="1005522.32"/>
  </r>
  <r>
    <x v="5"/>
    <s v="1041 - CONSERVACAO E USO SUSTENTAVEL DA BIODIVERSIDADE E DOS RECURSOS NATURAIS"/>
    <x v="1017"/>
    <n v="9164771.8599999994"/>
    <n v="8726525.6899999995"/>
    <n v="6199110.0099999998"/>
  </r>
  <r>
    <x v="5"/>
    <s v="2217 - DESENVOLVIMENTO REGIONAL, TERRITORIAL E URBANO"/>
    <x v="757"/>
    <n v="211232351.31999999"/>
    <n v="16124621.91"/>
    <n v="10950902.67"/>
  </r>
  <r>
    <x v="5"/>
    <s v="3006 - TRANSPORTE TERRESTRE E TRANSITO"/>
    <x v="537"/>
    <n v="0"/>
    <n v="6039758.4900000002"/>
    <n v="2786748.06"/>
  </r>
  <r>
    <x v="5"/>
    <s v="4004 - TRANSPARENCIA, INTEGRIDADE E COMBATE A CORRUPCAO"/>
    <x v="715"/>
    <n v="1574505.74"/>
    <n v="8249164.29"/>
    <n v="8761472.3200000003"/>
  </r>
  <r>
    <x v="5"/>
    <s v="5019 - ATENCAO PRIMARIA A SAUDE"/>
    <x v="730"/>
    <n v="75056.570000000007"/>
    <n v="112879273.68000001"/>
    <n v="115698032.51000001"/>
  </r>
  <r>
    <x v="5"/>
    <s v="0910 - OPERACOES ESPECIAIS: GESTAO DA PARTICIPACAO EM ORGANISMOS E ENTIDADES NACIONAIS E INTERNACIONAIS"/>
    <x v="369"/>
    <n v="1604675.46"/>
    <n v="1193711.1200000001"/>
    <n v="1634350.01"/>
  </r>
  <r>
    <x v="5"/>
    <s v="5013 - EDUCACAO SUPERIOR - GRADUACAO, POS-GRADUACAO, ENSINO, PESQUISA E EXTENSAO"/>
    <x v="184"/>
    <n v="18945428.18"/>
    <n v="3865707.91"/>
    <n v="2131940.42"/>
  </r>
  <r>
    <x v="5"/>
    <s v="5025 - CULTURA"/>
    <x v="74"/>
    <n v="0"/>
    <n v="0"/>
    <n v="0"/>
  </r>
  <r>
    <x v="5"/>
    <s v="5012 - EDUCACAO PROFISSIONAL E TECNOLOGICA"/>
    <x v="526"/>
    <n v="26370169.140000001"/>
    <n v="1487530.3"/>
    <n v="793288.08"/>
  </r>
  <r>
    <x v="5"/>
    <s v="6012 - DEFESA NACIONAL"/>
    <x v="676"/>
    <n v="3261683.92"/>
    <n v="1212617.19"/>
    <n v="1179097.24"/>
  </r>
  <r>
    <x v="5"/>
    <s v="5020 - DESENVOLVIMENTO CIENTIFICO, TECNOLOGICO E PRODUTIVO EM SAUDE"/>
    <x v="579"/>
    <n v="38623866.600000001"/>
    <n v="38376458.18"/>
    <n v="43399832.020000003"/>
  </r>
  <r>
    <x v="5"/>
    <s v="6014 - PREVENCAO E CONTROLE DO DESMATAMENTO E DOS INCENDIOS NOS BIOMAS"/>
    <x v="698"/>
    <n v="7113570.2199999997"/>
    <n v="10183292.640000001"/>
    <n v="9287144.1199999992"/>
  </r>
  <r>
    <x v="5"/>
    <s v="2217 - DESENVOLVIMENTO REGIONAL, TERRITORIAL E URBANO"/>
    <x v="621"/>
    <n v="89395.36"/>
    <n v="615736.5"/>
    <n v="1072419.1499999999"/>
  </r>
  <r>
    <x v="5"/>
    <s v="6012 - DEFESA NACIONAL"/>
    <x v="886"/>
    <n v="312455.14"/>
    <n v="798640.92"/>
    <n v="745404.91"/>
  </r>
  <r>
    <x v="5"/>
    <s v="2221 - RECURSOS HIDRICOS"/>
    <x v="669"/>
    <n v="5424645.4699999997"/>
    <n v="3687420.44"/>
    <n v="3730564.14"/>
  </r>
  <r>
    <x v="5"/>
    <s v="2202 - DEFESA AGROPECUARIA"/>
    <x v="720"/>
    <n v="1244539.98"/>
    <n v="779708.46"/>
    <n v="818162.98"/>
  </r>
  <r>
    <x v="5"/>
    <s v="6012 - DEFESA NACIONAL"/>
    <x v="758"/>
    <n v="9400324.2300000004"/>
    <n v="8332576.6399999997"/>
    <n v="7744100.6299999999"/>
  </r>
  <r>
    <x v="5"/>
    <s v="5012 - EDUCACAO PROFISSIONAL E TECNOLOGICA"/>
    <x v="657"/>
    <n v="0"/>
    <n v="16382.84"/>
    <n v="0"/>
  </r>
  <r>
    <x v="5"/>
    <s v="4005 - PROTECAO JURIDICA DA UNIAO"/>
    <x v="647"/>
    <n v="9065079.3100000005"/>
    <n v="33017685.07"/>
    <n v="32545586.850000001"/>
  </r>
  <r>
    <x v="5"/>
    <s v="2221 - RECURSOS HIDRICOS"/>
    <x v="149"/>
    <n v="0"/>
    <n v="2538999.04"/>
    <n v="2538999.04"/>
  </r>
  <r>
    <x v="5"/>
    <s v="0151 - PROTECAO DE TERRAS INDIGENAS, GESTAO TERRITORIAL E ETNODESENVOLVIMENTO"/>
    <x v="1008"/>
    <n v="-20358.330000000002"/>
    <n v="0"/>
    <n v="0"/>
  </r>
  <r>
    <x v="5"/>
    <s v="5022 - PROTECAO, PROMOCAO E RECUPERACAO DA SAUDE INDIGENA"/>
    <x v="692"/>
    <n v="208668028.68000001"/>
    <n v="86898510.989999995"/>
    <n v="85264690.730000004"/>
  </r>
  <r>
    <x v="5"/>
    <s v="2203 - PESQUISA E INOVACAO AGROPECUARIA"/>
    <x v="270"/>
    <n v="6274310.3700000001"/>
    <n v="12714911.039999999"/>
    <n v="10853514.369999999"/>
  </r>
  <r>
    <x v="5"/>
    <s v="2208 - TECNOLOGIAS APLICADAS, INOVACAO E DESENVOLVIMENTO SUSTENTAVEL"/>
    <x v="891"/>
    <n v="0"/>
    <n v="0"/>
    <n v="0"/>
  </r>
  <r>
    <x v="5"/>
    <s v="0032 - PROGRAMA DE GESTAO E MANUTENCAO DO PODER EXECUTIVO"/>
    <x v="779"/>
    <n v="1114076.3500000001"/>
    <n v="1099490.32"/>
    <n v="1019448.48"/>
  </r>
  <r>
    <x v="5"/>
    <s v="4002 - SEGURANCA INSTITUCIONAL"/>
    <x v="438"/>
    <n v="9124639.8399999999"/>
    <n v="7286829.2599999998"/>
    <n v="6734088.1100000003"/>
  </r>
  <r>
    <x v="5"/>
    <s v="5016 - SEGURANCA PUBLICA, COMBATE A CORRUPCAO, AO CRIME ORGANIZADO E AO CRIME VIOLENTO"/>
    <x v="703"/>
    <n v="56500065.189999998"/>
    <n v="24614988.129999999"/>
    <n v="21335176.940000001"/>
  </r>
  <r>
    <x v="5"/>
    <s v="0909 - OPERACOES ESPECIAIS: OUTROS ENCARGOS ESPECIAIS"/>
    <x v="600"/>
    <n v="0"/>
    <n v="11171801.029999999"/>
    <n v="9743757.6400000006"/>
  </r>
  <r>
    <x v="5"/>
    <s v="5016 - SEGURANCA PUBLICA, COMBATE A CORRUPCAO, AO CRIME ORGANIZADO E AO CRIME VIOLENTO"/>
    <x v="487"/>
    <n v="4091722.64"/>
    <n v="2443956.04"/>
    <n v="2460724.89"/>
  </r>
  <r>
    <x v="5"/>
    <s v="0901 - OPERACOES ESPECIAIS: CUMPRIMENTO DE SENTENCAS JUDICIAIS"/>
    <x v="629"/>
    <n v="15782316.33"/>
    <n v="14662249.99"/>
    <n v="16386885.92"/>
  </r>
  <r>
    <x v="5"/>
    <s v="1031 - AGROPECUARIA SUSTENTAVEL"/>
    <x v="452"/>
    <n v="678146.24"/>
    <n v="429554.53"/>
    <n v="306939.40000000002"/>
  </r>
  <r>
    <x v="5"/>
    <s v="5016 - SEGURANCA PUBLICA, COMBATE A CORRUPCAO, AO CRIME ORGANIZADO E AO CRIME VIOLENTO"/>
    <x v="785"/>
    <n v="76813439.930000007"/>
    <n v="26191926.460000001"/>
    <n v="23114330.100000001"/>
  </r>
  <r>
    <x v="5"/>
    <s v="6012 - DEFESA NACIONAL"/>
    <x v="768"/>
    <n v="27959926.239999998"/>
    <n v="7342706"/>
    <n v="8685196.9900000002"/>
  </r>
  <r>
    <x v="5"/>
    <s v="5019 - ATENCAO PRIMARIA A SAUDE"/>
    <x v="402"/>
    <n v="688868400"/>
    <n v="688868400"/>
    <n v="688868400"/>
  </r>
  <r>
    <x v="5"/>
    <s v="0032 - PROGRAMA DE GESTAO E MANUTENCAO DO PODER EXECUTIVO"/>
    <x v="722"/>
    <n v="5390499.9900000002"/>
    <n v="2342973.02"/>
    <n v="2249607.8199999998"/>
  </r>
  <r>
    <x v="5"/>
    <s v="5014 - ESTATISTICAS E AVALIACOES EDUCACIONAIS"/>
    <x v="132"/>
    <n v="98201.65"/>
    <n v="350585.9"/>
    <n v="359619.39"/>
  </r>
  <r>
    <x v="5"/>
    <s v="5020 - DESENVOLVIMENTO CIENTIFICO, TECNOLOGICO E PRODUTIVO EM SAUDE"/>
    <x v="1107"/>
    <n v="17256801.550000001"/>
    <n v="1742400"/>
    <n v="0"/>
  </r>
  <r>
    <x v="5"/>
    <s v="0032 - PROGRAMA DE GESTAO E MANUTENCAO DO PODER EXECUTIVO"/>
    <x v="73"/>
    <n v="2389478.2000000002"/>
    <n v="0"/>
    <n v="1470736.95"/>
  </r>
  <r>
    <x v="5"/>
    <s v="1040 - GOVERNANCA FUNDIARIA"/>
    <x v="231"/>
    <n v="68060.850000000006"/>
    <n v="250587.2"/>
    <n v="198925.2"/>
  </r>
  <r>
    <x v="5"/>
    <s v="3006 - TRANSPORTE TERRESTRE E TRANSITO"/>
    <x v="195"/>
    <n v="13930183.880000001"/>
    <n v="0"/>
    <n v="0"/>
  </r>
  <r>
    <x v="5"/>
    <s v="5031 - PROTECAO SOCIAL NO AMBITO DO SISTEMA UNICO DE ASSISTENCIA SOCIAL (SUAS)"/>
    <x v="572"/>
    <n v="400000"/>
    <n v="3292629672.3800001"/>
    <n v="3258510454.5999999"/>
  </r>
  <r>
    <x v="5"/>
    <s v="5020 - DESENVOLVIMENTO CIENTIFICO, TECNOLOGICO E PRODUTIVO EM SAUDE"/>
    <x v="136"/>
    <n v="54432485.82"/>
    <n v="33544128.559999999"/>
    <n v="16360734.93"/>
  </r>
  <r>
    <x v="5"/>
    <s v="5013 - EDUCACAO SUPERIOR - GRADUACAO, POS-GRADUACAO, ENSINO, PESQUISA E EXTENSAO"/>
    <x v="784"/>
    <n v="77310583.659999996"/>
    <n v="100742058.06999999"/>
    <n v="104256787.86"/>
  </r>
  <r>
    <x v="5"/>
    <s v="0032 - PROGRAMA DE GESTAO E MANUTENCAO DO PODER EXECUTIVO"/>
    <x v="770"/>
    <n v="26763459.199999999"/>
    <n v="36163674.020000003"/>
    <n v="36010932.32"/>
  </r>
  <r>
    <x v="5"/>
    <s v="5013 - EDUCACAO SUPERIOR - GRADUACAO, POS-GRADUACAO, ENSINO, PESQUISA E EXTENSAO"/>
    <x v="396"/>
    <n v="45582513.289999999"/>
    <n v="268780020.44"/>
    <n v="270591792.02999997"/>
  </r>
  <r>
    <x v="5"/>
    <s v="6012 - DEFESA NACIONAL"/>
    <x v="551"/>
    <n v="208482.71"/>
    <n v="419399.6"/>
    <n v="416557.55"/>
  </r>
  <r>
    <x v="5"/>
    <s v="5013 - EDUCACAO SUPERIOR - GRADUACAO, POS-GRADUACAO, ENSINO, PESQUISA E EXTENSAO"/>
    <x v="504"/>
    <n v="54404276.649999999"/>
    <n v="31227131.07"/>
    <n v="19580183.739999998"/>
  </r>
  <r>
    <x v="5"/>
    <s v="6012 - DEFESA NACIONAL"/>
    <x v="321"/>
    <n v="1241851.3"/>
    <n v="-1483100.21"/>
    <n v="-1483100.21"/>
  </r>
  <r>
    <x v="5"/>
    <s v="2223 - A HORA DO TURISMO"/>
    <x v="13"/>
    <n v="106317362"/>
    <n v="513.35"/>
    <n v="513.35"/>
  </r>
  <r>
    <x v="5"/>
    <s v="2222 - SANEAMENTO BASICO"/>
    <x v="361"/>
    <n v="55284964.32"/>
    <n v="111622.07"/>
    <n v="111622.07"/>
  </r>
  <r>
    <x v="5"/>
    <s v="5011 - EDUCACAO BASICA DE QUALIDADE"/>
    <x v="752"/>
    <n v="11340488.560000001"/>
    <n v="3334180.11"/>
    <n v="3946034.34"/>
  </r>
  <r>
    <x v="5"/>
    <s v="2202 - DEFESA AGROPECUARIA"/>
    <x v="789"/>
    <n v="20261074.469999999"/>
    <n v="8493155.1400000006"/>
    <n v="10204836.210000001"/>
  </r>
  <r>
    <x v="5"/>
    <s v="0903 - OPERACOES ESPECIAIS: TRANSFERENCIAS CONSTITUCIONAIS E AS DECORRENTES DE LEGISLACAO ESPECIFICA"/>
    <x v="457"/>
    <n v="331950081.02999997"/>
    <n v="292160300.82999998"/>
    <n v="253023994.86000001"/>
  </r>
  <r>
    <x v="5"/>
    <s v="5013 - EDUCACAO SUPERIOR - GRADUACAO, POS-GRADUACAO, ENSINO, PESQUISA E EXTENSAO"/>
    <x v="769"/>
    <n v="329588201.13999999"/>
    <n v="358796376.69"/>
    <n v="363018869.85000002"/>
  </r>
  <r>
    <x v="5"/>
    <s v="6011 - COOPERACAO COM O DESENVOLVIMENTO NACIONAL"/>
    <x v="662"/>
    <n v="1205233.99"/>
    <n v="3048349.05"/>
    <n v="2767523.11"/>
  </r>
  <r>
    <x v="5"/>
    <s v="6012 - DEFESA NACIONAL"/>
    <x v="717"/>
    <n v="214192.09"/>
    <n v="620280.74"/>
    <n v="554378.23999999999"/>
  </r>
  <r>
    <x v="5"/>
    <s v="5011 - EDUCACAO BASICA DE QUALIDADE"/>
    <x v="188"/>
    <n v="503956009.32999998"/>
    <n v="550324662.70000005"/>
    <n v="550208133.14999998"/>
  </r>
  <r>
    <x v="5"/>
    <s v="5013 - EDUCACAO SUPERIOR - GRADUACAO, POS-GRADUACAO, ENSINO, PESQUISA E EXTENSAO"/>
    <x v="58"/>
    <n v="0"/>
    <n v="40352575.850000001"/>
    <n v="40352575.850000001"/>
  </r>
  <r>
    <x v="5"/>
    <s v="6012 - DEFESA NACIONAL"/>
    <x v="741"/>
    <n v="20956020.829999998"/>
    <n v="3259794.63"/>
    <n v="2603405.42"/>
  </r>
  <r>
    <x v="5"/>
    <s v="0032 - PROGRAMA DE GESTAO E MANUTENCAO DO PODER EXECUTIVO"/>
    <x v="677"/>
    <n v="3187338.39"/>
    <n v="3184059.19"/>
    <n v="3003300.14"/>
  </r>
  <r>
    <x v="5"/>
    <s v="6012 - DEFESA NACIONAL"/>
    <x v="589"/>
    <n v="667680.30000000005"/>
    <n v="292371.56"/>
    <n v="364850.71"/>
  </r>
  <r>
    <x v="5"/>
    <s v="0032 - PROGRAMA DE GESTAO E MANUTENCAO DO PODER EXECUTIVO"/>
    <x v="609"/>
    <n v="20016950.469999999"/>
    <n v="38396447.359999999"/>
    <n v="57344955.119999997"/>
  </r>
  <r>
    <x v="5"/>
    <s v="2218 - GESTAO DE RISCOS E DE DESASTRES"/>
    <x v="786"/>
    <n v="90594669.879999995"/>
    <n v="48431192.700000003"/>
    <n v="45479343.600000001"/>
  </r>
  <r>
    <x v="5"/>
    <s v="2216 - POLITICA EXTERNA"/>
    <x v="781"/>
    <n v="-111533.3"/>
    <n v="50184715.689999998"/>
    <n v="48523299.240000002"/>
  </r>
  <r>
    <x v="5"/>
    <s v="5013 - EDUCACAO SUPERIOR - GRADUACAO, POS-GRADUACAO, ENSINO, PESQUISA E EXTENSAO"/>
    <x v="762"/>
    <n v="58411623.210000001"/>
    <n v="44872723.5"/>
    <n v="55250055.219999999"/>
  </r>
  <r>
    <x v="5"/>
    <s v="6012 - DEFESA NACIONAL"/>
    <x v="566"/>
    <n v="-3676792.09"/>
    <n v="1965532.85"/>
    <n v="1951174.64"/>
  </r>
  <r>
    <x v="5"/>
    <s v="1040 - GOVERNANCA FUNDIARIA"/>
    <x v="605"/>
    <n v="12384141.470000001"/>
    <n v="697990.81"/>
    <n v="342844.62"/>
  </r>
  <r>
    <x v="5"/>
    <s v="2216 - POLITICA EXTERNA"/>
    <x v="991"/>
    <n v="-628.16999999999996"/>
    <n v="-560.14"/>
    <n v="-560.14"/>
  </r>
  <r>
    <x v="5"/>
    <s v="6011 - COOPERACAO COM O DESENVOLVIMENTO NACIONAL"/>
    <x v="701"/>
    <n v="1051914.47"/>
    <n v="12079.88"/>
    <n v="11727.3"/>
  </r>
  <r>
    <x v="5"/>
    <s v="0032 - PROGRAMA DE GESTAO E MANUTENCAO DO PODER EXECUTIVO"/>
    <x v="791"/>
    <n v="1527966600.3399999"/>
    <n v="8907336895.1399994"/>
    <n v="5890783456.1000004"/>
  </r>
  <r>
    <x v="5"/>
    <s v="6011 - COOPERACAO COM O DESENVOLVIMENTO NACIONAL"/>
    <x v="1063"/>
    <n v="5264391.71"/>
    <n v="25375394.420000002"/>
    <n v="26004466.219999999"/>
  </r>
  <r>
    <x v="5"/>
    <s v="5012 - EDUCACAO PROFISSIONAL E TECNOLOGICA"/>
    <x v="634"/>
    <n v="5346048.6100000003"/>
    <n v="2403386.14"/>
    <n v="1784279.16"/>
  </r>
  <r>
    <x v="5"/>
    <s v="0909 - OPERACOES ESPECIAIS: OUTROS ENCARGOS ESPECIAIS"/>
    <x v="766"/>
    <n v="3702359.66"/>
    <n v="92700872.670000002"/>
    <n v="91929713.920000002"/>
  </r>
  <r>
    <x v="5"/>
    <s v="6012 - DEFESA NACIONAL"/>
    <x v="637"/>
    <n v="1188964.49"/>
    <n v="518773.3"/>
    <n v="266012"/>
  </r>
  <r>
    <x v="5"/>
    <s v="0032 - PROGRAMA DE GESTAO E MANUTENCAO DO PODER EXECUTIVO"/>
    <x v="40"/>
    <n v="5681414.8399999999"/>
    <n v="4071251.13"/>
    <n v="4166452.47"/>
  </r>
  <r>
    <x v="5"/>
    <s v="6012 - DEFESA NACIONAL"/>
    <x v="751"/>
    <n v="416665.47"/>
    <n v="355732.96"/>
    <n v="355214.68"/>
  </r>
  <r>
    <x v="5"/>
    <s v="6012 - DEFESA NACIONAL"/>
    <x v="739"/>
    <n v="9628260.7699999996"/>
    <n v="5380059.8099999996"/>
    <n v="5151945.63"/>
  </r>
  <r>
    <x v="5"/>
    <s v="5033 - SEGURANCA ALIMENTAR E NUTRICIONAL"/>
    <x v="557"/>
    <n v="427904.3"/>
    <n v="2522942.5499999998"/>
    <n v="406595.58"/>
  </r>
  <r>
    <x v="5"/>
    <s v="6012 - DEFESA NACIONAL"/>
    <x v="761"/>
    <n v="1279743.58"/>
    <n v="2857360.58"/>
    <n v="1921086.4"/>
  </r>
  <r>
    <x v="5"/>
    <s v="2216 - POLITICA EXTERNA"/>
    <x v="583"/>
    <n v="6092303.8399999999"/>
    <n v="5245805.2300000004"/>
    <n v="5175291.2300000004"/>
  </r>
  <r>
    <x v="5"/>
    <s v="4002 - SEGURANCA INSTITUCIONAL"/>
    <x v="483"/>
    <n v="1788910.83"/>
    <n v="1386058.2"/>
    <n v="1508655.48"/>
  </r>
  <r>
    <x v="5"/>
    <s v="2214 - NOVA PREVIDENCIA"/>
    <x v="3"/>
    <n v="0"/>
    <n v="13821757.880000001"/>
    <n v="26756705.870000001"/>
  </r>
  <r>
    <x v="5"/>
    <s v="0032 - PROGRAMA DE GESTAO E MANUTENCAO DO PODER EXECUTIVO"/>
    <x v="644"/>
    <n v="21816300.969999999"/>
    <n v="7510282.75"/>
    <n v="7537114.7800000003"/>
  </r>
  <r>
    <x v="5"/>
    <s v="0032 - PROGRAMA DE GESTAO E MANUTENCAO DO PODER EXECUTIVO"/>
    <x v="653"/>
    <n v="0"/>
    <n v="33583897.359999999"/>
    <n v="37322820.549999997"/>
  </r>
  <r>
    <x v="5"/>
    <s v="0032 - PROGRAMA DE GESTAO E MANUTENCAO DO PODER EXECUTIVO"/>
    <x v="782"/>
    <n v="3348216759.3200002"/>
    <n v="9896407319.6299992"/>
    <n v="7449779623.9099998"/>
  </r>
  <r>
    <x v="5"/>
    <s v="2208 - TECNOLOGIAS APLICADAS, INOVACAO E DESENVOLVIMENTO SUSTENTAVEL"/>
    <x v="675"/>
    <n v="553445.57999999996"/>
    <n v="697537.88"/>
    <n v="755725.47"/>
  </r>
  <r>
    <x v="5"/>
    <s v="2080 - EDUCACAO DE QUALIDADE PARA TODOS"/>
    <x v="365"/>
    <n v="0"/>
    <n v="0"/>
    <n v="0"/>
  </r>
  <r>
    <x v="5"/>
    <s v="0032 - PROGRAMA DE GESTAO E MANUTENCAO DO PODER EXECUTIVO"/>
    <x v="709"/>
    <n v="9785551.8499999996"/>
    <n v="2558042.39"/>
    <n v="2754259.5"/>
  </r>
  <r>
    <x v="5"/>
    <s v="0032 - PROGRAMA DE GESTAO E MANUTENCAO DO PODER EXECUTIVO"/>
    <x v="649"/>
    <n v="537265.43999999994"/>
    <n v="1946264.56"/>
    <n v="2799550.98"/>
  </r>
  <r>
    <x v="5"/>
    <s v="5021 - GESTAO E ORGANIZACAO DO SUS"/>
    <x v="724"/>
    <n v="275330"/>
    <n v="90096.43"/>
    <n v="98783.3"/>
  </r>
  <r>
    <x v="5"/>
    <s v="5012 - EDUCACAO PROFISSIONAL E TECNOLOGICA"/>
    <x v="759"/>
    <n v="5004703.5599999996"/>
    <n v="2939401.4"/>
    <n v="2875464.76"/>
  </r>
  <r>
    <x v="5"/>
    <s v="0032 - PROGRAMA DE GESTAO E MANUTENCAO DO PODER EXECUTIVO"/>
    <x v="628"/>
    <n v="329529874.61000001"/>
    <n v="1269128156.51"/>
    <n v="1260144550.71"/>
  </r>
  <r>
    <x v="5"/>
    <s v="5012 - EDUCACAO PROFISSIONAL E TECNOLOGICA"/>
    <x v="365"/>
    <n v="207607117.84"/>
    <n v="151021977.43000001"/>
    <n v="155952983.06"/>
  </r>
  <r>
    <x v="5"/>
    <s v="2217 - DESENVOLVIMENTO REGIONAL, TERRITORIAL E URBANO"/>
    <x v="213"/>
    <n v="550000"/>
    <n v="0"/>
    <n v="9215.1200000000008"/>
  </r>
  <r>
    <x v="5"/>
    <s v="5012 - EDUCACAO PROFISSIONAL E TECNOLOGICA"/>
    <x v="682"/>
    <n v="53174264.240000002"/>
    <n v="7255884.7599999998"/>
    <n v="6345252.4900000002"/>
  </r>
  <r>
    <x v="5"/>
    <s v="1031 - AGROPECUARIA SUSTENTAVEL"/>
    <x v="756"/>
    <n v="192875.88"/>
    <n v="152507.81"/>
    <n v="149141.04"/>
  </r>
  <r>
    <x v="5"/>
    <s v="1031 - AGROPECUARIA SUSTENTAVEL"/>
    <x v="608"/>
    <n v="1147493.3"/>
    <n v="231976.63"/>
    <n v="173859.18"/>
  </r>
  <r>
    <x v="5"/>
    <s v="6012 - DEFESA NACIONAL"/>
    <x v="788"/>
    <n v="89572099.069999993"/>
    <n v="48763101.719999999"/>
    <n v="41623983.079999998"/>
  </r>
  <r>
    <x v="5"/>
    <s v="5013 - EDUCACAO SUPERIOR - GRADUACAO, POS-GRADUACAO, ENSINO, PESQUISA E EXTENSAO"/>
    <x v="798"/>
    <n v="134739540.09999999"/>
    <n v="30389809.579999998"/>
    <n v="31651185.18"/>
  </r>
  <r>
    <x v="5"/>
    <s v="0617 - PROTECAO E PROMOCAO DOS DIREITOS DOS POVOS INDIGENAS"/>
    <x v="776"/>
    <n v="9864452.9800000004"/>
    <n v="1694009.08"/>
    <n v="1599373.39"/>
  </r>
  <r>
    <x v="5"/>
    <s v="2080 - EDUCACAO DE QUALIDADE PARA TODOS"/>
    <x v="436"/>
    <n v="0"/>
    <n v="0"/>
    <n v="0"/>
  </r>
  <r>
    <x v="5"/>
    <s v="6012 - DEFESA NACIONAL"/>
    <x v="25"/>
    <n v="22610398.079999998"/>
    <n v="8873052.3800000008"/>
    <n v="7628258.4199999999"/>
  </r>
  <r>
    <x v="5"/>
    <s v="0032 - PROGRAMA DE GESTAO E MANUTENCAO DO PODER EXECUTIVO"/>
    <x v="796"/>
    <n v="461351795.80000001"/>
    <n v="794989416.80999994"/>
    <n v="759266088.37"/>
  </r>
  <r>
    <x v="5"/>
    <s v="0032 - PROGRAMA DE GESTAO E MANUTENCAO DO PODER EXECUTIVO"/>
    <x v="52"/>
    <n v="917595243.95000005"/>
    <n v="698944583.01999998"/>
    <n v="701118249.02999997"/>
  </r>
  <r>
    <x v="5"/>
    <s v="6012 - DEFESA NACIONAL"/>
    <x v="787"/>
    <n v="162926734.55000001"/>
    <n v="56572807.329999998"/>
    <n v="77167312.560000002"/>
  </r>
  <r>
    <x v="5"/>
    <s v="5012 - EDUCACAO PROFISSIONAL E TECNOLOGICA"/>
    <x v="454"/>
    <n v="61924946.659999996"/>
    <n v="52588753.079999998"/>
    <n v="54984283.170000002"/>
  </r>
  <r>
    <x v="5"/>
    <s v="0032 - PROGRAMA DE GESTAO E MANUTENCAO DO PODER EXECUTIVO"/>
    <x v="114"/>
    <n v="464360490.81"/>
    <n v="519180051.01999998"/>
    <n v="551463448.86000001"/>
  </r>
  <r>
    <x v="6"/>
    <s v="2058 - DEFESA NACIONAL"/>
    <x v="130"/>
    <n v="0"/>
    <n v="0"/>
    <n v="0"/>
  </r>
  <r>
    <x v="6"/>
    <s v="5018 - ATENCAO ESPECIALIZADA A SAUDE"/>
    <x v="1053"/>
    <n v="2914070529.1500001"/>
    <n v="300308861.14999998"/>
    <n v="300308861.14999998"/>
  </r>
  <r>
    <x v="6"/>
    <s v="0909 - OPERACOES ESPECIAIS: OUTROS ENCARGOS ESPECIAIS"/>
    <x v="36"/>
    <n v="0"/>
    <n v="0"/>
    <n v="0"/>
  </r>
  <r>
    <x v="6"/>
    <s v="2221 - RECURSOS HIDRICOS"/>
    <x v="414"/>
    <n v="0"/>
    <n v="0"/>
    <n v="0"/>
  </r>
  <r>
    <x v="6"/>
    <s v="2015 - FORTALECIMENTO DO SISTEMA UNICO DE SAUDE (SUS)"/>
    <x v="866"/>
    <n v="0"/>
    <n v="0"/>
    <n v="0"/>
  </r>
  <r>
    <x v="6"/>
    <s v="1031 - AGROPECUARIA SUSTENTAVEL"/>
    <x v="981"/>
    <n v="0"/>
    <n v="0"/>
    <n v="0"/>
  </r>
  <r>
    <x v="6"/>
    <s v="2082 - POLITICA EXTERNA"/>
    <x v="781"/>
    <n v="0"/>
    <n v="0"/>
    <n v="0"/>
  </r>
  <r>
    <x v="6"/>
    <s v="2015 - FORTALECIMENTO DO SISTEMA UNICO DE SAUDE (SUS)"/>
    <x v="441"/>
    <n v="0"/>
    <n v="0"/>
    <n v="0"/>
  </r>
  <r>
    <x v="6"/>
    <s v="2080 - EDUCACAO DE QUALIDADE PARA TODOS"/>
    <x v="454"/>
    <n v="0"/>
    <n v="0"/>
    <n v="0"/>
  </r>
  <r>
    <x v="6"/>
    <s v="0909 - OPERACOES ESPECIAIS: OUTROS ENCARGOS ESPECIAIS"/>
    <x v="490"/>
    <n v="-2605256"/>
    <n v="10415907.189999999"/>
    <n v="10415907.189999999"/>
  </r>
  <r>
    <x v="6"/>
    <s v="0903 - OPERACOES ESPECIAIS: TRANSFERENCIAS CONSTITUCIONAIS E AS DECORRENTES DE LEGISLACAO ESPECIFICA"/>
    <x v="654"/>
    <n v="89428055"/>
    <n v="89224006.329999998"/>
    <n v="128147794.17"/>
  </r>
  <r>
    <x v="6"/>
    <s v="2222 - SANEAMENTO BASICO"/>
    <x v="1081"/>
    <n v="306418.74"/>
    <n v="3560404.26"/>
    <n v="3560404.26"/>
  </r>
  <r>
    <x v="6"/>
    <s v="2209 - BRASIL, NOSSO PROPOSITO"/>
    <x v="954"/>
    <n v="0"/>
    <n v="0"/>
    <n v="0"/>
  </r>
  <r>
    <x v="6"/>
    <s v="0913 - OPERACOES ESPECIAIS - INTEGRALIZACAO DE COTAS EM ORGANISMOS FINANCEIROS INTERNACIONAIS"/>
    <x v="1018"/>
    <n v="0"/>
    <n v="0"/>
    <n v="0"/>
  </r>
  <r>
    <x v="6"/>
    <s v="3006 - TRANSPORTE TERRESTRE E TRANSITO"/>
    <x v="417"/>
    <n v="2770000"/>
    <n v="202518.23"/>
    <n v="405036.46"/>
  </r>
  <r>
    <x v="6"/>
    <s v="3006 - TRANSPORTE TERRESTRE E TRANSITO"/>
    <x v="355"/>
    <n v="0"/>
    <n v="73204.13"/>
    <n v="73204.13"/>
  </r>
  <r>
    <x v="6"/>
    <s v="2222 - SANEAMENTO BASICO"/>
    <x v="361"/>
    <n v="-3684627.15"/>
    <n v="402129.08"/>
    <n v="402129.08"/>
  </r>
  <r>
    <x v="6"/>
    <s v="2220 - MORADIA DIGNA"/>
    <x v="1110"/>
    <n v="0"/>
    <n v="515000000"/>
    <n v="515000000"/>
  </r>
  <r>
    <x v="6"/>
    <s v="2208 - TECNOLOGIAS APLICADAS, INOVACAO E DESENVOLVIMENTO SUSTENTAVEL"/>
    <x v="559"/>
    <n v="4420000"/>
    <n v="0"/>
    <n v="0"/>
  </r>
  <r>
    <x v="6"/>
    <s v="2205 - CONECTA BRASIL"/>
    <x v="80"/>
    <n v="0"/>
    <n v="13279199.16"/>
    <n v="15334407.4"/>
  </r>
  <r>
    <x v="6"/>
    <s v="2027 - CULTURA: DIMENSAO ESSENCIAL DO DESENVOLVIMENTO"/>
    <x v="753"/>
    <n v="0"/>
    <n v="0"/>
    <n v="0"/>
  </r>
  <r>
    <x v="6"/>
    <s v="6011 - COOPERACAO COM O DESENVOLVIMENTO NACIONAL"/>
    <x v="373"/>
    <n v="0"/>
    <n v="0"/>
    <n v="0"/>
  </r>
  <r>
    <x v="6"/>
    <s v="0151 - PROTECAO DE TERRAS INDIGENAS, GESTAO TERRITORIAL E ETNODESENVOLVIMENTO"/>
    <x v="1016"/>
    <n v="0"/>
    <n v="63291.14"/>
    <n v="63978.3"/>
  </r>
  <r>
    <x v="6"/>
    <s v="0032 - PROGRAMA DE GESTAO E MANUTENCAO DO PODER EXECUTIVO"/>
    <x v="91"/>
    <n v="10317677.890000001"/>
    <n v="10975435.73"/>
    <n v="10933229.08"/>
  </r>
  <r>
    <x v="6"/>
    <s v="0909 - OPERACOES ESPECIAIS: OUTROS ENCARGOS ESPECIAIS"/>
    <x v="1140"/>
    <n v="19000000"/>
    <n v="19000000"/>
    <n v="19000000"/>
  </r>
  <r>
    <x v="6"/>
    <s v="0909 - OPERACOES ESPECIAIS: OUTROS ENCARGOS ESPECIAIS"/>
    <x v="765"/>
    <n v="1301930616.53"/>
    <n v="629730616.52999997"/>
    <n v="629730616.52999997"/>
  </r>
  <r>
    <x v="6"/>
    <s v="2210 - EMPREGABILIDADE"/>
    <x v="1061"/>
    <n v="1547748"/>
    <n v="4587.8900000000003"/>
    <n v="4587.8900000000003"/>
  </r>
  <r>
    <x v="6"/>
    <s v="5021 - GESTAO E ORGANIZACAO DO SUS"/>
    <x v="26"/>
    <n v="1969"/>
    <n v="0"/>
    <n v="0"/>
  </r>
  <r>
    <x v="6"/>
    <s v="5011 - EDUCACAO BASICA DE QUALIDADE"/>
    <x v="865"/>
    <n v="4912345.12"/>
    <n v="228912"/>
    <n v="228912"/>
  </r>
  <r>
    <x v="6"/>
    <s v="5021 - GESTAO E ORGANIZACAO DO SUS"/>
    <x v="482"/>
    <n v="2168000"/>
    <n v="2167853.13"/>
    <n v="2168074.85"/>
  </r>
  <r>
    <x v="6"/>
    <s v="5011 - EDUCACAO BASICA DE QUALIDADE"/>
    <x v="386"/>
    <n v="32537733.530000001"/>
    <n v="7350306.9400000004"/>
    <n v="7350306.9400000004"/>
  </r>
  <r>
    <x v="6"/>
    <s v="2058 - DEFESA NACIONAL"/>
    <x v="589"/>
    <n v="0"/>
    <n v="0"/>
    <n v="0"/>
  </r>
  <r>
    <x v="6"/>
    <s v="5013 - EDUCACAO SUPERIOR - GRADUACAO, POS-GRADUACAO, ENSINO, PESQUISA E EXTENSAO"/>
    <x v="163"/>
    <n v="0"/>
    <n v="12990225.16"/>
    <n v="12990225.16"/>
  </r>
  <r>
    <x v="6"/>
    <s v="5011 - EDUCACAO BASICA DE QUALIDADE"/>
    <x v="929"/>
    <n v="144667405.47"/>
    <n v="90305620.379999995"/>
    <n v="90306319.170000002"/>
  </r>
  <r>
    <x v="6"/>
    <s v="2209 - BRASIL, NOSSO PROPOSITO"/>
    <x v="137"/>
    <n v="0"/>
    <n v="44047.71"/>
    <n v="80467.009999999995"/>
  </r>
  <r>
    <x v="6"/>
    <s v="2084 - RECURSOS HIDRICOS"/>
    <x v="22"/>
    <n v="0"/>
    <n v="0"/>
    <n v="0"/>
  </r>
  <r>
    <x v="6"/>
    <s v="5028 - INCLUSAO SOCIAL POR MEIO DO BOLSA FAMILIA E DA ARTICULACAO DE POLITICAS PUBLICAS"/>
    <x v="228"/>
    <n v="0"/>
    <n v="0"/>
    <n v="0"/>
  </r>
  <r>
    <x v="6"/>
    <s v="5016 - SEGURANCA PUBLICA, COMBATE A CORRUPCAO, AO CRIME ORGANIZADO E AO CRIME VIOLENTO"/>
    <x v="636"/>
    <n v="203090.29"/>
    <n v="148390.84"/>
    <n v="148390.84"/>
  </r>
  <r>
    <x v="6"/>
    <s v="2205 - CONECTA BRASIL"/>
    <x v="250"/>
    <n v="409151.77"/>
    <n v="640418.21"/>
    <n v="709797.89"/>
  </r>
  <r>
    <x v="6"/>
    <s v="3003 - PETROLEO, GAS, DERIVADOS E BIOCOMBUSTIVEIS"/>
    <x v="874"/>
    <n v="30671.75"/>
    <n v="26822.48"/>
    <n v="27226.06"/>
  </r>
  <r>
    <x v="6"/>
    <s v="5011 - EDUCACAO BASICA DE QUALIDADE"/>
    <x v="407"/>
    <n v="702055868.45000005"/>
    <n v="2894611.4"/>
    <n v="2989580.79"/>
  </r>
  <r>
    <x v="6"/>
    <s v="5018 - ATENCAO ESPECIALIZADA A SAUDE"/>
    <x v="1043"/>
    <n v="250000"/>
    <n v="84700.46"/>
    <n v="90005.759999999995"/>
  </r>
  <r>
    <x v="6"/>
    <s v="5021 - GESTAO E ORGANIZACAO DO SUS"/>
    <x v="94"/>
    <n v="0"/>
    <n v="0"/>
    <n v="0"/>
  </r>
  <r>
    <x v="6"/>
    <s v="5021 - GESTAO E ORGANIZACAO DO SUS"/>
    <x v="165"/>
    <n v="5187589.88"/>
    <n v="5759518.6100000003"/>
    <n v="3633790.6"/>
  </r>
  <r>
    <x v="6"/>
    <s v="6012 - DEFESA NACIONAL"/>
    <x v="321"/>
    <n v="4303309.6399999997"/>
    <n v="-302290.96000000002"/>
    <n v="-357266.37"/>
  </r>
  <r>
    <x v="6"/>
    <s v="2215 - POLITICA ECONOMICA E EQUILIBRIO FISCAL"/>
    <x v="96"/>
    <n v="-798.79"/>
    <n v="3367.06"/>
    <n v="3367.06"/>
  </r>
  <r>
    <x v="6"/>
    <s v="1041 - CONSERVACAO E USO SUSTENTAVEL DA BIODIVERSIDADE E DOS RECURSOS NATURAIS"/>
    <x v="37"/>
    <n v="0"/>
    <n v="0"/>
    <n v="0"/>
  </r>
  <r>
    <x v="6"/>
    <s v="0910 - OPERACOES ESPECIAIS: GESTAO DA PARTICIPACAO EM ORGANISMOS E ENTIDADES NACIONAIS E INTERNACIONAIS"/>
    <x v="1038"/>
    <n v="-55262.239999999998"/>
    <n v="0"/>
    <n v="0"/>
  </r>
  <r>
    <x v="6"/>
    <s v="6012 - DEFESA NACIONAL"/>
    <x v="1024"/>
    <n v="-2134929.7400000002"/>
    <n v="0"/>
    <n v="0"/>
  </r>
  <r>
    <x v="6"/>
    <s v="2201 - BRASIL MODERNIZA"/>
    <x v="520"/>
    <n v="164200"/>
    <n v="278800.55"/>
    <n v="280952.08"/>
  </r>
  <r>
    <x v="6"/>
    <s v="3006 - TRANSPORTE TERRESTRE E TRANSITO"/>
    <x v="860"/>
    <n v="0"/>
    <n v="700991.1"/>
    <n v="700991.1"/>
  </r>
  <r>
    <x v="6"/>
    <s v="0902 - OPERACOES ESPECIAIS: FINANCIAMENTOS COM RETORNO"/>
    <x v="44"/>
    <n v="2027296628.99"/>
    <n v="2027296628.99"/>
    <n v="2027296628.99"/>
  </r>
  <r>
    <x v="6"/>
    <s v="2221 - RECURSOS HIDRICOS"/>
    <x v="876"/>
    <n v="-20000"/>
    <n v="0"/>
    <n v="0"/>
  </r>
  <r>
    <x v="6"/>
    <s v="5028 - INCLUSAO SOCIAL POR MEIO DO BOLSA FAMILIA E DA ARTICULACAO DE POLITICAS PUBLICAS"/>
    <x v="227"/>
    <n v="0"/>
    <n v="0"/>
    <n v="0"/>
  </r>
  <r>
    <x v="6"/>
    <s v="5023 - VIGILANCIA EM SAUDE"/>
    <x v="145"/>
    <n v="165300960"/>
    <n v="165071280"/>
    <n v="165071280"/>
  </r>
  <r>
    <x v="6"/>
    <s v="2218 - GESTAO DE RISCOS E DE DESASTRES"/>
    <x v="1123"/>
    <n v="0"/>
    <n v="0"/>
    <n v="0"/>
  </r>
  <r>
    <x v="6"/>
    <s v="0903 - OPERACOES ESPECIAIS: TRANSFERENCIAS CONSTITUCIONAIS E AS DECORRENTES DE LEGISLACAO ESPECIFICA"/>
    <x v="587"/>
    <n v="0"/>
    <n v="305450596.56999999"/>
    <n v="305450596.56999999"/>
  </r>
  <r>
    <x v="6"/>
    <s v="0034 - PROGRAMA DE GESTAO E MANUTENCAO DO PODER LEGISLATIVO"/>
    <x v="834"/>
    <n v="0"/>
    <n v="0"/>
    <n v="4505.5"/>
  </r>
  <r>
    <x v="6"/>
    <s v="3006 - TRANSPORTE TERRESTRE E TRANSITO"/>
    <x v="392"/>
    <n v="0"/>
    <n v="838747.91"/>
    <n v="758648.78"/>
  </r>
  <r>
    <x v="6"/>
    <s v="5019 - ATENCAO PRIMARIA A SAUDE"/>
    <x v="668"/>
    <n v="0"/>
    <n v="171875540.09999999"/>
    <n v="171875540.09999999"/>
  </r>
  <r>
    <x v="6"/>
    <s v="2214 - NOVA PREVIDENCIA"/>
    <x v="371"/>
    <n v="0"/>
    <n v="712977272.34000003"/>
    <n v="440580635.87"/>
  </r>
  <r>
    <x v="6"/>
    <s v="3006 - TRANSPORTE TERRESTRE E TRANSITO"/>
    <x v="497"/>
    <n v="0"/>
    <n v="2100151.4"/>
    <n v="2117709.1"/>
  </r>
  <r>
    <x v="6"/>
    <s v="2035 - ESPORTE, CIDADANIA E DESENVOLVIMENTO"/>
    <x v="533"/>
    <n v="0"/>
    <n v="0"/>
    <n v="0"/>
  </r>
  <r>
    <x v="6"/>
    <s v="2080 - EDUCACAO DE QUALIDADE PARA TODOS"/>
    <x v="396"/>
    <n v="0"/>
    <n v="0"/>
    <n v="0"/>
  </r>
  <r>
    <x v="6"/>
    <s v="3006 - TRANSPORTE TERRESTRE E TRANSITO"/>
    <x v="166"/>
    <n v="0"/>
    <n v="0"/>
    <n v="0"/>
  </r>
  <r>
    <x v="6"/>
    <s v="2109 - PROGRAMA DE GESTAO E MANUTENCAO DO MINISTERIO DA EDUCACAO"/>
    <x v="40"/>
    <n v="0"/>
    <n v="0"/>
    <n v="0"/>
  </r>
  <r>
    <x v="6"/>
    <s v="2012 - FORTALECIMENTO E DINAMIZACAO DA AGRICULTURA FAMILIAR"/>
    <x v="569"/>
    <n v="0"/>
    <n v="0"/>
    <n v="0"/>
  </r>
  <r>
    <x v="6"/>
    <s v="5034 - PROTECAO A VIDA, FORTALECIMENTO DA FAMILIA, PROMOCAO E DEFESA DOS DIREITOS HUMANOS PARA TODOS"/>
    <x v="478"/>
    <n v="0"/>
    <n v="0"/>
    <n v="0"/>
  </r>
  <r>
    <x v="6"/>
    <s v="2222 - SANEAMENTO BASICO"/>
    <x v="1057"/>
    <n v="0"/>
    <n v="0"/>
    <n v="0"/>
  </r>
  <r>
    <x v="6"/>
    <s v="0905 - OPERACOES ESPECIAIS: SERVICO DA DIVIDA INTERNA (JUROS EAMORTIZACOES)"/>
    <x v="347"/>
    <n v="-1494010.07"/>
    <n v="4119763.98"/>
    <n v="5611314.25"/>
  </r>
  <r>
    <x v="6"/>
    <s v="5021 - GESTAO E ORGANIZACAO DO SUS"/>
    <x v="20"/>
    <n v="0"/>
    <n v="1201666.6599999999"/>
    <n v="1201666.6599999999"/>
  </r>
  <r>
    <x v="6"/>
    <s v="5025 - CULTURA"/>
    <x v="303"/>
    <n v="39382.28"/>
    <n v="149702.46"/>
    <n v="150180.21"/>
  </r>
  <r>
    <x v="6"/>
    <s v="0903 - OPERACOES ESPECIAIS: TRANSFERENCIAS CONSTITUCIONAIS E AS DECORRENTES DE LEGISLACAO ESPECIFICA"/>
    <x v="82"/>
    <n v="0"/>
    <n v="332255597.31999999"/>
    <n v="332255597.31999999"/>
  </r>
  <r>
    <x v="6"/>
    <s v="2220 - MORADIA DIGNA"/>
    <x v="924"/>
    <n v="0"/>
    <n v="0"/>
    <n v="0"/>
  </r>
  <r>
    <x v="6"/>
    <s v="3006 - TRANSPORTE TERRESTRE E TRANSITO"/>
    <x v="832"/>
    <n v="0"/>
    <n v="0"/>
    <n v="0"/>
  </r>
  <r>
    <x v="6"/>
    <s v="3006 - TRANSPORTE TERRESTRE E TRANSITO"/>
    <x v="133"/>
    <n v="0"/>
    <n v="0"/>
    <n v="0"/>
  </r>
  <r>
    <x v="6"/>
    <s v="3006 - TRANSPORTE TERRESTRE E TRANSITO"/>
    <x v="651"/>
    <n v="-654755.59"/>
    <n v="396229.34"/>
    <n v="202934.03"/>
  </r>
  <r>
    <x v="6"/>
    <s v="5018 - ATENCAO ESPECIALIZADA A SAUDE"/>
    <x v="318"/>
    <n v="3951758"/>
    <n v="0"/>
    <n v="0"/>
  </r>
  <r>
    <x v="6"/>
    <s v="2221 - RECURSOS HIDRICOS"/>
    <x v="235"/>
    <n v="33253.26"/>
    <n v="19157.16"/>
    <n v="9111.44"/>
  </r>
  <r>
    <x v="6"/>
    <s v="5033 - SEGURANCA ALIMENTAR E NUTRICIONAL"/>
    <x v="884"/>
    <n v="580000"/>
    <n v="0"/>
    <n v="0"/>
  </r>
  <r>
    <x v="6"/>
    <s v="2220 - MORADIA DIGNA"/>
    <x v="1103"/>
    <n v="0"/>
    <n v="0"/>
    <n v="0"/>
  </r>
  <r>
    <x v="6"/>
    <s v="5031 - PROTECAO SOCIAL NO AMBITO DO SISTEMA UNICO DE ASSISTENCIA SOCIAL (SUAS)"/>
    <x v="307"/>
    <n v="50408396.399999999"/>
    <n v="50733691.520000003"/>
    <n v="50946982.509999998"/>
  </r>
  <r>
    <x v="6"/>
    <s v="6014 - PREVENCAO E CONTROLE DO DESMATAMENTO E DOS INCENDIOS NOS BIOMAS"/>
    <x v="620"/>
    <n v="271287.06"/>
    <n v="110502.81"/>
    <n v="110502.81"/>
  </r>
  <r>
    <x v="6"/>
    <s v="6015 - EDUCACAO INFANTIL"/>
    <x v="923"/>
    <n v="25367246.23"/>
    <n v="12673232.52"/>
    <n v="12673232.52"/>
  </r>
  <r>
    <x v="6"/>
    <s v="5019 - ATENCAO PRIMARIA A SAUDE"/>
    <x v="402"/>
    <n v="688987056"/>
    <n v="688987056"/>
    <n v="688987056"/>
  </r>
  <r>
    <x v="6"/>
    <s v="5013 - EDUCACAO SUPERIOR - GRADUACAO, POS-GRADUACAO, ENSINO, PESQUISA E EXTENSAO"/>
    <x v="404"/>
    <n v="0"/>
    <n v="0"/>
    <n v="0"/>
  </r>
  <r>
    <x v="6"/>
    <s v="2220 - MORADIA DIGNA"/>
    <x v="319"/>
    <n v="0"/>
    <n v="0"/>
    <n v="0"/>
  </r>
  <r>
    <x v="6"/>
    <s v="3006 - TRANSPORTE TERRESTRE E TRANSITO"/>
    <x v="864"/>
    <n v="0"/>
    <n v="0"/>
    <n v="0"/>
  </r>
  <r>
    <x v="6"/>
    <s v="2208 - TECNOLOGIAS APLICADAS, INOVACAO E DESENVOLVIMENTO SUSTENTAVEL"/>
    <x v="373"/>
    <n v="0"/>
    <n v="0"/>
    <n v="0"/>
  </r>
  <r>
    <x v="6"/>
    <s v="3002 - GEOLOGIA, MINERACAO E TRANSFORMACAO MINERAL"/>
    <x v="877"/>
    <n v="1386650"/>
    <n v="209083.77"/>
    <n v="242774.18"/>
  </r>
  <r>
    <x v="6"/>
    <s v="2213 - MODERNIZACAO TRABALHISTA E TRABALHO DIGNO"/>
    <x v="1141"/>
    <n v="26565"/>
    <n v="1955.97"/>
    <n v="1955.97"/>
  </r>
  <r>
    <x v="6"/>
    <s v="2223 - A HORA DO TURISMO"/>
    <x v="419"/>
    <n v="100000"/>
    <n v="14480.24"/>
    <n v="6130.59"/>
  </r>
  <r>
    <x v="6"/>
    <s v="0909 - OPERACOES ESPECIAIS: OUTROS ENCARGOS ESPECIAIS"/>
    <x v="181"/>
    <n v="0"/>
    <n v="200000000"/>
    <n v="200000000"/>
  </r>
  <r>
    <x v="6"/>
    <s v="2058 - DEFESA NACIONAL"/>
    <x v="134"/>
    <n v="0"/>
    <n v="0"/>
    <n v="0"/>
  </r>
  <r>
    <x v="6"/>
    <s v="0032 - PROGRAMA DE GESTAO E MANUTENCAO DO PODER EXECUTIVO"/>
    <x v="577"/>
    <n v="53.3"/>
    <n v="18001.64"/>
    <n v="23174.9"/>
  </r>
  <r>
    <x v="6"/>
    <s v="3006 - TRANSPORTE TERRESTRE E TRANSITO"/>
    <x v="892"/>
    <n v="0"/>
    <n v="0"/>
    <n v="0"/>
  </r>
  <r>
    <x v="6"/>
    <s v="5011 - EDUCACAO BASICA DE QUALIDADE"/>
    <x v="1049"/>
    <n v="96751670"/>
    <n v="36739435"/>
    <n v="36739435"/>
  </r>
  <r>
    <x v="6"/>
    <s v="5026 - ESPORTE"/>
    <x v="633"/>
    <n v="1112217.33"/>
    <n v="966557"/>
    <n v="966557"/>
  </r>
  <r>
    <x v="6"/>
    <s v="2021 - CIENCIA, TECNOLOGIA E INOVACAO"/>
    <x v="11"/>
    <n v="0"/>
    <n v="0"/>
    <n v="0"/>
  </r>
  <r>
    <x v="6"/>
    <s v="2205 - CONECTA BRASIL"/>
    <x v="148"/>
    <n v="23955.18"/>
    <n v="10136806.41"/>
    <n v="10348346.07"/>
  </r>
  <r>
    <x v="6"/>
    <s v="1041 - CONSERVACAO E USO SUSTENTAVEL DA BIODIVERSIDADE E DOS RECURSOS NATURAIS"/>
    <x v="1090"/>
    <n v="0"/>
    <n v="2320"/>
    <n v="2320"/>
  </r>
  <r>
    <x v="6"/>
    <s v="2058 - DEFESA NACIONAL"/>
    <x v="1142"/>
    <n v="0"/>
    <n v="0"/>
    <n v="0"/>
  </r>
  <r>
    <x v="6"/>
    <s v="3004 - AVIACAO CIVIL"/>
    <x v="31"/>
    <n v="-3000"/>
    <n v="144936.07"/>
    <n v="16824"/>
  </r>
  <r>
    <x v="6"/>
    <s v="5018 - ATENCAO ESPECIALIZADA A SAUDE"/>
    <x v="292"/>
    <n v="11831876.43"/>
    <n v="3768590.27"/>
    <n v="6101759.96"/>
  </r>
  <r>
    <x v="6"/>
    <s v="2080 - EDUCACAO DE QUALIDADE PARA TODOS"/>
    <x v="401"/>
    <n v="0"/>
    <n v="0"/>
    <n v="0"/>
  </r>
  <r>
    <x v="6"/>
    <s v="2015 - FORTALECIMENTO DO SISTEMA UNICO DE SAUDE (SUS)"/>
    <x v="970"/>
    <n v="0"/>
    <n v="0"/>
    <n v="0"/>
  </r>
  <r>
    <x v="6"/>
    <s v="3004 - AVIACAO CIVIL"/>
    <x v="996"/>
    <n v="0"/>
    <n v="53518.75"/>
    <n v="53518.75"/>
  </r>
  <r>
    <x v="6"/>
    <s v="0032 - PROGRAMA DE GESTAO E MANUTENCAO DO PODER EXECUTIVO"/>
    <x v="1143"/>
    <n v="0"/>
    <n v="0"/>
    <n v="0"/>
  </r>
  <r>
    <x v="6"/>
    <s v="2209 - BRASIL, NOSSO PROPOSITO"/>
    <x v="705"/>
    <n v="-23118991.989999998"/>
    <n v="121385882.20999999"/>
    <n v="121385882.20999999"/>
  </r>
  <r>
    <x v="6"/>
    <s v="0910 - OPERACOES ESPECIAIS: GESTAO DA PARTICIPACAO EM ORGANISMOS E ENTIDADES NACIONAIS E INTERNACIONAIS"/>
    <x v="937"/>
    <n v="-126803.13"/>
    <n v="0"/>
    <n v="0"/>
  </r>
  <r>
    <x v="6"/>
    <s v="2205 - CONECTA BRASIL"/>
    <x v="47"/>
    <n v="55918.06"/>
    <n v="582682.99"/>
    <n v="580789.65"/>
  </r>
  <r>
    <x v="6"/>
    <s v="0032 - PROGRAMA DE GESTAO E MANUTENCAO DO PODER EXECUTIVO"/>
    <x v="363"/>
    <n v="0"/>
    <n v="0"/>
    <n v="1473408"/>
  </r>
  <r>
    <x v="6"/>
    <s v="2021 - CIENCIA, TECNOLOGIA E INOVACAO"/>
    <x v="183"/>
    <n v="0"/>
    <n v="0"/>
    <n v="0"/>
  </r>
  <r>
    <x v="6"/>
    <s v="2201 - BRASIL MODERNIZA"/>
    <x v="14"/>
    <n v="0"/>
    <n v="0"/>
    <n v="0"/>
  </r>
  <r>
    <x v="6"/>
    <s v="3006 - TRANSPORTE TERRESTRE E TRANSITO"/>
    <x v="522"/>
    <n v="0"/>
    <n v="71807.27"/>
    <n v="71807.27"/>
  </r>
  <r>
    <x v="6"/>
    <s v="0032 - PROGRAMA DE GESTAO E MANUTENCAO DO PODER EXECUTIVO"/>
    <x v="541"/>
    <n v="17452.07"/>
    <n v="0"/>
    <n v="0"/>
  </r>
  <r>
    <x v="6"/>
    <s v="3006 - TRANSPORTE TERRESTRE E TRANSITO"/>
    <x v="485"/>
    <n v="585000"/>
    <n v="0"/>
    <n v="0"/>
  </r>
  <r>
    <x v="6"/>
    <s v="2211 - INSERCAO ECONOMICA INTERNACIONAL"/>
    <x v="147"/>
    <n v="263000"/>
    <n v="63063.62"/>
    <n v="159853.81"/>
  </r>
  <r>
    <x v="6"/>
    <s v="1006 - GESTAO DA POLITICA DE DESENVOLVIMENTO SOCIAL E COMBATE A FOME"/>
    <x v="1124"/>
    <n v="0"/>
    <n v="0"/>
    <n v="0"/>
  </r>
  <r>
    <x v="6"/>
    <s v="3006 - TRANSPORTE TERRESTRE E TRANSITO"/>
    <x v="162"/>
    <n v="3449497"/>
    <n v="0"/>
    <n v="0"/>
  </r>
  <r>
    <x v="6"/>
    <s v="2015 - FORTALECIMENTO DO SISTEMA UNICO DE SAUDE (SUS)"/>
    <x v="507"/>
    <n v="0"/>
    <n v="0"/>
    <n v="0"/>
  </r>
  <r>
    <x v="6"/>
    <s v="6012 - DEFESA NACIONAL"/>
    <x v="951"/>
    <n v="0"/>
    <n v="224039.04000000001"/>
    <n v="237312.74"/>
  </r>
  <r>
    <x v="6"/>
    <s v="2076 - DESENVOLVIMENTO E PROMOCAO DO TURISMO"/>
    <x v="13"/>
    <n v="0"/>
    <n v="0"/>
    <n v="0"/>
  </r>
  <r>
    <x v="6"/>
    <s v="2208 - TECNOLOGIAS APLICADAS, INOVACAO E DESENVOLVIMENTO SUSTENTAVEL"/>
    <x v="189"/>
    <n v="188810"/>
    <n v="0"/>
    <n v="0"/>
  </r>
  <r>
    <x v="6"/>
    <s v="3006 - TRANSPORTE TERRESTRE E TRANSITO"/>
    <x v="1144"/>
    <n v="313337.93"/>
    <n v="0"/>
    <n v="0"/>
  </r>
  <r>
    <x v="6"/>
    <s v="2213 - MODERNIZACAO TRABALHISTA E TRABALHO DIGNO"/>
    <x v="214"/>
    <n v="4454179915.9399996"/>
    <n v="4454179915.9399996"/>
    <n v="4454179915.9399996"/>
  </r>
  <r>
    <x v="6"/>
    <s v="2015 - FORTALECIMENTO DO SISTEMA UNICO DE SAUDE (SUS)"/>
    <x v="1025"/>
    <n v="0"/>
    <n v="0"/>
    <n v="0"/>
  </r>
  <r>
    <x v="6"/>
    <s v="2084 - RECURSOS HIDRICOS"/>
    <x v="513"/>
    <n v="0"/>
    <n v="0"/>
    <n v="0"/>
  </r>
  <r>
    <x v="6"/>
    <s v="2080 - EDUCACAO DE QUALIDADE PARA TODOS"/>
    <x v="394"/>
    <n v="0"/>
    <n v="0"/>
    <n v="0"/>
  </r>
  <r>
    <x v="6"/>
    <s v="2081 - JUSTICA, CIDADANIA E SEGURANCA PUBLICA"/>
    <x v="934"/>
    <n v="0"/>
    <n v="0"/>
    <n v="0"/>
  </r>
  <r>
    <x v="6"/>
    <s v="2220 - MORADIA DIGNA"/>
    <x v="1136"/>
    <n v="0"/>
    <n v="0"/>
    <n v="0"/>
  </r>
  <r>
    <x v="6"/>
    <s v="2207 - PROGRAMA ESPACIAL BRASILEIRO"/>
    <x v="39"/>
    <n v="-59098.47"/>
    <n v="80602.210000000006"/>
    <n v="80602.210000000006"/>
  </r>
  <r>
    <x v="6"/>
    <s v="5014 - ESTATISTICAS E AVALIACOES EDUCACIONAIS"/>
    <x v="32"/>
    <n v="526259.91"/>
    <n v="746750.47"/>
    <n v="746750.47"/>
  </r>
  <r>
    <x v="6"/>
    <s v="2108 - PROGRAMA DE GESTAO E MANUTENCAO DO MINISTERIO DA DEFESA"/>
    <x v="52"/>
    <n v="0"/>
    <n v="0"/>
    <n v="0"/>
  </r>
  <r>
    <x v="6"/>
    <s v="3006 - TRANSPORTE TERRESTRE E TRANSITO"/>
    <x v="883"/>
    <n v="1409132"/>
    <n v="6854.31"/>
    <n v="6854.31"/>
  </r>
  <r>
    <x v="6"/>
    <s v="5025 - CULTURA"/>
    <x v="1145"/>
    <n v="10000"/>
    <n v="0"/>
    <n v="0"/>
  </r>
  <r>
    <x v="6"/>
    <s v="3004 - AVIACAO CIVIL"/>
    <x v="595"/>
    <n v="-2236219.2999999998"/>
    <n v="2158296.9300000002"/>
    <n v="3140615.82"/>
  </r>
  <r>
    <x v="6"/>
    <s v="2217 - DESENVOLVIMENTO REGIONAL, TERRITORIAL E URBANO"/>
    <x v="116"/>
    <n v="0"/>
    <n v="0"/>
    <n v="0"/>
  </r>
  <r>
    <x v="6"/>
    <s v="0032 - PROGRAMA DE GESTAO E MANUTENCAO DO PODER EXECUTIVO"/>
    <x v="745"/>
    <n v="0"/>
    <n v="2881094058.4200001"/>
    <n v="2881094058.4200001"/>
  </r>
  <r>
    <x v="6"/>
    <s v="2218 - GESTAO DE RISCOS E DE DESASTRES"/>
    <x v="1146"/>
    <n v="3000000"/>
    <n v="0"/>
    <n v="0"/>
  </r>
  <r>
    <x v="6"/>
    <s v="2040 - GESTAO DE RISCOS E DE DESASTRES"/>
    <x v="786"/>
    <n v="0"/>
    <n v="0"/>
    <n v="0"/>
  </r>
  <r>
    <x v="6"/>
    <s v="1031 - AGROPECUARIA SUSTENTAVEL"/>
    <x v="77"/>
    <n v="6375469000"/>
    <n v="0"/>
    <n v="0"/>
  </r>
  <r>
    <x v="6"/>
    <s v="5031 - PROTECAO SOCIAL NO AMBITO DO SISTEMA UNICO DE ASSISTENCIA SOCIAL (SUAS)"/>
    <x v="603"/>
    <n v="110000"/>
    <n v="220000"/>
    <n v="220000"/>
  </r>
  <r>
    <x v="6"/>
    <s v="3006 - TRANSPORTE TERRESTRE E TRANSITO"/>
    <x v="195"/>
    <n v="0"/>
    <n v="1310731.43"/>
    <n v="1310731.43"/>
  </r>
  <r>
    <x v="6"/>
    <s v="2021 - CIENCIA, TECNOLOGIA E INOVACAO"/>
    <x v="658"/>
    <n v="0"/>
    <n v="0"/>
    <n v="0"/>
  </r>
  <r>
    <x v="6"/>
    <s v="0032 - PROGRAMA DE GESTAO E MANUTENCAO DO PODER EXECUTIVO"/>
    <x v="237"/>
    <n v="0"/>
    <n v="3929423.94"/>
    <n v="5238804.21"/>
  </r>
  <r>
    <x v="6"/>
    <s v="3006 - TRANSPORTE TERRESTRE E TRANSITO"/>
    <x v="141"/>
    <n v="0"/>
    <n v="13895829.890000001"/>
    <n v="13895829.890000001"/>
  </r>
  <r>
    <x v="6"/>
    <s v="5013 - EDUCACAO SUPERIOR - GRADUACAO, POS-GRADUACAO, ENSINO, PESQUISA E EXTENSAO"/>
    <x v="89"/>
    <n v="0"/>
    <n v="3440"/>
    <n v="3060.8"/>
  </r>
  <r>
    <x v="6"/>
    <s v="2220 - MORADIA DIGNA"/>
    <x v="36"/>
    <n v="0"/>
    <n v="0"/>
    <n v="0"/>
  </r>
  <r>
    <x v="6"/>
    <s v="0903 - OPERACOES ESPECIAIS: TRANSFERENCIAS CONSTITUCIONAIS E AS DECORRENTES DE LEGISLACAO ESPECIFICA"/>
    <x v="43"/>
    <n v="0"/>
    <n v="16133002363.969999"/>
    <n v="16133002363.969999"/>
  </r>
  <r>
    <x v="6"/>
    <s v="3006 - TRANSPORTE TERRESTRE E TRANSITO"/>
    <x v="1088"/>
    <n v="0"/>
    <n v="0"/>
    <n v="0"/>
  </r>
  <r>
    <x v="6"/>
    <s v="0032 - PROGRAMA DE GESTAO E MANUTENCAO DO PODER EXECUTIVO"/>
    <x v="731"/>
    <n v="0"/>
    <n v="0"/>
    <n v="0"/>
  </r>
  <r>
    <x v="6"/>
    <s v="2111 - PROGRAMA DE GESTAO E MANUTENCAO DO MINISTERIO DO DESENVOLVIMENTO REGIONAL"/>
    <x v="52"/>
    <n v="0"/>
    <n v="0"/>
    <n v="0"/>
  </r>
  <r>
    <x v="6"/>
    <s v="1041 - CONSERVACAO E USO SUSTENTAVEL DA BIODIVERSIDADE E DOS RECURSOS NATURAIS"/>
    <x v="293"/>
    <n v="0"/>
    <n v="11058.21"/>
    <n v="9673.35"/>
  </r>
  <r>
    <x v="6"/>
    <s v="3006 - TRANSPORTE TERRESTRE E TRANSITO"/>
    <x v="27"/>
    <n v="0"/>
    <n v="450837.2"/>
    <n v="450837.2"/>
  </r>
  <r>
    <x v="6"/>
    <s v="2221 - RECURSOS HIDRICOS"/>
    <x v="88"/>
    <n v="11684098"/>
    <n v="26844088.140000001"/>
    <n v="26844088.140000001"/>
  </r>
  <r>
    <x v="6"/>
    <s v="2027 - CULTURA: DIMENSAO ESSENCIAL DO DESENVOLVIMENTO"/>
    <x v="986"/>
    <n v="0"/>
    <n v="0"/>
    <n v="0"/>
  </r>
  <r>
    <x v="6"/>
    <s v="4003 - GARANTIA DA ESTABILIDADE MONETARIA E FINANCEIRA"/>
    <x v="728"/>
    <n v="7834125.0899999999"/>
    <n v="9409229.2300000004"/>
    <n v="7548958.4900000002"/>
  </r>
  <r>
    <x v="6"/>
    <s v="3006 - TRANSPORTE TERRESTRE E TRANSITO"/>
    <x v="216"/>
    <n v="0"/>
    <n v="32378.33"/>
    <n v="32378.33"/>
  </r>
  <r>
    <x v="6"/>
    <s v="1041 - CONSERVACAO E USO SUSTENTAVEL DA BIODIVERSIDADE E DOS RECURSOS NATURAIS"/>
    <x v="164"/>
    <n v="457680"/>
    <n v="457309.94"/>
    <n v="430154.31"/>
  </r>
  <r>
    <x v="6"/>
    <s v="5017 - ASSISTENCIA FARMACEUTICA NO SUS"/>
    <x v="229"/>
    <n v="4867860.54"/>
    <n v="56919832.780000001"/>
    <n v="65313689.090000004"/>
  </r>
  <r>
    <x v="6"/>
    <s v="0032 - PROGRAMA DE GESTAO E MANUTENCAO DO PODER EXECUTIVO"/>
    <x v="78"/>
    <n v="205271.03"/>
    <n v="0"/>
    <n v="430904.47"/>
  </r>
  <r>
    <x v="6"/>
    <s v="2221 - RECURSOS HIDRICOS"/>
    <x v="1077"/>
    <n v="0"/>
    <n v="0"/>
    <n v="0"/>
  </r>
  <r>
    <x v="6"/>
    <s v="0909 - OPERACOES ESPECIAIS: OUTROS ENCARGOS ESPECIAIS"/>
    <x v="246"/>
    <n v="149378.69"/>
    <n v="149378.69"/>
    <n v="149378.69"/>
  </r>
  <r>
    <x v="6"/>
    <s v="2015 - FORTALECIMENTO DO SISTEMA UNICO DE SAUDE (SUS)"/>
    <x v="316"/>
    <n v="0"/>
    <n v="0"/>
    <n v="0"/>
  </r>
  <r>
    <x v="6"/>
    <s v="5031 - PROTECAO SOCIAL NO AMBITO DO SISTEMA UNICO DE ASSISTENCIA SOCIAL (SUAS)"/>
    <x v="772"/>
    <n v="0"/>
    <n v="203579.95"/>
    <n v="229970.96"/>
  </r>
  <r>
    <x v="6"/>
    <s v="2221 - RECURSOS HIDRICOS"/>
    <x v="807"/>
    <n v="-16551032.59"/>
    <n v="0"/>
    <n v="0"/>
  </r>
  <r>
    <x v="6"/>
    <s v="2217 - DESENVOLVIMENTO REGIONAL, TERRITORIAL E URBANO"/>
    <x v="460"/>
    <n v="254.59"/>
    <n v="33561.06"/>
    <n v="33561.06"/>
  </r>
  <r>
    <x v="6"/>
    <s v="3006 - TRANSPORTE TERRESTRE E TRANSITO"/>
    <x v="68"/>
    <n v="0"/>
    <n v="0"/>
    <n v="0"/>
  </r>
  <r>
    <x v="6"/>
    <s v="2222 - SANEAMENTO BASICO"/>
    <x v="444"/>
    <n v="0"/>
    <n v="0"/>
    <n v="0"/>
  </r>
  <r>
    <x v="6"/>
    <s v="5018 - ATENCAO ESPECIALIZADA A SAUDE"/>
    <x v="186"/>
    <n v="108333333.33"/>
    <n v="108333333.33"/>
    <n v="108333333.33"/>
  </r>
  <r>
    <x v="6"/>
    <s v="0903 - OPERACOES ESPECIAIS: TRANSFERENCIAS CONSTITUCIONAIS E AS DECORRENTES DE LEGISLACAO ESPECIFICA"/>
    <x v="233"/>
    <n v="0"/>
    <n v="1534107361.6500001"/>
    <n v="1534107361.6500001"/>
  </r>
  <r>
    <x v="6"/>
    <s v="0902 - OPERACOES ESPECIAIS: FINANCIAMENTOS COM RETORNO"/>
    <x v="555"/>
    <n v="0"/>
    <n v="461524897.94999999"/>
    <n v="469279636.41000003"/>
  </r>
  <r>
    <x v="6"/>
    <s v="3006 - TRANSPORTE TERRESTRE E TRANSITO"/>
    <x v="914"/>
    <n v="0"/>
    <n v="0"/>
    <n v="0"/>
  </r>
  <r>
    <x v="6"/>
    <s v="2084 - RECURSOS HIDRICOS"/>
    <x v="484"/>
    <n v="0"/>
    <n v="0"/>
    <n v="0"/>
  </r>
  <r>
    <x v="6"/>
    <s v="3006 - TRANSPORTE TERRESTRE E TRANSITO"/>
    <x v="827"/>
    <n v="0"/>
    <n v="902523.05"/>
    <n v="902523.05"/>
  </r>
  <r>
    <x v="6"/>
    <s v="3004 - AVIACAO CIVIL"/>
    <x v="813"/>
    <n v="1925049"/>
    <n v="395468.46"/>
    <n v="395468.46"/>
  </r>
  <r>
    <x v="6"/>
    <s v="2084 - RECURSOS HIDRICOS"/>
    <x v="327"/>
    <n v="0"/>
    <n v="0"/>
    <n v="0"/>
  </r>
  <r>
    <x v="6"/>
    <s v="5018 - ATENCAO ESPECIALIZADA A SAUDE"/>
    <x v="83"/>
    <n v="19563112.280000001"/>
    <n v="44286879.539999999"/>
    <n v="36349635.340000004"/>
  </r>
  <r>
    <x v="6"/>
    <s v="1058 - MUDANCA DO CLIMA"/>
    <x v="567"/>
    <n v="647500.68999999994"/>
    <n v="657221.19999999995"/>
    <n v="657263.04"/>
  </r>
  <r>
    <x v="6"/>
    <s v="6012 - DEFESA NACIONAL"/>
    <x v="442"/>
    <n v="284316.96000000002"/>
    <n v="26806.47"/>
    <n v="25762.85"/>
  </r>
  <r>
    <x v="6"/>
    <s v="0032 - PROGRAMA DE GESTAO E MANUTENCAO DO PODER EXECUTIVO"/>
    <x v="73"/>
    <n v="4844114.3600000003"/>
    <n v="43585.38"/>
    <n v="43585.38"/>
  </r>
  <r>
    <x v="6"/>
    <s v="0909 - OPERACOES ESPECIAIS: OUTROS ENCARGOS ESPECIAIS"/>
    <x v="112"/>
    <n v="12166965.109999999"/>
    <n v="12166965.109999999"/>
    <n v="12166965.109999999"/>
  </r>
  <r>
    <x v="6"/>
    <s v="2207 - PROGRAMA ESPACIAL BRASILEIRO"/>
    <x v="190"/>
    <n v="3140800"/>
    <n v="117610"/>
    <n v="0"/>
  </r>
  <r>
    <x v="6"/>
    <s v="2217 - DESENVOLVIMENTO REGIONAL, TERRITORIAL E URBANO"/>
    <x v="287"/>
    <n v="0"/>
    <n v="0"/>
    <n v="0"/>
  </r>
  <r>
    <x v="6"/>
    <s v="2080 - EDUCACAO DE QUALIDADE PARA TODOS"/>
    <x v="188"/>
    <n v="0"/>
    <n v="0"/>
    <n v="0"/>
  </r>
  <r>
    <x v="6"/>
    <s v="5013 - EDUCACAO SUPERIOR - GRADUACAO, POS-GRADUACAO, ENSINO, PESQUISA E EXTENSAO"/>
    <x v="95"/>
    <n v="-90000"/>
    <n v="-56850.47"/>
    <n v="16349.53"/>
  </r>
  <r>
    <x v="6"/>
    <s v="2213 - MODERNIZACAO TRABALHISTA E TRABALHO DIGNO"/>
    <x v="353"/>
    <n v="1524183.56"/>
    <n v="0"/>
    <n v="0"/>
  </r>
  <r>
    <x v="6"/>
    <s v="6014 - PREVENCAO E CONTROLE DO DESMATAMENTO E DOS INCENDIOS NOS BIOMAS"/>
    <x v="185"/>
    <n v="2844319.2"/>
    <n v="14915045.34"/>
    <n v="9188227"/>
  </r>
  <r>
    <x v="6"/>
    <s v="2015 - FORTALECIMENTO DO SISTEMA UNICO DE SAUDE (SUS)"/>
    <x v="219"/>
    <n v="0"/>
    <n v="0"/>
    <n v="0"/>
  </r>
  <r>
    <x v="6"/>
    <s v="0903 - OPERACOES ESPECIAIS: TRANSFERENCIAS CONSTITUCIONAIS E AS DECORRENTES DE LEGISLACAO ESPECIFICA"/>
    <x v="156"/>
    <n v="1829922963.99"/>
    <n v="722848149.96000004"/>
    <n v="722848149.96000004"/>
  </r>
  <r>
    <x v="6"/>
    <s v="3001 - ENERGIA ELETRICA"/>
    <x v="97"/>
    <n v="-165000"/>
    <n v="1476386.21"/>
    <n v="1487138.69"/>
  </r>
  <r>
    <x v="6"/>
    <s v="3006 - TRANSPORTE TERRESTRE E TRANSITO"/>
    <x v="310"/>
    <n v="0"/>
    <n v="11987906.49"/>
    <n v="11987906.49"/>
  </r>
  <r>
    <x v="6"/>
    <s v="0909 - OPERACOES ESPECIAIS: OUTROS ENCARGOS ESPECIAIS"/>
    <x v="346"/>
    <n v="0"/>
    <n v="0"/>
    <n v="0"/>
  </r>
  <r>
    <x v="6"/>
    <s v="1031 - AGROPECUARIA SUSTENTAVEL"/>
    <x v="323"/>
    <n v="85868421.739999995"/>
    <n v="1170297688.6900001"/>
    <n v="1170297688.6900001"/>
  </r>
  <r>
    <x v="6"/>
    <s v="2015 - FORTALECIMENTO DO SISTEMA UNICO DE SAUDE (SUS)"/>
    <x v="115"/>
    <n v="0"/>
    <n v="0"/>
    <n v="0"/>
  </r>
  <r>
    <x v="6"/>
    <s v="3006 - TRANSPORTE TERRESTRE E TRANSITO"/>
    <x v="531"/>
    <n v="0"/>
    <n v="0"/>
    <n v="0"/>
  </r>
  <r>
    <x v="6"/>
    <s v="2037 - CONSOLIDACAO DO SISTEMA UNICO DE ASSISTENCIA SOCIAL (SUAS)"/>
    <x v="1068"/>
    <n v="0"/>
    <n v="0"/>
    <n v="0"/>
  </r>
  <r>
    <x v="6"/>
    <s v="2080 - EDUCACAO DE QUALIDADE PARA TODOS"/>
    <x v="386"/>
    <n v="0"/>
    <n v="0"/>
    <n v="0"/>
  </r>
  <r>
    <x v="6"/>
    <s v="3006 - TRANSPORTE TERRESTRE E TRANSITO"/>
    <x v="841"/>
    <n v="30000000"/>
    <n v="18751228.350000001"/>
    <n v="18751228.350000001"/>
  </r>
  <r>
    <x v="6"/>
    <s v="5020 - DESENVOLVIMENTO CIENTIFICO, TECNOLOGICO E PRODUTIVO EM SAUDE"/>
    <x v="833"/>
    <n v="0"/>
    <n v="0"/>
    <n v="0"/>
  </r>
  <r>
    <x v="6"/>
    <s v="0032 - PROGRAMA DE GESTAO E MANUTENCAO DO PODER EXECUTIVO"/>
    <x v="435"/>
    <n v="427564.26"/>
    <n v="190112.7"/>
    <n v="190112.7"/>
  </r>
  <r>
    <x v="6"/>
    <s v="5035 - PROMOCAO DE CIDADANIA POR MEIO DO AUXILIO BRASIL E DA ARTICULACAO DE POLITICAS PUBLICAS"/>
    <x v="1033"/>
    <n v="0"/>
    <n v="24272665.239999998"/>
    <n v="24272665.239999998"/>
  </r>
  <r>
    <x v="6"/>
    <s v="5020 - DESENVOLVIMENTO CIENTIFICO, TECNOLOGICO E PRODUTIVO EM SAUDE"/>
    <x v="61"/>
    <n v="0"/>
    <n v="0"/>
    <n v="0"/>
  </r>
  <r>
    <x v="6"/>
    <s v="2080 - EDUCACAO DE QUALIDADE PARA TODOS"/>
    <x v="865"/>
    <n v="0"/>
    <n v="0"/>
    <n v="0"/>
  </r>
  <r>
    <x v="6"/>
    <s v="5015 - JUSTICA"/>
    <x v="221"/>
    <n v="425710.29"/>
    <n v="3585776.35"/>
    <n v="3507141.53"/>
  </r>
  <r>
    <x v="6"/>
    <s v="3006 - TRANSPORTE TERRESTRE E TRANSITO"/>
    <x v="838"/>
    <n v="0"/>
    <n v="9824525.6899999995"/>
    <n v="9824525.6899999995"/>
  </r>
  <r>
    <x v="6"/>
    <s v="6012 - DEFESA NACIONAL"/>
    <x v="920"/>
    <n v="0"/>
    <n v="16311.77"/>
    <n v="16311.77"/>
  </r>
  <r>
    <x v="6"/>
    <s v="0151 - PROTECAO DE TERRAS INDIGENAS, GESTAO TERRITORIAL E ETNODESENVOLVIMENTO"/>
    <x v="1126"/>
    <n v="0"/>
    <n v="6322.7"/>
    <n v="15322.7"/>
  </r>
  <r>
    <x v="6"/>
    <s v="1058 - MUDANCA DO CLIMA"/>
    <x v="738"/>
    <n v="58052.01"/>
    <n v="18871.79"/>
    <n v="18871.79"/>
  </r>
  <r>
    <x v="6"/>
    <s v="0909 - OPERACOES ESPECIAIS: OUTROS ENCARGOS ESPECIAIS"/>
    <x v="306"/>
    <n v="0"/>
    <n v="900000000"/>
    <n v="900000000"/>
  </r>
  <r>
    <x v="6"/>
    <s v="5035 - PROMOCAO DE CIDADANIA POR MEIO DO AUXILIO BRASIL E DA ARTICULACAO DE POLITICAS PUBLICAS"/>
    <x v="462"/>
    <n v="0"/>
    <n v="745533.84"/>
    <n v="745533.84"/>
  </r>
  <r>
    <x v="6"/>
    <s v="2204 - BRASIL NA FRONTEIRA DO CONHECIMENTO"/>
    <x v="208"/>
    <n v="144070025.94"/>
    <n v="78918464.609999999"/>
    <n v="70248989.609999999"/>
  </r>
  <r>
    <x v="6"/>
    <s v="3006 - TRANSPORTE TERRESTRE E TRANSITO"/>
    <x v="837"/>
    <n v="0"/>
    <n v="3057005.48"/>
    <n v="3057005.48"/>
  </r>
  <r>
    <x v="6"/>
    <s v="2221 - RECURSOS HIDRICOS"/>
    <x v="913"/>
    <n v="-20000"/>
    <n v="1999310.6"/>
    <n v="0"/>
  </r>
  <r>
    <x v="6"/>
    <s v="2220 - MORADIA DIGNA"/>
    <x v="822"/>
    <n v="0"/>
    <n v="3000000000"/>
    <n v="3000000000"/>
  </r>
  <r>
    <x v="6"/>
    <s v="1031 - AGROPECUARIA SUSTENTAVEL"/>
    <x v="399"/>
    <n v="715094.2"/>
    <n v="510691.19"/>
    <n v="510691.19"/>
  </r>
  <r>
    <x v="6"/>
    <s v="5028 - INCLUSAO SOCIAL POR MEIO DO BOLSA FAMILIA E DA ARTICULACAO DE POLITICAS PUBLICAS"/>
    <x v="152"/>
    <n v="0"/>
    <n v="0"/>
    <n v="0"/>
  </r>
  <r>
    <x v="6"/>
    <s v="2027 - CULTURA: DIMENSAO ESSENCIAL DO DESENVOLVIMENTO"/>
    <x v="271"/>
    <n v="0"/>
    <n v="0"/>
    <n v="0"/>
  </r>
  <r>
    <x v="6"/>
    <s v="0903 - OPERACOES ESPECIAIS: TRANSFERENCIAS CONSTITUCIONAIS E AS DECORRENTES DE LEGISLACAO ESPECIFICA"/>
    <x v="628"/>
    <n v="15679930"/>
    <n v="15624064.58"/>
    <n v="14834667.68"/>
  </r>
  <r>
    <x v="6"/>
    <s v="3006 - TRANSPORTE TERRESTRE E TRANSITO"/>
    <x v="582"/>
    <n v="0"/>
    <n v="3938293.84"/>
    <n v="3938293.84"/>
  </r>
  <r>
    <x v="6"/>
    <s v="5025 - CULTURA"/>
    <x v="990"/>
    <n v="0"/>
    <n v="0"/>
    <n v="150000000"/>
  </r>
  <r>
    <x v="6"/>
    <s v="0903 - OPERACOES ESPECIAIS: TRANSFERENCIAS CONSTITUCIONAIS E AS DECORRENTES DE LEGISLACAO ESPECIFICA"/>
    <x v="64"/>
    <n v="0"/>
    <n v="8275242754.7700005"/>
    <n v="8275242754.7700005"/>
  </r>
  <r>
    <x v="6"/>
    <s v="3006 - TRANSPORTE TERRESTRE E TRANSITO"/>
    <x v="111"/>
    <n v="0"/>
    <n v="106495.32"/>
    <n v="106495.32"/>
  </r>
  <r>
    <x v="6"/>
    <s v="6012 - DEFESA NACIONAL"/>
    <x v="544"/>
    <n v="0"/>
    <n v="0"/>
    <n v="0"/>
  </r>
  <r>
    <x v="6"/>
    <s v="2027 - CULTURA: DIMENSAO ESSENCIAL DO DESENVOLVIMENTO"/>
    <x v="118"/>
    <n v="0"/>
    <n v="0"/>
    <n v="0"/>
  </r>
  <r>
    <x v="6"/>
    <s v="0903 - OPERACOES ESPECIAIS: TRANSFERENCIAS CONSTITUCIONAIS E AS DECORRENTES DE LEGISLACAO ESPECIFICA"/>
    <x v="448"/>
    <n v="293834374.16000003"/>
    <n v="211557825"/>
    <n v="442375803.29000002"/>
  </r>
  <r>
    <x v="6"/>
    <s v="0903 - OPERACOES ESPECIAIS: TRANSFERENCIAS CONSTITUCIONAIS E AS DECORRENTES DE LEGISLACAO ESPECIFICA"/>
    <x v="670"/>
    <n v="44377945.939999998"/>
    <n v="44336363.159999996"/>
    <n v="60912620.719999999"/>
  </r>
  <r>
    <x v="6"/>
    <s v="3006 - TRANSPORTE TERRESTRE E TRANSITO"/>
    <x v="453"/>
    <n v="21317626.539999999"/>
    <n v="7051756.3300000001"/>
    <n v="6038801.2599999998"/>
  </r>
  <r>
    <x v="6"/>
    <s v="2208 - TECNOLOGIAS APLICADAS, INOVACAO E DESENVOLVIMENTO SUSTENTAVEL"/>
    <x v="823"/>
    <n v="0"/>
    <n v="0"/>
    <n v="0"/>
  </r>
  <r>
    <x v="6"/>
    <s v="5026 - ESPORTE"/>
    <x v="223"/>
    <n v="0"/>
    <n v="0"/>
    <n v="0"/>
  </r>
  <r>
    <x v="6"/>
    <s v="2212 - MELHORIA DO AMBIENTE DE NEGOCIOS E DA PRODUTIVIDADE"/>
    <x v="238"/>
    <n v="2240363.0299999998"/>
    <n v="1285502.79"/>
    <n v="1414435.06"/>
  </r>
  <r>
    <x v="6"/>
    <s v="1031 - AGROPECUARIA SUSTENTAVEL"/>
    <x v="1070"/>
    <n v="0"/>
    <n v="156013547"/>
    <n v="156013547"/>
  </r>
  <r>
    <x v="6"/>
    <s v="0033 - PROGRAMA DE GESTAO E MANUTENCAO DO PODER JUDICIARIO"/>
    <x v="297"/>
    <n v="189688.33"/>
    <n v="105261.17"/>
    <n v="17435.54"/>
  </r>
  <r>
    <x v="6"/>
    <s v="4002 - SEGURANCA INSTITUCIONAL"/>
    <x v="431"/>
    <n v="0"/>
    <n v="0"/>
    <n v="0"/>
  </r>
  <r>
    <x v="6"/>
    <s v="3006 - TRANSPORTE TERRESTRE E TRANSITO"/>
    <x v="309"/>
    <n v="0"/>
    <n v="0"/>
    <n v="0"/>
  </r>
  <r>
    <x v="6"/>
    <s v="2222 - SANEAMENTO BASICO"/>
    <x v="126"/>
    <n v="-21111526.719999999"/>
    <n v="2637410.64"/>
    <n v="2637410.64"/>
  </r>
  <r>
    <x v="6"/>
    <s v="0032 - PROGRAMA DE GESTAO E MANUTENCAO DO PODER EXECUTIVO"/>
    <x v="729"/>
    <n v="381717612.27999997"/>
    <n v="1987639697.54"/>
    <n v="2909477369.5700002"/>
  </r>
  <r>
    <x v="6"/>
    <s v="5018 - ATENCAO ESPECIALIZADA A SAUDE"/>
    <x v="76"/>
    <n v="630000"/>
    <n v="68399"/>
    <n v="0"/>
  </r>
  <r>
    <x v="6"/>
    <s v="3005 - TRANSPORTE AQUAVIARIO"/>
    <x v="212"/>
    <n v="-6749291.3399999999"/>
    <n v="8192728.2300000004"/>
    <n v="6993875.5300000003"/>
  </r>
  <r>
    <x v="6"/>
    <s v="5016 - SEGURANCA PUBLICA, COMBATE A CORRUPCAO, AO CRIME ORGANIZADO E AO CRIME VIOLENTO"/>
    <x v="926"/>
    <n v="0"/>
    <n v="0"/>
    <n v="0"/>
  </r>
  <r>
    <x v="6"/>
    <s v="2217 - DESENVOLVIMENTO REGIONAL, TERRITORIAL E URBANO"/>
    <x v="296"/>
    <n v="500000"/>
    <n v="56246.57"/>
    <n v="0"/>
  </r>
  <r>
    <x v="6"/>
    <s v="1041 - CONSERVACAO E USO SUSTENTAVEL DA BIODIVERSIDADE E DOS RECURSOS NATURAIS"/>
    <x v="1017"/>
    <n v="6174.1"/>
    <n v="2327011.83"/>
    <n v="5703848.2800000003"/>
  </r>
  <r>
    <x v="6"/>
    <s v="2208 - TECNOLOGIAS APLICADAS, INOVACAO E DESENVOLVIMENTO SUSTENTAVEL"/>
    <x v="879"/>
    <n v="2080000"/>
    <n v="0"/>
    <n v="0"/>
  </r>
  <r>
    <x v="6"/>
    <s v="5013 - EDUCACAO SUPERIOR - GRADUACAO, POS-GRADUACAO, ENSINO, PESQUISA E EXTENSAO"/>
    <x v="408"/>
    <n v="3693.34"/>
    <n v="51093.9"/>
    <n v="49505.65"/>
  </r>
  <r>
    <x v="6"/>
    <s v="5026 - ESPORTE"/>
    <x v="1112"/>
    <n v="0"/>
    <n v="0"/>
    <n v="0"/>
  </r>
  <r>
    <x v="6"/>
    <s v="4002 - SEGURANCA INSTITUCIONAL"/>
    <x v="193"/>
    <n v="6600"/>
    <n v="27758.12"/>
    <n v="27758.12"/>
  </r>
  <r>
    <x v="6"/>
    <s v="2222 - SANEAMENTO BASICO"/>
    <x v="449"/>
    <n v="0"/>
    <n v="0"/>
    <n v="0"/>
  </r>
  <r>
    <x v="6"/>
    <s v="6016 - EDUCACAO ESPECIAL"/>
    <x v="249"/>
    <n v="2308040.12"/>
    <n v="2025332.97"/>
    <n v="1975610.22"/>
  </r>
  <r>
    <x v="6"/>
    <s v="3006 - TRANSPORTE TERRESTRE E TRANSITO"/>
    <x v="671"/>
    <n v="0"/>
    <n v="195325.68"/>
    <n v="197257.77"/>
  </r>
  <r>
    <x v="6"/>
    <s v="1041 - CONSERVACAO E USO SUSTENTAVEL DA BIODIVERSIDADE E DOS RECURSOS NATURAIS"/>
    <x v="718"/>
    <n v="43229.21"/>
    <n v="92036.4"/>
    <n v="88570.71"/>
  </r>
  <r>
    <x v="6"/>
    <s v="5027 - INCLUSAO PRODUTIVA DE PESSOAS EM SITUACAO DE VULNERABILIDADE SOCIAL"/>
    <x v="311"/>
    <n v="7161784"/>
    <n v="39634"/>
    <n v="40227.449999999997"/>
  </r>
  <r>
    <x v="6"/>
    <s v="5015 - JUSTICA"/>
    <x v="714"/>
    <n v="3548194.96"/>
    <n v="1822800.67"/>
    <n v="2087888.68"/>
  </r>
  <r>
    <x v="6"/>
    <s v="2022 - COMBUSTIVEIS"/>
    <x v="688"/>
    <n v="0"/>
    <n v="0"/>
    <n v="0"/>
  </r>
  <r>
    <x v="6"/>
    <s v="1040 - GOVERNANCA FUNDIARIA"/>
    <x v="9"/>
    <n v="126410742.25"/>
    <n v="126410742.20999999"/>
    <n v="126410742.20999999"/>
  </r>
  <r>
    <x v="6"/>
    <s v="2035 - ESPORTE, CIDADANIA E DESENVOLVIMENTO"/>
    <x v="1112"/>
    <n v="0"/>
    <n v="0"/>
    <n v="0"/>
  </r>
  <r>
    <x v="6"/>
    <s v="2204 - BRASIL NA FRONTEIRA DO CONHECIMENTO"/>
    <x v="183"/>
    <n v="877541981.12"/>
    <n v="87917818.159999996"/>
    <n v="87909790.140000001"/>
  </r>
  <r>
    <x v="6"/>
    <s v="3005 - TRANSPORTE AQUAVIARIO"/>
    <x v="890"/>
    <n v="28626861.129999999"/>
    <n v="66256236.939999998"/>
    <n v="66256236.939999998"/>
  </r>
  <r>
    <x v="6"/>
    <s v="0032 - PROGRAMA DE GESTAO E MANUTENCAO DO PODER EXECUTIVO"/>
    <x v="532"/>
    <n v="94022.1"/>
    <n v="157827.07"/>
    <n v="157827.07"/>
  </r>
  <r>
    <x v="6"/>
    <s v="2218 - GESTAO DE RISCOS E DE DESASTRES"/>
    <x v="536"/>
    <n v="615887.31000000006"/>
    <n v="1372795.6"/>
    <n v="1356116.21"/>
  </r>
  <r>
    <x v="6"/>
    <s v="2213 - MODERNIZACAO TRABALHISTA E TRABALHO DIGNO"/>
    <x v="159"/>
    <n v="101845.96"/>
    <n v="33841.51"/>
    <n v="10771.65"/>
  </r>
  <r>
    <x v="6"/>
    <s v="5019 - ATENCAO PRIMARIA A SAUDE"/>
    <x v="412"/>
    <n v="4260000"/>
    <n v="4260000"/>
    <n v="4260000"/>
  </r>
  <r>
    <x v="6"/>
    <s v="1041 - CONSERVACAO E USO SUSTENTAVEL DA BIODIVERSIDADE E DOS RECURSOS NATURAIS"/>
    <x v="19"/>
    <n v="1030155.9"/>
    <n v="8291.31"/>
    <n v="8291.31"/>
  </r>
  <r>
    <x v="6"/>
    <s v="6012 - DEFESA NACIONAL"/>
    <x v="499"/>
    <n v="-689485.67"/>
    <n v="20585512.52"/>
    <n v="20292241.120000001"/>
  </r>
  <r>
    <x v="6"/>
    <s v="0617 - PROTECAO E PROMOCAO DOS DIREITOS DOS POVOS INDIGENAS"/>
    <x v="819"/>
    <n v="0"/>
    <n v="0"/>
    <n v="0"/>
  </r>
  <r>
    <x v="6"/>
    <s v="3006 - TRANSPORTE TERRESTRE E TRANSITO"/>
    <x v="673"/>
    <n v="0"/>
    <n v="50536.94"/>
    <n v="50536.94"/>
  </r>
  <r>
    <x v="6"/>
    <s v="2218 - GESTAO DE RISCOS E DE DESASTRES"/>
    <x v="912"/>
    <n v="559795.59"/>
    <n v="1810.13"/>
    <n v="1810.13"/>
  </r>
  <r>
    <x v="6"/>
    <s v="1031 - AGROPECUARIA SUSTENTAVEL"/>
    <x v="93"/>
    <n v="-1912362.01"/>
    <n v="372094.5"/>
    <n v="372094.5"/>
  </r>
  <r>
    <x v="6"/>
    <s v="3006 - TRANSPORTE TERRESTRE E TRANSITO"/>
    <x v="510"/>
    <n v="0"/>
    <n v="0"/>
    <n v="0"/>
  </r>
  <r>
    <x v="6"/>
    <s v="3006 - TRANSPORTE TERRESTRE E TRANSITO"/>
    <x v="405"/>
    <n v="0"/>
    <n v="194352.51"/>
    <n v="194352.51"/>
  </r>
  <r>
    <x v="6"/>
    <s v="2211 - INSERCAO ECONOMICA INTERNACIONAL"/>
    <x v="352"/>
    <n v="0"/>
    <n v="0"/>
    <n v="0"/>
  </r>
  <r>
    <x v="6"/>
    <s v="2212 - MELHORIA DO AMBIENTE DE NEGOCIOS E DA PRODUTIVIDADE"/>
    <x v="887"/>
    <n v="276381"/>
    <n v="2951.04"/>
    <n v="21737.83"/>
  </r>
  <r>
    <x v="6"/>
    <s v="0032 - PROGRAMA DE GESTAO E MANUTENCAO DO PODER EXECUTIVO"/>
    <x v="689"/>
    <n v="0"/>
    <n v="3446005.97"/>
    <n v="436196.88"/>
  </r>
  <r>
    <x v="6"/>
    <s v="0151 - PROTECAO DE TERRAS INDIGENAS, GESTAO TERRITORIAL E ETNODESENVOLVIMENTO"/>
    <x v="919"/>
    <n v="127443.24"/>
    <n v="75578.210000000006"/>
    <n v="75578.210000000006"/>
  </r>
  <r>
    <x v="6"/>
    <s v="5015 - JUSTICA"/>
    <x v="584"/>
    <n v="318446.14"/>
    <n v="886003.87"/>
    <n v="799961.28"/>
  </r>
  <r>
    <x v="6"/>
    <s v="2221 - RECURSOS HIDRICOS"/>
    <x v="880"/>
    <n v="0"/>
    <n v="0"/>
    <n v="0"/>
  </r>
  <r>
    <x v="6"/>
    <s v="2221 - RECURSOS HIDRICOS"/>
    <x v="513"/>
    <n v="510515.7"/>
    <n v="1800935.7"/>
    <n v="871546.76"/>
  </r>
  <r>
    <x v="6"/>
    <s v="5020 - DESENVOLVIMENTO CIENTIFICO, TECNOLOGICO E PRODUTIVO EM SAUDE"/>
    <x v="441"/>
    <n v="0"/>
    <n v="0"/>
    <n v="0"/>
  </r>
  <r>
    <x v="6"/>
    <s v="3006 - TRANSPORTE TERRESTRE E TRANSITO"/>
    <x v="242"/>
    <n v="0"/>
    <n v="0"/>
    <n v="0"/>
  </r>
  <r>
    <x v="6"/>
    <s v="5013 - EDUCACAO SUPERIOR - GRADUACAO, POS-GRADUACAO, ENSINO, PESQUISA E EXTENSAO"/>
    <x v="850"/>
    <n v="0"/>
    <n v="0"/>
    <n v="0"/>
  </r>
  <r>
    <x v="6"/>
    <s v="3006 - TRANSPORTE TERRESTRE E TRANSITO"/>
    <x v="332"/>
    <n v="0"/>
    <n v="955089.21"/>
    <n v="685166.74"/>
  </r>
  <r>
    <x v="6"/>
    <s v="2221 - RECURSOS HIDRICOS"/>
    <x v="194"/>
    <n v="0"/>
    <n v="3562.9"/>
    <n v="946.4"/>
  </r>
  <r>
    <x v="6"/>
    <s v="2208 - TECNOLOGIAS APLICADAS, INOVACAO E DESENVOLVIMENTO SUSTENTAVEL"/>
    <x v="191"/>
    <n v="2749696.89"/>
    <n v="1616845.11"/>
    <n v="1616495.2"/>
  </r>
  <r>
    <x v="6"/>
    <s v="2217 - DESENVOLVIMENTO REGIONAL, TERRITORIAL E URBANO"/>
    <x v="610"/>
    <n v="24619"/>
    <n v="0"/>
    <n v="0"/>
  </r>
  <r>
    <x v="6"/>
    <s v="0903 - OPERACOES ESPECIAIS: TRANSFERENCIAS CONSTITUCIONAIS E AS DECORRENTES DE LEGISLACAO ESPECIFICA"/>
    <x v="623"/>
    <n v="56124906.380000003"/>
    <n v="56076927.049999997"/>
    <n v="55262275.159999996"/>
  </r>
  <r>
    <x v="6"/>
    <s v="5016 - SEGURANCA PUBLICA, COMBATE A CORRUPCAO, AO CRIME ORGANIZADO E AO CRIME VIOLENTO"/>
    <x v="447"/>
    <n v="76200483.730000004"/>
    <n v="0"/>
    <n v="0"/>
  </r>
  <r>
    <x v="6"/>
    <s v="5016 - SEGURANCA PUBLICA, COMBATE A CORRUPCAO, AO CRIME ORGANIZADO E AO CRIME VIOLENTO"/>
    <x v="469"/>
    <n v="7710832.8399999999"/>
    <n v="11035063.529999999"/>
    <n v="11060809.99"/>
  </r>
  <r>
    <x v="6"/>
    <s v="2049 - MORADIA DIGNA"/>
    <x v="924"/>
    <n v="0"/>
    <n v="0"/>
    <n v="0"/>
  </r>
  <r>
    <x v="6"/>
    <s v="2223 - A HORA DO TURISMO"/>
    <x v="217"/>
    <n v="-517.48"/>
    <n v="6090.77"/>
    <n v="6090.77"/>
  </r>
  <r>
    <x v="6"/>
    <s v="0910 - OPERACOES ESPECIAIS: GESTAO DA PARTICIPACAO EM ORGANISMOS E ENTIDADES NACIONAIS E INTERNACIONAIS"/>
    <x v="1056"/>
    <n v="-388.5"/>
    <n v="-388.5"/>
    <n v="-388.5"/>
  </r>
  <r>
    <x v="6"/>
    <s v="3006 - TRANSPORTE TERRESTRE E TRANSITO"/>
    <x v="537"/>
    <n v="2141206"/>
    <n v="25682860.530000001"/>
    <n v="3531287.07"/>
  </r>
  <r>
    <x v="6"/>
    <s v="0902 - OPERACOES ESPECIAIS: FINANCIAMENTOS COM RETORNO"/>
    <x v="146"/>
    <n v="0"/>
    <n v="433006888.26999998"/>
    <n v="433006888.26999998"/>
  </r>
  <r>
    <x v="6"/>
    <s v="2217 - DESENVOLVIMENTO REGIONAL, TERRITORIAL E URBANO"/>
    <x v="783"/>
    <n v="0"/>
    <n v="0"/>
    <n v="0"/>
  </r>
  <r>
    <x v="6"/>
    <s v="2208 - TECNOLOGIAS APLICADAS, INOVACAO E DESENVOLVIMENTO SUSTENTAVEL"/>
    <x v="801"/>
    <n v="832000"/>
    <n v="2736845.6"/>
    <n v="2736845.6"/>
  </r>
  <r>
    <x v="6"/>
    <s v="0033 - PROGRAMA DE GESTAO E MANUTENCAO DO PODER JUDICIARIO"/>
    <x v="415"/>
    <n v="27731.439999999999"/>
    <n v="27731.439999999999"/>
    <n v="0"/>
  </r>
  <r>
    <x v="6"/>
    <s v="2066 - REFORMA AGRARIA E GOVERNANCA FUNDIARIA"/>
    <x v="231"/>
    <n v="0"/>
    <n v="0"/>
    <n v="0"/>
  </r>
  <r>
    <x v="6"/>
    <s v="2217 - DESENVOLVIMENTO REGIONAL, TERRITORIAL E URBANO"/>
    <x v="545"/>
    <n v="0"/>
    <n v="0"/>
    <n v="0"/>
  </r>
  <r>
    <x v="6"/>
    <s v="2085 - REDUCAO DO IMPACTO SOCIAL DO ALCOOL E OUTRAS DROGAS: PREVENCAO, CUIDADO E REINSERCAO SOCIAL"/>
    <x v="631"/>
    <n v="0"/>
    <n v="0"/>
    <n v="0"/>
  </r>
  <r>
    <x v="6"/>
    <s v="0906 - OPERACOES ESPECIAIS: SERVICO DA DIVIDA EXTERNA (JUROS EAMORTIZACOES)"/>
    <x v="127"/>
    <n v="3213045537.5100002"/>
    <n v="3213045537.5100002"/>
    <n v="3213045537.5100002"/>
  </r>
  <r>
    <x v="6"/>
    <s v="5023 - VIGILANCIA EM SAUDE"/>
    <x v="284"/>
    <n v="0"/>
    <n v="0"/>
    <n v="0"/>
  </r>
  <r>
    <x v="6"/>
    <s v="3006 - TRANSPORTE TERRESTRE E TRANSITO"/>
    <x v="350"/>
    <n v="0"/>
    <n v="0"/>
    <n v="0"/>
  </r>
  <r>
    <x v="6"/>
    <s v="1031 - AGROPECUARIA SUSTENTAVEL"/>
    <x v="614"/>
    <n v="8132000"/>
    <n v="0"/>
    <n v="0"/>
  </r>
  <r>
    <x v="6"/>
    <s v="0032 - PROGRAMA DE GESTAO E MANUTENCAO DO PODER EXECUTIVO"/>
    <x v="653"/>
    <n v="0"/>
    <n v="33778696.25"/>
    <n v="28941769"/>
  </r>
  <r>
    <x v="6"/>
    <s v="2208 - TECNOLOGIAS APLICADAS, INOVACAO E DESENVOLVIMENTO SUSTENTAVEL"/>
    <x v="820"/>
    <n v="2626000"/>
    <n v="0"/>
    <n v="0"/>
  </r>
  <r>
    <x v="6"/>
    <s v="0909 - OPERACOES ESPECIAIS: OUTROS ENCARGOS ESPECIAIS"/>
    <x v="1147"/>
    <n v="1000000"/>
    <n v="500000"/>
    <n v="500000"/>
  </r>
  <r>
    <x v="6"/>
    <s v="1031 - AGROPECUARIA SUSTENTAVEL"/>
    <x v="474"/>
    <n v="350000"/>
    <n v="11505.69"/>
    <n v="11505.69"/>
  </r>
  <r>
    <x v="6"/>
    <s v="0903 - OPERACOES ESPECIAIS: TRANSFERENCIAS CONSTITUCIONAIS E AS DECORRENTES DE LEGISLACAO ESPECIFICA"/>
    <x v="960"/>
    <n v="6375767183"/>
    <n v="0"/>
    <n v="0"/>
  </r>
  <r>
    <x v="6"/>
    <s v="2049 - MORADIA DIGNA"/>
    <x v="36"/>
    <n v="0"/>
    <n v="0"/>
    <n v="0"/>
  </r>
  <r>
    <x v="6"/>
    <s v="2021 - CIENCIA, TECNOLOGIA E INOVACAO"/>
    <x v="674"/>
    <n v="0"/>
    <n v="0"/>
    <n v="0"/>
  </r>
  <r>
    <x v="6"/>
    <s v="3006 - TRANSPORTE TERRESTRE E TRANSITO"/>
    <x v="530"/>
    <n v="-2542.0500000000002"/>
    <n v="1792028.11"/>
    <n v="1910231.03"/>
  </r>
  <r>
    <x v="6"/>
    <s v="6012 - DEFESA NACIONAL"/>
    <x v="210"/>
    <n v="0"/>
    <n v="0"/>
    <n v="0"/>
  </r>
  <r>
    <x v="6"/>
    <s v="2080 - EDUCACAO DE QUALIDADE PARA TODOS"/>
    <x v="501"/>
    <n v="0"/>
    <n v="0"/>
    <n v="0"/>
  </r>
  <r>
    <x v="6"/>
    <s v="6012 - DEFESA NACIONAL"/>
    <x v="856"/>
    <n v="0"/>
    <n v="7209159.3799999999"/>
    <n v="6190541.8499999996"/>
  </r>
  <r>
    <x v="6"/>
    <s v="5033 - SEGURANCA ALIMENTAR E NUTRICIONAL"/>
    <x v="325"/>
    <n v="13157447.859999999"/>
    <n v="360532"/>
    <n v="0"/>
  </r>
  <r>
    <x v="6"/>
    <s v="4003 - GARANTIA DA ESTABILIDADE MONETARIA E FINANCEIRA"/>
    <x v="625"/>
    <n v="15395937.33"/>
    <n v="2417224.33"/>
    <n v="2523201.66"/>
  </r>
  <r>
    <x v="6"/>
    <s v="3006 - TRANSPORTE TERRESTRE E TRANSITO"/>
    <x v="871"/>
    <n v="0"/>
    <n v="0"/>
    <n v="0"/>
  </r>
  <r>
    <x v="6"/>
    <s v="2212 - MELHORIA DO AMBIENTE DE NEGOCIOS E DA PRODUTIVIDADE"/>
    <x v="1148"/>
    <n v="80000"/>
    <n v="0"/>
    <n v="0"/>
  </r>
  <r>
    <x v="6"/>
    <s v="2213 - MODERNIZACAO TRABALHISTA E TRABALHO DIGNO"/>
    <x v="201"/>
    <n v="3990273208"/>
    <n v="3990273208"/>
    <n v="3990273208"/>
  </r>
  <r>
    <x v="6"/>
    <s v="5034 - PROTECAO A VIDA, FORTALECIMENTO DA FAMILIA, PROMOCAO E DEFESA DOS DIREITOS HUMANOS PARA TODOS"/>
    <x v="305"/>
    <n v="0"/>
    <n v="1499700.72"/>
    <n v="1499700.72"/>
  </r>
  <r>
    <x v="6"/>
    <s v="2054 - PLANEJAMENTO URBANO"/>
    <x v="545"/>
    <n v="0"/>
    <n v="0"/>
    <n v="0"/>
  </r>
  <r>
    <x v="6"/>
    <s v="6012 - DEFESA NACIONAL"/>
    <x v="301"/>
    <n v="-10485.19"/>
    <n v="0"/>
    <n v="0"/>
  </r>
  <r>
    <x v="6"/>
    <s v="2015 - FORTALECIMENTO DO SISTEMA UNICO DE SAUDE (SUS)"/>
    <x v="318"/>
    <n v="0"/>
    <n v="0"/>
    <n v="0"/>
  </r>
  <r>
    <x v="6"/>
    <s v="2214 - NOVA PREVIDENCIA"/>
    <x v="3"/>
    <n v="0"/>
    <n v="13746896.689999999"/>
    <n v="13749578.199999999"/>
  </r>
  <r>
    <x v="6"/>
    <s v="5031 - PROTECAO SOCIAL NO AMBITO DO SISTEMA UNICO DE ASSISTENCIA SOCIAL (SUAS)"/>
    <x v="251"/>
    <n v="54600"/>
    <n v="252983.34"/>
    <n v="270080.65999999997"/>
  </r>
  <r>
    <x v="6"/>
    <s v="3006 - TRANSPORTE TERRESTRE E TRANSITO"/>
    <x v="1040"/>
    <n v="450000"/>
    <n v="0"/>
    <n v="0"/>
  </r>
  <r>
    <x v="6"/>
    <s v="5034 - PROTECAO A VIDA, FORTALECIMENTO DA FAMILIA, PROMOCAO E DEFESA DOS DIREITOS HUMANOS PARA TODOS"/>
    <x v="911"/>
    <n v="510043.25"/>
    <n v="1411162.26"/>
    <n v="1249669.69"/>
  </r>
  <r>
    <x v="6"/>
    <s v="3006 - TRANSPORTE TERRESTRE E TRANSITO"/>
    <x v="241"/>
    <n v="0"/>
    <n v="1219290.6499999999"/>
    <n v="1219290.6499999999"/>
  </r>
  <r>
    <x v="6"/>
    <s v="2015 - FORTALECIMENTO DO SISTEMA UNICO DE SAUDE (SUS)"/>
    <x v="817"/>
    <n v="0"/>
    <n v="0"/>
    <n v="0"/>
  </r>
  <r>
    <x v="6"/>
    <s v="0033 - PROGRAMA DE GESTAO E MANUTENCAO DO PODER JUDICIARIO"/>
    <x v="1130"/>
    <n v="41670.07"/>
    <n v="87566.399999999994"/>
    <n v="87566.399999999994"/>
  </r>
  <r>
    <x v="6"/>
    <s v="2221 - RECURSOS HIDRICOS"/>
    <x v="969"/>
    <n v="0"/>
    <n v="613195"/>
    <n v="613195"/>
  </r>
  <r>
    <x v="6"/>
    <s v="5014 - ESTATISTICAS E AVALIACOES EDUCACIONAIS"/>
    <x v="132"/>
    <n v="2107078.46"/>
    <n v="383367.03"/>
    <n v="369959"/>
  </r>
  <r>
    <x v="6"/>
    <s v="2015 - FORTALECIMENTO DO SISTEMA UNICO DE SAUDE (SUS)"/>
    <x v="437"/>
    <n v="0"/>
    <n v="0"/>
    <n v="0"/>
  </r>
  <r>
    <x v="6"/>
    <s v="2223 - A HORA DO TURISMO"/>
    <x v="100"/>
    <n v="90641.15"/>
    <n v="87141.15"/>
    <n v="0"/>
  </r>
  <r>
    <x v="6"/>
    <s v="0909 - OPERACOES ESPECIAIS: OUTROS ENCARGOS ESPECIAIS"/>
    <x v="288"/>
    <n v="0"/>
    <n v="2592420"/>
    <n v="2145706.34"/>
  </r>
  <r>
    <x v="6"/>
    <s v="3002 - GEOLOGIA, MINERACAO E TRANSFORMACAO MINERAL"/>
    <x v="710"/>
    <n v="21942.720000000001"/>
    <n v="1123170.19"/>
    <n v="1163330.68"/>
  </r>
  <r>
    <x v="6"/>
    <s v="2052 - PESCA E AQUICULTURA"/>
    <x v="30"/>
    <n v="0"/>
    <n v="0"/>
    <n v="0"/>
  </r>
  <r>
    <x v="6"/>
    <s v="2222 - SANEAMENTO BASICO"/>
    <x v="1035"/>
    <n v="0"/>
    <n v="0"/>
    <n v="0"/>
  </r>
  <r>
    <x v="6"/>
    <s v="5016 - SEGURANCA PUBLICA, COMBATE A CORRUPCAO, AO CRIME ORGANIZADO E AO CRIME VIOLENTO"/>
    <x v="63"/>
    <n v="19000000"/>
    <n v="0"/>
    <n v="0"/>
  </r>
  <r>
    <x v="6"/>
    <s v="5031 - PROTECAO SOCIAL NO AMBITO DO SISTEMA UNICO DE ASSISTENCIA SOCIAL (SUAS)"/>
    <x v="197"/>
    <n v="0"/>
    <n v="199063.83"/>
    <n v="199063.83"/>
  </r>
  <r>
    <x v="6"/>
    <s v="0032 - PROGRAMA DE GESTAO E MANUTENCAO DO PODER EXECUTIVO"/>
    <x v="679"/>
    <n v="0"/>
    <n v="421184.06"/>
    <n v="427630.78"/>
  </r>
  <r>
    <x v="6"/>
    <s v="2111 - PROGRAMA DE GESTAO E MANUTENCAO DO MINISTERIO DO DESENVOLVIMENTO REGIONAL"/>
    <x v="356"/>
    <n v="0"/>
    <n v="0"/>
    <n v="0"/>
  </r>
  <r>
    <x v="6"/>
    <s v="0033 - PROGRAMA DE GESTAO E MANUTENCAO DO PODER JUDICIARIO"/>
    <x v="335"/>
    <n v="0"/>
    <n v="149520.04"/>
    <n v="0"/>
  </r>
  <r>
    <x v="6"/>
    <s v="2210 - EMPREGABILIDADE"/>
    <x v="907"/>
    <n v="0"/>
    <n v="20618.580000000002"/>
    <n v="20618.580000000002"/>
  </r>
  <r>
    <x v="6"/>
    <s v="0903 - OPERACOES ESPECIAIS: TRANSFERENCIAS CONSTITUCIONAIS E AS DECORRENTES DE LEGISLACAO ESPECIFICA"/>
    <x v="215"/>
    <n v="0"/>
    <n v="93532253.079999998"/>
    <n v="93532253.079999998"/>
  </r>
  <r>
    <x v="6"/>
    <s v="2206 - POLITICA NUCLEAR"/>
    <x v="256"/>
    <n v="0"/>
    <n v="3302.86"/>
    <n v="3302.86"/>
  </r>
  <r>
    <x v="6"/>
    <s v="2223 - A HORA DO TURISMO"/>
    <x v="13"/>
    <n v="0"/>
    <n v="0"/>
    <n v="0"/>
  </r>
  <r>
    <x v="6"/>
    <s v="2214 - NOVA PREVIDENCIA"/>
    <x v="506"/>
    <n v="300727.25"/>
    <n v="170383.62"/>
    <n v="221282.07"/>
  </r>
  <r>
    <x v="6"/>
    <s v="3006 - TRANSPORTE TERRESTRE E TRANSITO"/>
    <x v="967"/>
    <n v="0"/>
    <n v="6606679.1699999999"/>
    <n v="6606679.1699999999"/>
  </r>
  <r>
    <x v="6"/>
    <s v="6012 - DEFESA NACIONAL"/>
    <x v="313"/>
    <n v="0"/>
    <n v="0"/>
    <n v="0"/>
  </r>
  <r>
    <x v="6"/>
    <s v="2208 - TECNOLOGIAS APLICADAS, INOVACAO E DESENVOLVIMENTO SUSTENTAVEL"/>
    <x v="285"/>
    <n v="17031697.859999999"/>
    <n v="12559618.85"/>
    <n v="12126218.85"/>
  </r>
  <r>
    <x v="6"/>
    <s v="0032 - PROGRAMA DE GESTAO E MANUTENCAO DO PODER EXECUTIVO"/>
    <x v="37"/>
    <n v="18500000"/>
    <n v="0"/>
    <n v="0"/>
  </r>
  <r>
    <x v="6"/>
    <s v="5028 - INCLUSAO SOCIAL POR MEIO DO BOLSA FAMILIA E DA ARTICULACAO DE POLITICAS PUBLICAS"/>
    <x v="1149"/>
    <n v="70851380836"/>
    <n v="0"/>
    <n v="0"/>
  </r>
  <r>
    <x v="6"/>
    <s v="2221 - RECURSOS HIDRICOS"/>
    <x v="280"/>
    <n v="0"/>
    <n v="0"/>
    <n v="0"/>
  </r>
  <r>
    <x v="6"/>
    <s v="2015 - FORTALECIMENTO DO SISTEMA UNICO DE SAUDE (SUS)"/>
    <x v="1108"/>
    <n v="0"/>
    <n v="0"/>
    <n v="0"/>
  </r>
  <r>
    <x v="6"/>
    <s v="2079 - DESENVOLVIMENTO DA INDUSTRIA, COMERCIO E SERVICOS"/>
    <x v="887"/>
    <n v="0"/>
    <n v="0"/>
    <n v="0"/>
  </r>
  <r>
    <x v="6"/>
    <s v="2222 - SANEAMENTO BASICO"/>
    <x v="797"/>
    <n v="15000"/>
    <n v="229350.22"/>
    <n v="229350.22"/>
  </r>
  <r>
    <x v="6"/>
    <s v="3006 - TRANSPORTE TERRESTRE E TRANSITO"/>
    <x v="360"/>
    <n v="2000000"/>
    <n v="110590.3"/>
    <n v="110590.3"/>
  </r>
  <r>
    <x v="6"/>
    <s v="5013 - EDUCACAO SUPERIOR - GRADUACAO, POS-GRADUACAO, ENSINO, PESQUISA E EXTENSAO"/>
    <x v="1134"/>
    <n v="0"/>
    <n v="460914.42"/>
    <n v="0"/>
  </r>
  <r>
    <x v="6"/>
    <s v="3004 - AVIACAO CIVIL"/>
    <x v="1117"/>
    <n v="-196332.23"/>
    <n v="1078295.1299999999"/>
    <n v="302622.53999999998"/>
  </r>
  <r>
    <x v="6"/>
    <s v="2217 - DESENVOLVIMENTO REGIONAL, TERRITORIAL E URBANO"/>
    <x v="809"/>
    <n v="0"/>
    <n v="0"/>
    <n v="0"/>
  </r>
  <r>
    <x v="6"/>
    <s v="6012 - DEFESA NACIONAL"/>
    <x v="199"/>
    <n v="2555559"/>
    <n v="13686.84"/>
    <n v="0"/>
  </r>
  <r>
    <x v="6"/>
    <s v="5016 - SEGURANCA PUBLICA, COMBATE A CORRUPCAO, AO CRIME ORGANIZADO E AO CRIME VIOLENTO"/>
    <x v="814"/>
    <n v="0"/>
    <n v="28910.87"/>
    <n v="28910.87"/>
  </r>
  <r>
    <x v="6"/>
    <s v="6012 - DEFESA NACIONAL"/>
    <x v="337"/>
    <n v="-4453882.4400000004"/>
    <n v="14078"/>
    <n v="14078"/>
  </r>
  <r>
    <x v="6"/>
    <s v="3006 - TRANSPORTE TERRESTRE E TRANSITO"/>
    <x v="601"/>
    <n v="0"/>
    <n v="22264.89"/>
    <n v="22264.89"/>
  </r>
  <r>
    <x v="6"/>
    <s v="0903 - OPERACOES ESPECIAIS: TRANSFERENCIAS CONSTITUCIONAIS E AS DECORRENTES DE LEGISLACAO ESPECIFICA"/>
    <x v="380"/>
    <n v="0"/>
    <n v="3279316.53"/>
    <n v="3279316.53"/>
  </r>
  <r>
    <x v="6"/>
    <s v="5035 - PROMOCAO DE CIDADANIA POR MEIO DO AUXILIO BRASIL E DA ARTICULACAO DE POLITICAS PUBLICAS"/>
    <x v="550"/>
    <n v="0"/>
    <n v="13598135839.52"/>
    <n v="13598135839.52"/>
  </r>
  <r>
    <x v="6"/>
    <s v="3001 - ENERGIA ELETRICA"/>
    <x v="304"/>
    <n v="-314781.74"/>
    <n v="2793303.27"/>
    <n v="2605051.88"/>
  </r>
  <r>
    <x v="6"/>
    <s v="0032 - PROGRAMA DE GESTAO E MANUTENCAO DO PODER EXECUTIVO"/>
    <x v="224"/>
    <n v="22075922.82"/>
    <n v="1373175.24"/>
    <n v="1611338.58"/>
  </r>
  <r>
    <x v="6"/>
    <s v="0031 - PROGRAMA DE GESTAO E MANUTENCAO DO MINISTERIO PUBLICO"/>
    <x v="812"/>
    <n v="26200"/>
    <n v="0"/>
    <n v="0"/>
  </r>
  <r>
    <x v="6"/>
    <s v="1041 - CONSERVACAO E USO SUSTENTAVEL DA BIODIVERSIDADE E DOS RECURSOS NATURAIS"/>
    <x v="176"/>
    <n v="55000"/>
    <n v="69540.58"/>
    <n v="69445.58"/>
  </r>
  <r>
    <x v="6"/>
    <s v="2212 - MELHORIA DO AMBIENTE DE NEGOCIOS E DA PRODUTIVIDADE"/>
    <x v="903"/>
    <n v="2524635.21"/>
    <n v="5047.34"/>
    <n v="8184.34"/>
  </r>
  <r>
    <x v="6"/>
    <s v="2058 - DEFESA NACIONAL"/>
    <x v="1097"/>
    <n v="0"/>
    <n v="0"/>
    <n v="0"/>
  </r>
  <r>
    <x v="6"/>
    <s v="2217 - DESENVOLVIMENTO REGIONAL, TERRITORIAL E URBANO"/>
    <x v="222"/>
    <n v="4278324.12"/>
    <n v="397246.63"/>
    <n v="423667.4"/>
  </r>
  <r>
    <x v="6"/>
    <s v="2221 - RECURSOS HIDRICOS"/>
    <x v="203"/>
    <n v="0"/>
    <n v="0"/>
    <n v="0"/>
  </r>
  <r>
    <x v="6"/>
    <s v="0907 - OPERACOES ESPECIAIS: REFINANCIAMENTO DA DIVIDA INTERNA"/>
    <x v="328"/>
    <n v="343000000"/>
    <n v="257831729445.54999"/>
    <n v="257831729445.54999"/>
  </r>
  <r>
    <x v="6"/>
    <s v="6012 - DEFESA NACIONAL"/>
    <x v="870"/>
    <n v="585010.43000000005"/>
    <n v="-89.89"/>
    <n v="3311421.3"/>
  </r>
  <r>
    <x v="6"/>
    <s v="3006 - TRANSPORTE TERRESTRE E TRANSITO"/>
    <x v="140"/>
    <n v="0"/>
    <n v="0"/>
    <n v="0"/>
  </r>
  <r>
    <x v="6"/>
    <s v="3004 - AVIACAO CIVIL"/>
    <x v="151"/>
    <n v="0"/>
    <n v="862900.9"/>
    <n v="862900.9"/>
  </r>
  <r>
    <x v="6"/>
    <s v="0032 - PROGRAMA DE GESTAO E MANUTENCAO DO PODER EXECUTIVO"/>
    <x v="357"/>
    <n v="604222612.50999999"/>
    <n v="2416734325.71"/>
    <n v="3467153998.9499998"/>
  </r>
  <r>
    <x v="6"/>
    <s v="0903 - OPERACOES ESPECIAIS: TRANSFERENCIAS CONSTITUCIONAIS E AS DECORRENTES DE LEGISLACAO ESPECIFICA"/>
    <x v="28"/>
    <n v="0"/>
    <n v="383598460.31"/>
    <n v="383598460.31"/>
  </r>
  <r>
    <x v="6"/>
    <s v="0909 - OPERACOES ESPECIAIS: OUTROS ENCARGOS ESPECIAIS"/>
    <x v="60"/>
    <n v="7711510.8799999999"/>
    <n v="7711510.8799999999"/>
    <n v="7711510.8799999999"/>
  </r>
  <r>
    <x v="6"/>
    <s v="0032 - PROGRAMA DE GESTAO E MANUTENCAO DO PODER EXECUTIVO"/>
    <x v="1139"/>
    <n v="0"/>
    <n v="0"/>
    <n v="0"/>
  </r>
  <r>
    <x v="6"/>
    <s v="2015 - FORTALECIMENTO DO SISTEMA UNICO DE SAUDE (SUS)"/>
    <x v="902"/>
    <n v="0"/>
    <n v="0"/>
    <n v="0"/>
  </r>
  <r>
    <x v="6"/>
    <s v="3006 - TRANSPORTE TERRESTRE E TRANSITO"/>
    <x v="418"/>
    <n v="0"/>
    <n v="84478.46"/>
    <n v="84478.46"/>
  </r>
  <r>
    <x v="6"/>
    <s v="0902 - OPERACOES ESPECIAIS: FINANCIAMENTOS COM RETORNO"/>
    <x v="290"/>
    <n v="0"/>
    <n v="288671258.91000003"/>
    <n v="288671258.91000003"/>
  </r>
  <r>
    <x v="6"/>
    <s v="6012 - DEFESA NACIONAL"/>
    <x v="391"/>
    <n v="-912054.22"/>
    <n v="3742582.6"/>
    <n v="2136993.89"/>
  </r>
  <r>
    <x v="6"/>
    <s v="0030 - PROGRAMA DE GESTAO E MANUTENCAO DA DEFENSORIA PUBLICA DA UNIAO"/>
    <x v="131"/>
    <n v="0"/>
    <n v="154.54"/>
    <n v="154.54"/>
  </r>
  <r>
    <x v="6"/>
    <s v="0902 - OPERACOES ESPECIAIS: FINANCIAMENTOS COM RETORNO"/>
    <x v="161"/>
    <n v="0"/>
    <n v="6737417.29"/>
    <n v="6737417.29"/>
  </r>
  <r>
    <x v="6"/>
    <s v="2080 - EDUCACAO DE QUALIDADE PARA TODOS"/>
    <x v="798"/>
    <n v="0"/>
    <n v="0"/>
    <n v="0"/>
  </r>
  <r>
    <x v="6"/>
    <s v="2213 - MODERNIZACAO TRABALHISTA E TRABALHO DIGNO"/>
    <x v="1150"/>
    <n v="280000"/>
    <n v="0"/>
    <n v="0"/>
  </r>
  <r>
    <x v="6"/>
    <s v="5020 - DESENVOLVIMENTO CIENTIFICO, TECNOLOGICO E PRODUTIVO EM SAUDE"/>
    <x v="576"/>
    <n v="17809802.510000002"/>
    <n v="2555965.71"/>
    <n v="6409069.5499999998"/>
  </r>
  <r>
    <x v="6"/>
    <s v="5023 - VIGILANCIA EM SAUDE"/>
    <x v="324"/>
    <n v="1483135.24"/>
    <n v="2554980.64"/>
    <n v="2944779.76"/>
  </r>
  <r>
    <x v="6"/>
    <s v="6012 - DEFESA NACIONAL"/>
    <x v="276"/>
    <n v="568744.56000000006"/>
    <n v="393333.29"/>
    <n v="341492.88"/>
  </r>
  <r>
    <x v="6"/>
    <s v="5017 - ASSISTENCIA FARMACEUTICA NO SUS"/>
    <x v="121"/>
    <n v="201483743.69"/>
    <n v="201784518.36000001"/>
    <n v="432753.53"/>
  </r>
  <r>
    <x v="6"/>
    <s v="5014 - ESTATISTICAS E AVALIACOES EDUCACIONAIS"/>
    <x v="707"/>
    <n v="17716496.09"/>
    <n v="5053709.54"/>
    <n v="5016813.5"/>
  </r>
  <r>
    <x v="6"/>
    <s v="1031 - AGROPECUARIA SUSTENTAVEL"/>
    <x v="602"/>
    <n v="0"/>
    <n v="0"/>
    <n v="0"/>
  </r>
  <r>
    <x v="6"/>
    <s v="5023 - VIGILANCIA EM SAUDE"/>
    <x v="247"/>
    <n v="19108889.18"/>
    <n v="99992315.920000002"/>
    <n v="101302628.44"/>
  </r>
  <r>
    <x v="6"/>
    <s v="2222 - SANEAMENTO BASICO"/>
    <x v="1109"/>
    <n v="0"/>
    <n v="9391.92"/>
    <n v="9344.52"/>
  </r>
  <r>
    <x v="6"/>
    <s v="2080 - EDUCACAO DE QUALIDADE PARA TODOS"/>
    <x v="258"/>
    <n v="0"/>
    <n v="0"/>
    <n v="0"/>
  </r>
  <r>
    <x v="6"/>
    <s v="2204 - BRASIL NA FRONTEIRA DO CONHECIMENTO"/>
    <x v="1015"/>
    <n v="10200"/>
    <n v="0"/>
    <n v="0"/>
  </r>
  <r>
    <x v="6"/>
    <s v="1041 - CONSERVACAO E USO SUSTENTAVEL DA BIODIVERSIDADE E DOS RECURSOS NATURAIS"/>
    <x v="154"/>
    <n v="1166380.78"/>
    <n v="97278.25"/>
    <n v="133585.19"/>
  </r>
  <r>
    <x v="6"/>
    <s v="2015 - FORTALECIMENTO DO SISTEMA UNICO DE SAUDE (SUS)"/>
    <x v="825"/>
    <n v="0"/>
    <n v="0"/>
    <n v="0"/>
  </r>
  <r>
    <x v="6"/>
    <s v="1041 - CONSERVACAO E USO SUSTENTAVEL DA BIODIVERSIDADE E DOS RECURSOS NATURAIS"/>
    <x v="470"/>
    <n v="804727.24"/>
    <n v="-49709.81"/>
    <n v="-58212.29"/>
  </r>
  <r>
    <x v="6"/>
    <s v="2215 - POLITICA ECONOMICA E EQUILIBRIO FISCAL"/>
    <x v="264"/>
    <n v="0"/>
    <n v="808302.59"/>
    <n v="808302.59"/>
  </r>
  <r>
    <x v="6"/>
    <s v="0909 - OPERACOES ESPECIAIS: OUTROS ENCARGOS ESPECIAIS"/>
    <x v="440"/>
    <n v="26911238.440000001"/>
    <n v="110425705.72"/>
    <n v="130092248.44"/>
  </r>
  <r>
    <x v="6"/>
    <s v="0032 - PROGRAMA DE GESTAO E MANUTENCAO DO PODER EXECUTIVO"/>
    <x v="1001"/>
    <n v="0"/>
    <n v="0"/>
    <n v="0"/>
  </r>
  <r>
    <x v="6"/>
    <s v="0032 - PROGRAMA DE GESTAO E MANUTENCAO DO PODER EXECUTIVO"/>
    <x v="575"/>
    <n v="0"/>
    <n v="0"/>
    <n v="0"/>
  </r>
  <r>
    <x v="6"/>
    <s v="5017 - ASSISTENCIA FARMACEUTICA NO SUS"/>
    <x v="735"/>
    <n v="171604829.16"/>
    <n v="177352794.53999999"/>
    <n v="177352794.53999999"/>
  </r>
  <r>
    <x v="6"/>
    <s v="5018 - ATENCAO ESPECIALIZADA A SAUDE"/>
    <x v="330"/>
    <n v="8838312.6999999993"/>
    <n v="20786874.280000001"/>
    <n v="16535325.439999999"/>
  </r>
  <r>
    <x v="6"/>
    <s v="3001 - ENERGIA ELETRICA"/>
    <x v="6"/>
    <n v="6000"/>
    <n v="20832.82"/>
    <n v="20987.32"/>
  </r>
  <r>
    <x v="6"/>
    <s v="2016 - POLITICAS PARA AS MULHERES: PROMOCAO DA IGUALDADE E ENFRENTAMENTO A VIOLENCIA"/>
    <x v="478"/>
    <n v="0"/>
    <n v="0"/>
    <n v="0"/>
  </r>
  <r>
    <x v="6"/>
    <s v="5019 - ATENCAO PRIMARIA A SAUDE"/>
    <x v="316"/>
    <n v="0"/>
    <n v="0"/>
    <n v="0"/>
  </r>
  <r>
    <x v="6"/>
    <s v="3006 - TRANSPORTE TERRESTRE E TRANSITO"/>
    <x v="1059"/>
    <n v="0"/>
    <n v="0"/>
    <n v="0"/>
  </r>
  <r>
    <x v="6"/>
    <s v="6012 - DEFESA NACIONAL"/>
    <x v="220"/>
    <n v="43810563.799999997"/>
    <n v="41094501.140000001"/>
    <n v="41271032.340000004"/>
  </r>
  <r>
    <x v="6"/>
    <s v="6012 - DEFESA NACIONAL"/>
    <x v="278"/>
    <n v="-978906.63"/>
    <n v="218357.04"/>
    <n v="231809.09"/>
  </r>
  <r>
    <x v="6"/>
    <s v="2015 - FORTALECIMENTO DO SISTEMA UNICO DE SAUDE (SUS)"/>
    <x v="502"/>
    <n v="0"/>
    <n v="0"/>
    <n v="0"/>
  </r>
  <r>
    <x v="6"/>
    <s v="0032 - PROGRAMA DE GESTAO E MANUTENCAO DO PODER EXECUTIVO"/>
    <x v="354"/>
    <n v="0"/>
    <n v="0"/>
    <n v="0"/>
  </r>
  <r>
    <x v="6"/>
    <s v="2216 - POLITICA EXTERNA"/>
    <x v="362"/>
    <n v="1908610.86"/>
    <n v="744240.54"/>
    <n v="744240.54"/>
  </r>
  <r>
    <x v="6"/>
    <s v="2206 - POLITICA NUCLEAR"/>
    <x v="851"/>
    <n v="0"/>
    <n v="7530.23"/>
    <n v="7530.23"/>
  </r>
  <r>
    <x v="6"/>
    <s v="6012 - DEFESA NACIONAL"/>
    <x v="8"/>
    <n v="0"/>
    <n v="0"/>
    <n v="0"/>
  </r>
  <r>
    <x v="6"/>
    <s v="2214 - NOVA PREVIDENCIA"/>
    <x v="187"/>
    <n v="5550000"/>
    <n v="3138352.16"/>
    <n v="4810576.2"/>
  </r>
  <r>
    <x v="6"/>
    <s v="5019 - ATENCAO PRIMARIA A SAUDE"/>
    <x v="173"/>
    <n v="0"/>
    <n v="0"/>
    <n v="0"/>
  </r>
  <r>
    <x v="6"/>
    <s v="3003 - PETROLEO, GAS, DERIVADOS E BIOCOMBUSTIVEIS"/>
    <x v="704"/>
    <n v="5096804.18"/>
    <n v="1536311.74"/>
    <n v="1639149.09"/>
  </r>
  <r>
    <x v="6"/>
    <s v="2223 - A HORA DO TURISMO"/>
    <x v="269"/>
    <n v="254890"/>
    <n v="50330.31"/>
    <n v="50330.31"/>
  </r>
  <r>
    <x v="6"/>
    <s v="5031 - PROTECAO SOCIAL NO AMBITO DO SISTEMA UNICO DE ASSISTENCIA SOCIAL (SUAS)"/>
    <x v="302"/>
    <n v="6526419.5199999996"/>
    <n v="3152368.69"/>
    <n v="3152368.69"/>
  </r>
  <r>
    <x v="6"/>
    <s v="5016 - SEGURANCA PUBLICA, COMBATE A CORRUPCAO, AO CRIME ORGANIZADO E AO CRIME VIOLENTO"/>
    <x v="934"/>
    <n v="0"/>
    <n v="0"/>
    <n v="0"/>
  </r>
  <r>
    <x v="6"/>
    <s v="5034 - PROTECAO A VIDA, FORTALECIMENTO DA FAMILIA, PROMOCAO E DEFESA DOS DIREITOS HUMANOS PARA TODOS"/>
    <x v="139"/>
    <n v="0"/>
    <n v="0"/>
    <n v="0"/>
  </r>
  <r>
    <x v="6"/>
    <s v="2218 - GESTAO DE RISCOS E DE DESASTRES"/>
    <x v="342"/>
    <n v="76282155.5"/>
    <n v="0"/>
    <n v="0"/>
  </r>
  <r>
    <x v="6"/>
    <s v="2211 - INSERCAO ECONOMICA INTERNACIONAL"/>
    <x v="158"/>
    <n v="0"/>
    <n v="31296562.359999999"/>
    <n v="31296562.359999999"/>
  </r>
  <r>
    <x v="6"/>
    <s v="2069 - SEGURANCA ALIMENTAR E NUTRICIONAL"/>
    <x v="564"/>
    <n v="0"/>
    <n v="0"/>
    <n v="0"/>
  </r>
  <r>
    <x v="6"/>
    <s v="6012 - DEFESA NACIONAL"/>
    <x v="638"/>
    <n v="-1391222.79"/>
    <n v="59784165.789999999"/>
    <n v="59877423.689999998"/>
  </r>
  <r>
    <x v="6"/>
    <s v="6012 - DEFESA NACIONAL"/>
    <x v="38"/>
    <n v="0"/>
    <n v="0"/>
    <n v="0"/>
  </r>
  <r>
    <x v="6"/>
    <s v="5026 - ESPORTE"/>
    <x v="248"/>
    <n v="673050.84"/>
    <n v="2003242.77"/>
    <n v="1773421.24"/>
  </r>
  <r>
    <x v="6"/>
    <s v="3006 - TRANSPORTE TERRESTRE E TRANSITO"/>
    <x v="420"/>
    <n v="0"/>
    <n v="855656.01"/>
    <n v="936437.35"/>
  </r>
  <r>
    <x v="6"/>
    <s v="5032 - REDE DE SUPORTE SOCIAL AO DEPENDENTE QUIMICO: CUIDADOS,PREVENCAO E REINSERCAO SOCIAL"/>
    <x v="631"/>
    <n v="63163906.460000001"/>
    <n v="19641232.510000002"/>
    <n v="19778604.739999998"/>
  </r>
  <r>
    <x v="6"/>
    <s v="2080 - EDUCACAO DE QUALIDADE PARA TODOS"/>
    <x v="769"/>
    <n v="0"/>
    <n v="0"/>
    <n v="0"/>
  </r>
  <r>
    <x v="6"/>
    <s v="1043 - QUALIDADE AMBIENTAL URBANA"/>
    <x v="72"/>
    <n v="482082.57"/>
    <n v="25278.46"/>
    <n v="25278.46"/>
  </r>
  <r>
    <x v="6"/>
    <s v="5026 - ESPORTE"/>
    <x v="300"/>
    <n v="10560"/>
    <n v="69050.399999999994"/>
    <n v="63912.94"/>
  </r>
  <r>
    <x v="6"/>
    <s v="2208 - TECNOLOGIAS APLICADAS, INOVACAO E DESENVOLVIMENTO SUSTENTAVEL"/>
    <x v="658"/>
    <n v="776949"/>
    <n v="0"/>
    <n v="0"/>
  </r>
  <r>
    <x v="6"/>
    <s v="5023 - VIGILANCIA EM SAUDE"/>
    <x v="207"/>
    <n v="386893287.24000001"/>
    <n v="206933618.74000001"/>
    <n v="203278568.38"/>
  </r>
  <r>
    <x v="6"/>
    <s v="3001 - ENERGIA ELETRICA"/>
    <x v="16"/>
    <n v="-34399.93"/>
    <n v="357189.78"/>
    <n v="364620.22"/>
  </r>
  <r>
    <x v="6"/>
    <s v="0032 - PROGRAMA DE GESTAO E MANUTENCAO DO PODER EXECUTIVO"/>
    <x v="493"/>
    <n v="1044477.53"/>
    <n v="80329440.489999995"/>
    <n v="114050815.18000001"/>
  </r>
  <r>
    <x v="6"/>
    <s v="3001 - ENERGIA ELETRICA"/>
    <x v="240"/>
    <n v="123097.35"/>
    <n v="3348742.61"/>
    <n v="3845885.63"/>
  </r>
  <r>
    <x v="6"/>
    <s v="5019 - ATENCAO PRIMARIA A SAUDE"/>
    <x v="86"/>
    <n v="2042000"/>
    <n v="2042000"/>
    <n v="2042000"/>
  </r>
  <r>
    <x v="6"/>
    <s v="2212 - MELHORIA DO AMBIENTE DE NEGOCIOS E DA PRODUTIVIDADE"/>
    <x v="329"/>
    <n v="185151374.19999999"/>
    <n v="32329963.91"/>
    <n v="32329963.91"/>
  </r>
  <r>
    <x v="6"/>
    <s v="3006 - TRANSPORTE TERRESTRE E TRANSITO"/>
    <x v="274"/>
    <n v="448326.83"/>
    <n v="297826.57"/>
    <n v="299528.96999999997"/>
  </r>
  <r>
    <x v="6"/>
    <s v="5013 - EDUCACAO SUPERIOR - GRADUACAO, POS-GRADUACAO, ENSINO, PESQUISA E EXTENSAO"/>
    <x v="401"/>
    <n v="1210000"/>
    <n v="0"/>
    <n v="0"/>
  </r>
  <r>
    <x v="6"/>
    <s v="2208 - TECNOLOGIAS APLICADAS, INOVACAO E DESENVOLVIMENTO SUSTENTAVEL"/>
    <x v="749"/>
    <n v="455000"/>
    <n v="745000"/>
    <n v="745000"/>
  </r>
  <r>
    <x v="6"/>
    <s v="2206 - POLITICA NUCLEAR"/>
    <x v="198"/>
    <n v="0"/>
    <n v="0"/>
    <n v="0"/>
  </r>
  <r>
    <x v="6"/>
    <s v="5034 - PROTECAO A VIDA, FORTALECIMENTO DA FAMILIA, PROMOCAO E DEFESA DOS DIREITOS HUMANOS PARA TODOS"/>
    <x v="338"/>
    <n v="0"/>
    <n v="51164.9"/>
    <n v="51164.9"/>
  </r>
  <r>
    <x v="6"/>
    <s v="2209 - BRASIL, NOSSO PROPOSITO"/>
    <x v="428"/>
    <n v="18881.599999999999"/>
    <n v="66740.759999999995"/>
    <n v="66740.759999999995"/>
  </r>
  <r>
    <x v="6"/>
    <s v="0032 - PROGRAMA DE GESTAO E MANUTENCAO DO PODER EXECUTIVO"/>
    <x v="681"/>
    <n v="12507.24"/>
    <n v="120687876.25"/>
    <n v="120560782.34999999"/>
  </r>
  <r>
    <x v="6"/>
    <s v="2222 - SANEAMENTO BASICO"/>
    <x v="12"/>
    <n v="-229171.97"/>
    <n v="0"/>
    <n v="0"/>
  </r>
  <r>
    <x v="6"/>
    <s v="6012 - DEFESA NACIONAL"/>
    <x v="172"/>
    <n v="874492.28"/>
    <n v="1695322.73"/>
    <n v="1267220.8899999999"/>
  </r>
  <r>
    <x v="6"/>
    <s v="6013 - OCEANOS, ZONA COSTEIRA E ANTARTICA"/>
    <x v="805"/>
    <n v="28890"/>
    <n v="0"/>
    <n v="0"/>
  </r>
  <r>
    <x v="6"/>
    <s v="2206 - POLITICA NUCLEAR"/>
    <x v="627"/>
    <n v="0"/>
    <n v="11993"/>
    <n v="5353"/>
  </r>
  <r>
    <x v="6"/>
    <s v="5025 - CULTURA"/>
    <x v="553"/>
    <n v="49125.4"/>
    <n v="75732.13"/>
    <n v="62550.13"/>
  </r>
  <r>
    <x v="6"/>
    <s v="0902 - OPERACOES ESPECIAIS: FINANCIAMENTOS COM RETORNO"/>
    <x v="619"/>
    <n v="0"/>
    <n v="433006888.26999998"/>
    <n v="433006888.26999998"/>
  </r>
  <r>
    <x v="6"/>
    <s v="0910 - OPERACOES ESPECIAIS: GESTAO DA PARTICIPACAO EM ORGANISMOS E ENTIDADES NACIONAIS E INTERNACIONAIS"/>
    <x v="1151"/>
    <n v="353426.1"/>
    <n v="353426.1"/>
    <n v="353426.1"/>
  </r>
  <r>
    <x v="6"/>
    <s v="5021 - GESTAO E ORGANIZACAO DO SUS"/>
    <x v="245"/>
    <n v="0"/>
    <n v="1714571.83"/>
    <n v="114571.83"/>
  </r>
  <r>
    <x v="6"/>
    <s v="5018 - ATENCAO ESPECIALIZADA A SAUDE"/>
    <x v="502"/>
    <n v="149352385.38999999"/>
    <n v="3596009.54"/>
    <n v="2496167.54"/>
  </r>
  <r>
    <x v="6"/>
    <s v="5020 - DESENVOLVIMENTO CIENTIFICO, TECNOLOGICO E PRODUTIVO EM SAUDE"/>
    <x v="909"/>
    <n v="0"/>
    <n v="1242392.3600000001"/>
    <n v="0"/>
  </r>
  <r>
    <x v="6"/>
    <s v="3006 - TRANSPORTE TERRESTRE E TRANSITO"/>
    <x v="481"/>
    <n v="0"/>
    <n v="2248489.5499999998"/>
    <n v="4314156.63"/>
  </r>
  <r>
    <x v="6"/>
    <s v="0903 - OPERACOES ESPECIAIS: TRANSFERENCIAS CONSTITUCIONAIS E AS DECORRENTES DE LEGISLACAO ESPECIFICA"/>
    <x v="578"/>
    <n v="19584642.84"/>
    <n v="19635218.25"/>
    <n v="19676553.809999999"/>
  </r>
  <r>
    <x v="6"/>
    <s v="3006 - TRANSPORTE TERRESTRE E TRANSITO"/>
    <x v="411"/>
    <n v="62139029.799999997"/>
    <n v="0"/>
    <n v="0"/>
  </r>
  <r>
    <x v="6"/>
    <s v="3006 - TRANSPORTE TERRESTRE E TRANSITO"/>
    <x v="334"/>
    <n v="0"/>
    <n v="8435955.0299999993"/>
    <n v="8435955.0299999993"/>
  </r>
  <r>
    <x v="6"/>
    <s v="1031 - AGROPECUARIA SUSTENTAVEL"/>
    <x v="138"/>
    <n v="-72127806.609999999"/>
    <n v="95506511.469999999"/>
    <n v="95506511.469999999"/>
  </r>
  <r>
    <x v="6"/>
    <s v="3004 - AVIACAO CIVIL"/>
    <x v="955"/>
    <n v="-17525.150000000001"/>
    <n v="0"/>
    <n v="0"/>
  </r>
  <r>
    <x v="6"/>
    <s v="2216 - POLITICA EXTERNA"/>
    <x v="230"/>
    <n v="-101255.11"/>
    <n v="417359.53"/>
    <n v="417359.53"/>
  </r>
  <r>
    <x v="6"/>
    <s v="0903 - OPERACOES ESPECIAIS: TRANSFERENCIAS CONSTITUCIONAIS E AS DECORRENTES DE LEGISLACAO ESPECIFICA"/>
    <x v="2"/>
    <n v="0"/>
    <n v="4336848552.0799999"/>
    <n v="4336848552.0799999"/>
  </r>
  <r>
    <x v="6"/>
    <s v="2052 - PESCA E AQUICULTURA"/>
    <x v="608"/>
    <n v="0"/>
    <n v="0"/>
    <n v="0"/>
  </r>
  <r>
    <x v="6"/>
    <s v="2217 - DESENVOLVIMENTO REGIONAL, TERRITORIAL E URBANO"/>
    <x v="110"/>
    <n v="24000"/>
    <n v="7500"/>
    <n v="7500"/>
  </r>
  <r>
    <x v="6"/>
    <s v="5018 - ATENCAO ESPECIALIZADA A SAUDE"/>
    <x v="202"/>
    <n v="5461986.9400000004"/>
    <n v="8605678.7799999993"/>
    <n v="7660334.25"/>
  </r>
  <r>
    <x v="6"/>
    <s v="3006 - TRANSPORTE TERRESTRE E TRANSITO"/>
    <x v="635"/>
    <n v="0"/>
    <n v="2275134.42"/>
    <n v="2456294.42"/>
  </r>
  <r>
    <x v="6"/>
    <s v="2216 - POLITICA EXTERNA"/>
    <x v="51"/>
    <n v="88880.73"/>
    <n v="141299.46"/>
    <n v="544082.61"/>
  </r>
  <r>
    <x v="6"/>
    <s v="4001 - COMUNICACAO PUBLICA E DIVULGACAO DE ATOS E MATERIAS DO GOVERNO FEDERAL"/>
    <x v="84"/>
    <n v="1810261.82"/>
    <n v="3053267.61"/>
    <n v="3087991.76"/>
  </r>
  <r>
    <x v="6"/>
    <s v="0909 - OPERACOES ESPECIAIS: OUTROS ENCARGOS ESPECIAIS"/>
    <x v="846"/>
    <n v="0"/>
    <n v="6649835.9100000001"/>
    <n v="8599521.4399999995"/>
  </r>
  <r>
    <x v="6"/>
    <s v="1031 - AGROPECUARIA SUSTENTAVEL"/>
    <x v="15"/>
    <n v="-164551946.30000001"/>
    <n v="998292582.35000002"/>
    <n v="998292582.35000002"/>
  </r>
  <r>
    <x v="6"/>
    <s v="0903 - OPERACOES ESPECIAIS: TRANSFERENCIAS CONSTITUCIONAIS E AS DECORRENTES DE LEGISLACAO ESPECIFICA"/>
    <x v="1127"/>
    <n v="0"/>
    <n v="0"/>
    <n v="0"/>
  </r>
  <r>
    <x v="6"/>
    <s v="5019 - ATENCAO PRIMARIA A SAUDE"/>
    <x v="1034"/>
    <n v="1995464955.0599999"/>
    <n v="1153100580"/>
    <n v="1153100580"/>
  </r>
  <r>
    <x v="6"/>
    <s v="2215 - POLITICA ECONOMICA E EQUILIBRIO FISCAL"/>
    <x v="101"/>
    <n v="596799.13"/>
    <n v="819066.7"/>
    <n v="703051.68"/>
  </r>
  <r>
    <x v="6"/>
    <s v="5025 - CULTURA"/>
    <x v="1"/>
    <n v="488762"/>
    <n v="-9022"/>
    <n v="-9022"/>
  </r>
  <r>
    <x v="6"/>
    <s v="5020 - DESENVOLVIMENTO CIENTIFICO, TECNOLOGICO E PRODUTIVO EM SAUDE"/>
    <x v="268"/>
    <n v="127246.39999999999"/>
    <n v="76549.350000000006"/>
    <n v="76549.350000000006"/>
  </r>
  <r>
    <x v="6"/>
    <s v="2211 - INSERCAO ECONOMICA INTERNACIONAL"/>
    <x v="182"/>
    <n v="-20000"/>
    <n v="69124.61"/>
    <n v="69124.61"/>
  </r>
  <r>
    <x v="6"/>
    <s v="5024 - ATENCAO INTEGRAL A PRIMEIRA INFANCIA"/>
    <x v="998"/>
    <n v="34300665.259999998"/>
    <n v="34300665.259999998"/>
    <n v="34300665.259999998"/>
  </r>
  <r>
    <x v="6"/>
    <s v="2223 - A HORA DO TURISMO"/>
    <x v="854"/>
    <n v="201024999.99000001"/>
    <n v="220517218.81999999"/>
    <n v="220517218.81999999"/>
  </r>
  <r>
    <x v="6"/>
    <s v="6012 - DEFESA NACIONAL"/>
    <x v="378"/>
    <n v="570637.15"/>
    <n v="608088.68999999994"/>
    <n v="594074.56999999995"/>
  </r>
  <r>
    <x v="6"/>
    <s v="0909 - OPERACOES ESPECIAIS: OUTROS ENCARGOS ESPECIAIS"/>
    <x v="556"/>
    <n v="0"/>
    <n v="138102.07"/>
    <n v="50212.05"/>
  </r>
  <r>
    <x v="6"/>
    <s v="2208 - TECNOLOGIAS APLICADAS, INOVACAO E DESENVOLVIMENTO SUSTENTAVEL"/>
    <x v="5"/>
    <n v="21602297.870000001"/>
    <n v="21602297.870000001"/>
    <n v="21602297.870000001"/>
  </r>
  <r>
    <x v="6"/>
    <s v="2216 - POLITICA EXTERNA"/>
    <x v="384"/>
    <n v="-70213.41"/>
    <n v="147274.54"/>
    <n v="157274.54"/>
  </r>
  <r>
    <x v="6"/>
    <s v="1041 - CONSERVACAO E USO SUSTENTAVEL DA BIODIVERSIDADE E DOS RECURSOS NATURAIS"/>
    <x v="744"/>
    <n v="303633.55"/>
    <n v="183574.16"/>
    <n v="236300.99"/>
  </r>
  <r>
    <x v="6"/>
    <s v="5026 - ESPORTE"/>
    <x v="794"/>
    <n v="150000"/>
    <n v="0"/>
    <n v="0"/>
  </r>
  <r>
    <x v="6"/>
    <s v="2206 - POLITICA NUCLEAR"/>
    <x v="659"/>
    <n v="393384.96000000002"/>
    <n v="488064.33"/>
    <n v="455678.32"/>
  </r>
  <r>
    <x v="6"/>
    <s v="1041 - CONSERVACAO E USO SUSTENTAVEL DA BIODIVERSIDADE E DOS RECURSOS NATURAIS"/>
    <x v="604"/>
    <n v="219225"/>
    <n v="252797.81"/>
    <n v="281458.18"/>
  </r>
  <r>
    <x v="6"/>
    <s v="0032 - PROGRAMA DE GESTAO E MANUTENCAO DO PODER EXECUTIVO"/>
    <x v="422"/>
    <n v="82956.3"/>
    <n v="96374.9"/>
    <n v="107550.21"/>
  </r>
  <r>
    <x v="6"/>
    <s v="2216 - POLITICA EXTERNA"/>
    <x v="991"/>
    <n v="225.6"/>
    <n v="201.17"/>
    <n v="201.17"/>
  </r>
  <r>
    <x v="6"/>
    <s v="5023 - VIGILANCIA EM SAUDE"/>
    <x v="494"/>
    <n v="401.68"/>
    <n v="206092.7"/>
    <n v="204825.7"/>
  </r>
  <r>
    <x v="6"/>
    <s v="0032 - PROGRAMA DE GESTAO E MANUTENCAO DO PODER EXECUTIVO"/>
    <x v="640"/>
    <n v="7838.7"/>
    <n v="7838.7"/>
    <n v="0"/>
  </r>
  <r>
    <x v="6"/>
    <s v="2212 - MELHORIA DO AMBIENTE DE NEGOCIOS E DA PRODUTIVIDADE"/>
    <x v="50"/>
    <n v="0"/>
    <n v="0"/>
    <n v="0"/>
  </r>
  <r>
    <x v="6"/>
    <s v="0617 - PROTECAO E PROMOCAO DOS DIREITOS DOS POVOS INDIGENAS"/>
    <x v="373"/>
    <n v="0"/>
    <n v="0"/>
    <n v="0"/>
  </r>
  <r>
    <x v="6"/>
    <s v="0902 - OPERACOES ESPECIAIS: FINANCIAMENTOS COM RETORNO"/>
    <x v="24"/>
    <n v="0"/>
    <n v="288671258.91000003"/>
    <n v="288671258.91000003"/>
  </r>
  <r>
    <x v="6"/>
    <s v="0032 - PROGRAMA DE GESTAO E MANUTENCAO DO PODER EXECUTIVO"/>
    <x v="599"/>
    <n v="4886379.95"/>
    <n v="8321290.5700000003"/>
    <n v="7784861.6900000004"/>
  </r>
  <r>
    <x v="6"/>
    <s v="0032 - PROGRAMA DE GESTAO E MANUTENCAO DO PODER EXECUTIVO"/>
    <x v="446"/>
    <n v="206265303.11000001"/>
    <n v="5462598.6500000004"/>
    <n v="67122.539999999994"/>
  </r>
  <r>
    <x v="6"/>
    <s v="5017 - ASSISTENCIA FARMACEUTICA NO SUS"/>
    <x v="124"/>
    <n v="48007701.109999999"/>
    <n v="48040730.799999997"/>
    <n v="76846.58"/>
  </r>
  <r>
    <x v="6"/>
    <s v="3006 - TRANSPORTE TERRESTRE E TRANSITO"/>
    <x v="125"/>
    <n v="0"/>
    <n v="2224783.14"/>
    <n v="0"/>
  </r>
  <r>
    <x v="6"/>
    <s v="0903 - OPERACOES ESPECIAIS: TRANSFERENCIAS CONSTITUCIONAIS E AS DECORRENTES DE LEGISLACAO ESPECIFICA"/>
    <x v="135"/>
    <n v="0"/>
    <n v="147254712.81"/>
    <n v="147254712.81"/>
  </r>
  <r>
    <x v="6"/>
    <s v="6012 - DEFESA NACIONAL"/>
    <x v="466"/>
    <n v="-364538.41"/>
    <n v="-544107.18999999994"/>
    <n v="-461970.95"/>
  </r>
  <r>
    <x v="6"/>
    <s v="5028 - INCLUSAO SOCIAL POR MEIO DO BOLSA FAMILIA E DA ARTICULACAO DE POLITICAS PUBLICAS"/>
    <x v="1132"/>
    <n v="0"/>
    <n v="92458081.879999995"/>
    <n v="92458081.879999995"/>
  </r>
  <r>
    <x v="6"/>
    <s v="0910 - OPERACOES ESPECIAIS: GESTAO DA PARTICIPACAO EM ORGANISMOS E ENTIDADES NACIONAIS E INTERNACIONAIS"/>
    <x v="113"/>
    <n v="5162926"/>
    <n v="4556098.01"/>
    <n v="4556098.01"/>
  </r>
  <r>
    <x v="6"/>
    <s v="1041 - CONSERVACAO E USO SUSTENTAVEL DA BIODIVERSIDADE E DOS RECURSOS NATURAIS"/>
    <x v="711"/>
    <n v="18532000.289999999"/>
    <n v="9751385.8200000003"/>
    <n v="9790773.0399999991"/>
  </r>
  <r>
    <x v="6"/>
    <s v="2216 - POLITICA EXTERNA"/>
    <x v="1092"/>
    <n v="-6792.22"/>
    <n v="-6792.22"/>
    <n v="-6792.22"/>
  </r>
  <r>
    <x v="6"/>
    <s v="2081 - JUSTICA, CIDADANIA E SEGURANCA PUBLICA"/>
    <x v="958"/>
    <n v="0"/>
    <n v="0"/>
    <n v="0"/>
  </r>
  <r>
    <x v="6"/>
    <s v="2212 - MELHORIA DO AMBIENTE DE NEGOCIOS E DA PRODUTIVIDADE"/>
    <x v="767"/>
    <n v="62905.8"/>
    <n v="581198.87"/>
    <n v="542082.97"/>
  </r>
  <r>
    <x v="6"/>
    <s v="2208 - TECNOLOGIAS APLICADAS, INOVACAO E DESENVOLVIMENTO SUSTENTAVEL"/>
    <x v="218"/>
    <n v="29310668.760000002"/>
    <n v="29848198.91"/>
    <n v="41436093.060000002"/>
  </r>
  <r>
    <x v="6"/>
    <s v="3005 - TRANSPORTE AQUAVIARIO"/>
    <x v="443"/>
    <n v="0"/>
    <n v="3059979.41"/>
    <n v="2999296.34"/>
  </r>
  <r>
    <x v="6"/>
    <s v="5031 - PROTECAO SOCIAL NO AMBITO DO SISTEMA UNICO DE ASSISTENCIA SOCIAL (SUAS)"/>
    <x v="572"/>
    <n v="800000"/>
    <n v="3378232323.1399999"/>
    <n v="3373976463.1300001"/>
  </r>
  <r>
    <x v="6"/>
    <s v="3006 - TRANSPORTE TERRESTRE E TRANSITO"/>
    <x v="69"/>
    <n v="0"/>
    <n v="19199705.09"/>
    <n v="15723106.859999999"/>
  </r>
  <r>
    <x v="6"/>
    <s v="0909 - OPERACOES ESPECIAIS: OUTROS ENCARGOS ESPECIAIS"/>
    <x v="600"/>
    <n v="-166075"/>
    <n v="9924049.7799999993"/>
    <n v="11171801.029999999"/>
  </r>
  <r>
    <x v="6"/>
    <s v="2217 - DESENVOLVIMENTO REGIONAL, TERRITORIAL E URBANO"/>
    <x v="382"/>
    <n v="0"/>
    <n v="0"/>
    <n v="0"/>
  </r>
  <r>
    <x v="6"/>
    <s v="6012 - DEFESA NACIONAL"/>
    <x v="134"/>
    <n v="0"/>
    <n v="0"/>
    <n v="0"/>
  </r>
  <r>
    <x v="6"/>
    <s v="5033 - SEGURANCA ALIMENTAR E NUTRICIONAL"/>
    <x v="370"/>
    <n v="38298.080000000002"/>
    <n v="38298.080000000002"/>
    <n v="1538298.08"/>
  </r>
  <r>
    <x v="6"/>
    <s v="5020 - DESENVOLVIMENTO CIENTIFICO, TECNOLOGICO E PRODUTIVO EM SAUDE"/>
    <x v="1032"/>
    <n v="0"/>
    <n v="0"/>
    <n v="0"/>
  </r>
  <r>
    <x v="6"/>
    <s v="3006 - TRANSPORTE TERRESTRE E TRANSITO"/>
    <x v="450"/>
    <n v="34003185.920000002"/>
    <n v="11539246.91"/>
    <n v="11539246.91"/>
  </r>
  <r>
    <x v="6"/>
    <s v="2081 - JUSTICA, CIDADANIA E SEGURANCA PUBLICA"/>
    <x v="1000"/>
    <n v="0"/>
    <n v="0"/>
    <n v="0"/>
  </r>
  <r>
    <x v="6"/>
    <s v="2206 - POLITICA NUCLEAR"/>
    <x v="687"/>
    <n v="185570.86"/>
    <n v="107791.93"/>
    <n v="110594.35"/>
  </r>
  <r>
    <x v="6"/>
    <s v="2217 - DESENVOLVIMENTO REGIONAL, TERRITORIAL E URBANO"/>
    <x v="213"/>
    <n v="3014000"/>
    <n v="469643.34"/>
    <n v="200513.11"/>
  </r>
  <r>
    <x v="6"/>
    <s v="0032 - PROGRAMA DE GESTAO E MANUTENCAO DO PODER EXECUTIVO"/>
    <x v="481"/>
    <n v="15718586.67"/>
    <n v="16238604.16"/>
    <n v="15649753.4"/>
  </r>
  <r>
    <x v="6"/>
    <s v="5018 - ATENCAO ESPECIALIZADA A SAUDE"/>
    <x v="479"/>
    <n v="0"/>
    <n v="0"/>
    <n v="0"/>
  </r>
  <r>
    <x v="6"/>
    <s v="2217 - DESENVOLVIMENTO REGIONAL, TERRITORIAL E URBANO"/>
    <x v="839"/>
    <n v="175410"/>
    <n v="0"/>
    <n v="0"/>
  </r>
  <r>
    <x v="6"/>
    <s v="2077 - AGROPECUARIA SUSTENTAVEL"/>
    <x v="713"/>
    <n v="0"/>
    <n v="0"/>
    <n v="0"/>
  </r>
  <r>
    <x v="6"/>
    <s v="6012 - DEFESA NACIONAL"/>
    <x v="492"/>
    <n v="1698843.36"/>
    <n v="725012.62"/>
    <n v="879957.62"/>
  </r>
  <r>
    <x v="6"/>
    <s v="5013 - EDUCACAO SUPERIOR - GRADUACAO, POS-GRADUACAO, ENSINO, PESQUISA E EXTENSAO"/>
    <x v="409"/>
    <n v="4774275.1500000004"/>
    <n v="4776000"/>
    <n v="4774275.1500000004"/>
  </r>
  <r>
    <x v="6"/>
    <s v="0032 - PROGRAMA DE GESTAO E MANUTENCAO DO PODER EXECUTIVO"/>
    <x v="649"/>
    <n v="370000"/>
    <n v="453286.16"/>
    <n v="444962.19"/>
  </r>
  <r>
    <x v="6"/>
    <s v="0032 - PROGRAMA DE GESTAO E MANUTENCAO DO PODER EXECUTIVO"/>
    <x v="552"/>
    <n v="100000"/>
    <n v="17227.68"/>
    <n v="17227.68"/>
  </r>
  <r>
    <x v="6"/>
    <s v="0032 - PROGRAMA DE GESTAO E MANUTENCAO DO PODER EXECUTIVO"/>
    <x v="945"/>
    <n v="-3727.36"/>
    <n v="0"/>
    <n v="0"/>
  </r>
  <r>
    <x v="6"/>
    <s v="5013 - EDUCACAO SUPERIOR - GRADUACAO, POS-GRADUACAO, ENSINO, PESQUISA E EXTENSAO"/>
    <x v="571"/>
    <n v="9180"/>
    <n v="53947.35"/>
    <n v="43301.14"/>
  </r>
  <r>
    <x v="6"/>
    <s v="1031 - AGROPECUARIA SUSTENTAVEL"/>
    <x v="468"/>
    <n v="71922.460000000006"/>
    <n v="16421.39"/>
    <n v="16224.46"/>
  </r>
  <r>
    <x v="6"/>
    <s v="2221 - RECURSOS HIDRICOS"/>
    <x v="204"/>
    <n v="283035"/>
    <n v="13681.8"/>
    <n v="2562.5300000000002"/>
  </r>
  <r>
    <x v="6"/>
    <s v="5023 - VIGILANCIA EM SAUDE"/>
    <x v="115"/>
    <n v="109643863.81"/>
    <n v="109801874.84999999"/>
    <n v="109801874.84999999"/>
  </r>
  <r>
    <x v="6"/>
    <s v="6012 - DEFESA NACIONAL"/>
    <x v="273"/>
    <n v="693647.27"/>
    <n v="1098486.44"/>
    <n v="1049213.79"/>
  </r>
  <r>
    <x v="6"/>
    <s v="2204 - BRASIL NA FRONTEIRA DO CONHECIMENTO"/>
    <x v="11"/>
    <n v="767540.54"/>
    <n v="0"/>
    <n v="0"/>
  </r>
  <r>
    <x v="6"/>
    <s v="0909 - OPERACOES ESPECIAIS: OUTROS ENCARGOS ESPECIAIS"/>
    <x v="821"/>
    <n v="50390476.920000002"/>
    <n v="11984901.449999999"/>
    <n v="11984901.449999999"/>
  </r>
  <r>
    <x v="6"/>
    <s v="5016 - SEGURANCA PUBLICA, COMBATE A CORRUPCAO, AO CRIME ORGANIZADO E AO CRIME VIOLENTO"/>
    <x v="439"/>
    <n v="562142.26"/>
    <n v="431695.01"/>
    <n v="395865.55"/>
  </r>
  <r>
    <x v="6"/>
    <s v="6012 - DEFESA NACIONAL"/>
    <x v="751"/>
    <n v="287372.83"/>
    <n v="297526.89"/>
    <n v="269462.52"/>
  </r>
  <r>
    <x v="6"/>
    <s v="2035 - ESPORTE, CIDADANIA E DESENVOLVIMENTO"/>
    <x v="223"/>
    <n v="0"/>
    <n v="0"/>
    <n v="0"/>
  </r>
  <r>
    <x v="6"/>
    <s v="2115 - PROGRAMA DE GESTAO E MANUTENCAO DO MINISTERIO DA SAUDE"/>
    <x v="52"/>
    <n v="0"/>
    <n v="0"/>
    <n v="0"/>
  </r>
  <r>
    <x v="6"/>
    <s v="5013 - EDUCACAO SUPERIOR - GRADUACAO, POS-GRADUACAO, ENSINO, PESQUISA E EXTENSAO"/>
    <x v="400"/>
    <n v="104630710.08"/>
    <n v="106303461.68000001"/>
    <n v="106303461.68000001"/>
  </r>
  <r>
    <x v="6"/>
    <s v="1128 - URBANIZACAO, REGULARIZACAO FUNDIARIA E INTEGRACAO DE ASSENTAMENTOS PRECARIOS"/>
    <x v="924"/>
    <n v="0"/>
    <n v="0"/>
    <n v="0"/>
  </r>
  <r>
    <x v="6"/>
    <s v="3006 - TRANSPORTE TERRESTRE E TRANSITO"/>
    <x v="853"/>
    <n v="28088373"/>
    <n v="203922.58"/>
    <n v="203922.58"/>
  </r>
  <r>
    <x v="6"/>
    <s v="5034 - PROTECAO A VIDA, FORTALECIMENTO DA FAMILIA, PROMOCAO E DEFESA DOS DIREITOS HUMANOS PARA TODOS"/>
    <x v="455"/>
    <n v="0"/>
    <n v="0"/>
    <n v="0"/>
  </r>
  <r>
    <x v="6"/>
    <s v="1058 - MUDANCA DO CLIMA"/>
    <x v="931"/>
    <n v="51315.35"/>
    <n v="28089.279999999999"/>
    <n v="26726.5"/>
  </r>
  <r>
    <x v="6"/>
    <s v="2214 - NOVA PREVIDENCIA"/>
    <x v="523"/>
    <n v="-18652.75"/>
    <n v="10072.82"/>
    <n v="18076"/>
  </r>
  <r>
    <x v="6"/>
    <s v="5025 - CULTURA"/>
    <x v="74"/>
    <n v="33600000"/>
    <n v="0"/>
    <n v="0"/>
  </r>
  <r>
    <x v="6"/>
    <s v="2208 - TECNOLOGIAS APLICADAS, INOVACAO E DESENVOLVIMENTO SUSTENTAVEL"/>
    <x v="891"/>
    <n v="2340000"/>
    <n v="0"/>
    <n v="0"/>
  </r>
  <r>
    <x v="6"/>
    <s v="2106 - PROGRAMA DE GESTAO E MANUTENCAO DO MINISTERIO DA CIENCIA, TECNOLOGIA, INOVACOES E COMUNICACOES"/>
    <x v="52"/>
    <n v="0"/>
    <n v="0"/>
    <n v="0"/>
  </r>
  <r>
    <x v="6"/>
    <s v="2204 - BRASIL NA FRONTEIRA DO CONHECIMENTO"/>
    <x v="598"/>
    <n v="6501529.6500000004"/>
    <n v="120288871.92"/>
    <n v="115241669.45"/>
  </r>
  <r>
    <x v="6"/>
    <s v="2208 - TECNOLOGIAS APLICADAS, INOVACAO E DESENVOLVIMENTO SUSTENTAVEL"/>
    <x v="239"/>
    <n v="20000"/>
    <n v="22521.07"/>
    <n v="22521.07"/>
  </r>
  <r>
    <x v="6"/>
    <s v="0032 - PROGRAMA DE GESTAO E MANUTENCAO DO PODER EXECUTIVO"/>
    <x v="626"/>
    <n v="931290.47"/>
    <n v="0"/>
    <n v="347000"/>
  </r>
  <r>
    <x v="6"/>
    <s v="2204 - BRASIL NA FRONTEIRA DO CONHECIMENTO"/>
    <x v="29"/>
    <n v="3"/>
    <n v="156908.65"/>
    <n v="155498.82"/>
  </r>
  <r>
    <x v="6"/>
    <s v="2208 - TECNOLOGIAS APLICADAS, INOVACAO E DESENVOLVIMENTO SUSTENTAVEL"/>
    <x v="333"/>
    <n v="6383440.75"/>
    <n v="6811825.1200000001"/>
    <n v="6777128.1200000001"/>
  </r>
  <r>
    <x v="6"/>
    <s v="2206 - POLITICA NUCLEAR"/>
    <x v="10"/>
    <n v="-407207.9"/>
    <n v="4733164.5199999996"/>
    <n v="4375546.6399999997"/>
  </r>
  <r>
    <x v="6"/>
    <s v="5013 - EDUCACAO SUPERIOR - GRADUACAO, POS-GRADUACAO, ENSINO, PESQUISA E EXTENSAO"/>
    <x v="123"/>
    <n v="7783300"/>
    <n v="19927600"/>
    <n v="27419700"/>
  </r>
  <r>
    <x v="6"/>
    <s v="5016 - SEGURANCA PUBLICA, COMBATE A CORRUPCAO, AO CRIME ORGANIZADO E AO CRIME VIOLENTO"/>
    <x v="516"/>
    <n v="38506386.329999998"/>
    <n v="3692038.47"/>
    <n v="3765947.3"/>
  </r>
  <r>
    <x v="6"/>
    <s v="1031 - AGROPECUARIA SUSTENTAVEL"/>
    <x v="899"/>
    <n v="1479054.08"/>
    <n v="56450.3"/>
    <n v="4660.26"/>
  </r>
  <r>
    <x v="6"/>
    <s v="0031 - PROGRAMA DE GESTAO E MANUTENCAO DO MINISTERIO PUBLICO"/>
    <x v="67"/>
    <n v="38909.47"/>
    <n v="143054.84"/>
    <n v="136185.09"/>
  </r>
  <r>
    <x v="6"/>
    <s v="0032 - PROGRAMA DE GESTAO E MANUTENCAO DO PODER EXECUTIVO"/>
    <x v="356"/>
    <n v="105556395.84999999"/>
    <n v="23557830.09"/>
    <n v="25314251.280000001"/>
  </r>
  <r>
    <x v="6"/>
    <s v="3002 - GEOLOGIA, MINERACAO E TRANSFORMACAO MINERAL"/>
    <x v="830"/>
    <n v="0"/>
    <n v="18072.89"/>
    <n v="18072.89"/>
  </r>
  <r>
    <x v="6"/>
    <s v="5021 - GESTAO E ORGANIZACAO DO SUS"/>
    <x v="326"/>
    <n v="1800000"/>
    <n v="1760507.32"/>
    <n v="1656572.93"/>
  </r>
  <r>
    <x v="6"/>
    <s v="2015 - FORTALECIMENTO DO SISTEMA UNICO DE SAUDE (SUS)"/>
    <x v="1152"/>
    <n v="0"/>
    <n v="0"/>
    <n v="0"/>
  </r>
  <r>
    <x v="6"/>
    <s v="5013 - EDUCACAO SUPERIOR - GRADUACAO, POS-GRADUACAO, ENSINO, PESQUISA E EXTENSAO"/>
    <x v="58"/>
    <n v="0"/>
    <n v="2091294.72"/>
    <n v="2091294.72"/>
  </r>
  <r>
    <x v="6"/>
    <s v="6012 - DEFESA NACIONAL"/>
    <x v="591"/>
    <n v="-80685.13"/>
    <n v="0"/>
    <n v="31522.87"/>
  </r>
  <r>
    <x v="6"/>
    <s v="2221 - RECURSOS HIDRICOS"/>
    <x v="486"/>
    <n v="458000"/>
    <n v="552278.4"/>
    <n v="533420.93000000005"/>
  </r>
  <r>
    <x v="6"/>
    <s v="3006 - TRANSPORTE TERRESTRE E TRANSITO"/>
    <x v="120"/>
    <n v="0"/>
    <n v="0"/>
    <n v="0"/>
  </r>
  <r>
    <x v="6"/>
    <s v="2208 - TECNOLOGIAS APLICADAS, INOVACAO E DESENVOLVIMENTO SUSTENTAVEL"/>
    <x v="804"/>
    <n v="2150000"/>
    <n v="1507699.99"/>
    <n v="1499999.99"/>
  </r>
  <r>
    <x v="6"/>
    <s v="6012 - DEFESA NACIONAL"/>
    <x v="652"/>
    <n v="6081472.6399999997"/>
    <n v="44521922.469999999"/>
    <n v="47582328.640000001"/>
  </r>
  <r>
    <x v="6"/>
    <s v="3006 - TRANSPORTE TERRESTRE E TRANSITO"/>
    <x v="808"/>
    <n v="0"/>
    <n v="210235.12"/>
    <n v="210235.12"/>
  </r>
  <r>
    <x v="6"/>
    <s v="0032 - PROGRAMA DE GESTAO E MANUTENCAO DO PODER EXECUTIVO"/>
    <x v="517"/>
    <n v="541300"/>
    <n v="243247.32"/>
    <n v="252219.72"/>
  </r>
  <r>
    <x v="6"/>
    <s v="6012 - DEFESA NACIONAL"/>
    <x v="98"/>
    <n v="62983.75"/>
    <n v="44975.42"/>
    <n v="44444.43"/>
  </r>
  <r>
    <x v="6"/>
    <s v="1031 - AGROPECUARIA SUSTENTAVEL"/>
    <x v="294"/>
    <n v="138342525.22"/>
    <n v="149113926.44"/>
    <n v="122947849.09999999"/>
  </r>
  <r>
    <x v="6"/>
    <s v="3001 - ENERGIA ELETRICA"/>
    <x v="915"/>
    <n v="0"/>
    <n v="45947.44"/>
    <n v="45947.44"/>
  </r>
  <r>
    <x v="6"/>
    <s v="6011 - COOPERACAO COM O DESENVOLVIMENTO NACIONAL"/>
    <x v="721"/>
    <n v="148502.39000000001"/>
    <n v="1172475.44"/>
    <n v="1016861.41"/>
  </r>
  <r>
    <x v="6"/>
    <s v="0903 - OPERACOES ESPECIAIS: TRANSFERENCIAS CONSTITUCIONAIS E AS DECORRENTES DE LEGISLACAO ESPECIFICA"/>
    <x v="375"/>
    <n v="0"/>
    <n v="373073009.16000003"/>
    <n v="373073009.16000003"/>
  </r>
  <r>
    <x v="6"/>
    <s v="5033 - SEGURANCA ALIMENTAR E NUTRICIONAL"/>
    <x v="910"/>
    <n v="24737600.850000001"/>
    <n v="0"/>
    <n v="0"/>
  </r>
  <r>
    <x v="6"/>
    <s v="0032 - PROGRAMA DE GESTAO E MANUTENCAO DO PODER EXECUTIVO"/>
    <x v="644"/>
    <n v="24063036.789999999"/>
    <n v="3782596.99"/>
    <n v="3506744.74"/>
  </r>
  <r>
    <x v="6"/>
    <s v="5021 - GESTAO E ORGANIZACAO DO SUS"/>
    <x v="475"/>
    <n v="138081.63"/>
    <n v="3688771.27"/>
    <n v="3336502.92"/>
  </r>
  <r>
    <x v="6"/>
    <s v="1031 - AGROPECUARIA SUSTENTAVEL"/>
    <x v="562"/>
    <n v="-207811.25"/>
    <n v="1483430.29"/>
    <n v="1502646.97"/>
  </r>
  <r>
    <x v="6"/>
    <s v="2208 - TECNOLOGIAS APLICADAS, INOVACAO E DESENVOLVIMENTO SUSTENTAVEL"/>
    <x v="179"/>
    <n v="22677447.449999999"/>
    <n v="3769346.14"/>
    <n v="2702192.54"/>
  </r>
  <r>
    <x v="6"/>
    <s v="5031 - PROTECAO SOCIAL NO AMBITO DO SISTEMA UNICO DE ASSISTENCIA SOCIAL (SUAS)"/>
    <x v="377"/>
    <n v="95234773.060000002"/>
    <n v="100536002.03"/>
    <n v="100540200.02"/>
  </r>
  <r>
    <x v="6"/>
    <s v="0901 - OPERACOES ESPECIAIS: CUMPRIMENTO DE SENTENCAS JUDICIAIS"/>
    <x v="606"/>
    <n v="29755987.489999998"/>
    <n v="39477918.119999997"/>
    <n v="39477918.119999997"/>
  </r>
  <r>
    <x v="6"/>
    <s v="2015 - FORTALECIMENTO DO SISTEMA UNICO DE SAUDE (SUS)"/>
    <x v="1020"/>
    <n v="0"/>
    <n v="0"/>
    <n v="0"/>
  </r>
  <r>
    <x v="6"/>
    <s v="6012 - DEFESA NACIONAL"/>
    <x v="746"/>
    <n v="3362565.12"/>
    <n v="455891.38"/>
    <n v="518496.54"/>
  </r>
  <r>
    <x v="6"/>
    <s v="0911 - OPERACOES ESPECIAIS - REMUNERACAO DE AGENTES FINANCEIROS"/>
    <x v="650"/>
    <n v="106247219.84"/>
    <n v="84311263.219999999"/>
    <n v="81298941.959999993"/>
  </r>
  <r>
    <x v="6"/>
    <s v="0032 - PROGRAMA DE GESTAO E MANUTENCAO DO PODER EXECUTIVO"/>
    <x v="1091"/>
    <n v="0"/>
    <n v="0"/>
    <n v="0"/>
  </r>
  <r>
    <x v="6"/>
    <s v="2221 - RECURSOS HIDRICOS"/>
    <x v="167"/>
    <n v="0"/>
    <n v="8212811.9900000002"/>
    <n v="4178386.11"/>
  </r>
  <r>
    <x v="6"/>
    <s v="6012 - DEFESA NACIONAL"/>
    <x v="254"/>
    <n v="486807914.54000002"/>
    <n v="39727476.049999997"/>
    <n v="39727476.049999997"/>
  </r>
  <r>
    <x v="6"/>
    <s v="2221 - RECURSOS HIDRICOS"/>
    <x v="645"/>
    <n v="54212.6"/>
    <n v="148707.85"/>
    <n v="97449.18"/>
  </r>
  <r>
    <x v="6"/>
    <s v="2201 - BRASIL MODERNIZA"/>
    <x v="209"/>
    <n v="5168072.0999999996"/>
    <n v="16387913.470000001"/>
    <n v="15991298.949999999"/>
  </r>
  <r>
    <x v="6"/>
    <s v="5017 - ASSISTENCIA FARMACEUTICA NO SUS"/>
    <x v="388"/>
    <n v="593522459.66999996"/>
    <n v="373342890.12"/>
    <n v="253865829.47"/>
  </r>
  <r>
    <x v="6"/>
    <s v="1040 - GOVERNANCA FUNDIARIA"/>
    <x v="281"/>
    <n v="317996.79999999999"/>
    <n v="79513.89"/>
    <n v="64339.63"/>
  </r>
  <r>
    <x v="6"/>
    <s v="6012 - DEFESA NACIONAL"/>
    <x v="881"/>
    <n v="126414.31"/>
    <n v="16203.54"/>
    <n v="16203.54"/>
  </r>
  <r>
    <x v="6"/>
    <s v="1040 - GOVERNANCA FUNDIARIA"/>
    <x v="737"/>
    <n v="2547767.58"/>
    <n v="551127.64"/>
    <n v="1746871.34"/>
  </r>
  <r>
    <x v="6"/>
    <s v="2208 - TECNOLOGIAS APLICADAS, INOVACAO E DESENVOLVIMENTO SUSTENTAVEL"/>
    <x v="922"/>
    <n v="3319271.82"/>
    <n v="719271.82"/>
    <n v="719271.82"/>
  </r>
  <r>
    <x v="6"/>
    <s v="2210 - EMPREGABILIDADE"/>
    <x v="803"/>
    <n v="0"/>
    <n v="1931.11"/>
    <n v="1931.11"/>
  </r>
  <r>
    <x v="6"/>
    <s v="0032 - PROGRAMA DE GESTAO E MANUTENCAO DO PODER EXECUTIVO"/>
    <x v="367"/>
    <n v="3081101.46"/>
    <n v="0"/>
    <n v="0"/>
  </r>
  <r>
    <x v="6"/>
    <s v="2204 - BRASIL NA FRONTEIRA DO CONHECIMENTO"/>
    <x v="540"/>
    <n v="1312000"/>
    <n v="1229035.6499999999"/>
    <n v="1229035.6499999999"/>
  </r>
  <r>
    <x v="6"/>
    <s v="2221 - RECURSOS HIDRICOS"/>
    <x v="232"/>
    <n v="50007326.009999998"/>
    <n v="843584.38"/>
    <n v="843193.72"/>
  </r>
  <r>
    <x v="6"/>
    <s v="5021 - GESTAO E ORGANIZACAO DO SUS"/>
    <x v="46"/>
    <n v="474519.57"/>
    <n v="2259094.88"/>
    <n v="1933497.45"/>
  </r>
  <r>
    <x v="6"/>
    <s v="6012 - DEFESA NACIONAL"/>
    <x v="257"/>
    <n v="2717512.06"/>
    <n v="102286114.2"/>
    <n v="102286114.2"/>
  </r>
  <r>
    <x v="6"/>
    <s v="2217 - DESENVOLVIMENTO REGIONAL, TERRITORIAL E URBANO"/>
    <x v="621"/>
    <n v="-22761.91"/>
    <n v="893917.74"/>
    <n v="1047732.11"/>
  </r>
  <r>
    <x v="6"/>
    <s v="6011 - COOPERACAO COM O DESENVOLVIMENTO NACIONAL"/>
    <x v="852"/>
    <n v="1305954.31"/>
    <n v="470288.79"/>
    <n v="470046.79"/>
  </r>
  <r>
    <x v="6"/>
    <s v="2217 - DESENVOLVIMENTO REGIONAL, TERRITORIAL E URBANO"/>
    <x v="1153"/>
    <n v="52885492"/>
    <n v="0"/>
    <n v="0"/>
  </r>
  <r>
    <x v="6"/>
    <s v="3006 - TRANSPORTE TERRESTRE E TRANSITO"/>
    <x v="539"/>
    <n v="41239152.32"/>
    <n v="20060286.300000001"/>
    <n v="17592217.039999999"/>
  </r>
  <r>
    <x v="6"/>
    <s v="5025 - CULTURA"/>
    <x v="1011"/>
    <n v="1025656062"/>
    <n v="200000000"/>
    <n v="237740302"/>
  </r>
  <r>
    <x v="6"/>
    <s v="6012 - DEFESA NACIONAL"/>
    <x v="726"/>
    <n v="-23752345.940000001"/>
    <n v="25250697.309999999"/>
    <n v="38286637.039999999"/>
  </r>
  <r>
    <x v="6"/>
    <s v="5017 - ASSISTENCIA FARMACEUTICA NO SUS"/>
    <x v="219"/>
    <n v="126289033.48"/>
    <n v="213876153.59"/>
    <n v="241066883.09"/>
  </r>
  <r>
    <x v="6"/>
    <s v="6013 - OCEANOS, ZONA COSTEIRA E ANTARTICA"/>
    <x v="764"/>
    <n v="26490.81"/>
    <n v="95191.92"/>
    <n v="91440.68"/>
  </r>
  <r>
    <x v="6"/>
    <s v="5018 - ATENCAO ESPECIALIZADA A SAUDE"/>
    <x v="1154"/>
    <n v="28998"/>
    <n v="0"/>
    <n v="0"/>
  </r>
  <r>
    <x v="6"/>
    <s v="0461 - PROMOCAO DA PESQUISA E DO DESENVOLVIMENTO CIENTIFICO E TECNOLOGICO"/>
    <x v="71"/>
    <n v="1291144.78"/>
    <n v="1288893.28"/>
    <n v="1288893.28"/>
  </r>
  <r>
    <x v="6"/>
    <s v="4001 - COMUNICACAO PUBLICA E DIVULGACAO DE ATOS E MATERIAS DO GOVERNO FEDERAL"/>
    <x v="35"/>
    <n v="11737831"/>
    <n v="6596044.9199999999"/>
    <n v="10127301.99"/>
  </r>
  <r>
    <x v="6"/>
    <s v="5021 - GESTAO E ORGANIZACAO DO SUS"/>
    <x v="312"/>
    <n v="0"/>
    <n v="168696.29"/>
    <n v="169744.14"/>
  </r>
  <r>
    <x v="6"/>
    <s v="2222 - SANEAMENTO BASICO"/>
    <x v="727"/>
    <n v="-223116.51"/>
    <n v="0"/>
    <n v="0"/>
  </r>
  <r>
    <x v="6"/>
    <s v="2080 - EDUCACAO DE QUALIDADE PARA TODOS"/>
    <x v="365"/>
    <n v="0"/>
    <n v="0"/>
    <n v="0"/>
  </r>
  <r>
    <x v="6"/>
    <s v="2215 - POLITICA ECONOMICA E EQUILIBRIO FISCAL"/>
    <x v="364"/>
    <n v="239459.09"/>
    <n v="895796.52"/>
    <n v="718655.38"/>
  </r>
  <r>
    <x v="6"/>
    <s v="1128 - URBANIZACAO, REGULARIZACAO FUNDIARIA E INTEGRACAO DE ASSENTAMENTOS PRECARIOS"/>
    <x v="319"/>
    <n v="0"/>
    <n v="0"/>
    <n v="0"/>
  </r>
  <r>
    <x v="6"/>
    <s v="3006 - TRANSPORTE TERRESTRE E TRANSITO"/>
    <x v="994"/>
    <n v="1710294.49"/>
    <n v="409975.51"/>
    <n v="397174.04"/>
  </r>
  <r>
    <x v="6"/>
    <s v="2221 - RECURSOS HIDRICOS"/>
    <x v="484"/>
    <n v="2598245.9700000002"/>
    <n v="10967125.41"/>
    <n v="10867167.6"/>
  </r>
  <r>
    <x v="6"/>
    <s v="5018 - ATENCAO ESPECIALIZADA A SAUDE"/>
    <x v="366"/>
    <n v="60072670.090000004"/>
    <n v="95350391.950000003"/>
    <n v="103165513.09"/>
  </r>
  <r>
    <x v="6"/>
    <s v="5031 - PROTECAO SOCIAL NO AMBITO DO SISTEMA UNICO DE ASSISTENCIA SOCIAL (SUAS)"/>
    <x v="463"/>
    <n v="180396606.47999999"/>
    <n v="271491073.30000001"/>
    <n v="271491073.30000001"/>
  </r>
  <r>
    <x v="6"/>
    <s v="3001 - ENERGIA ELETRICA"/>
    <x v="106"/>
    <n v="770756.84"/>
    <n v="380804.66"/>
    <n v="404691.28"/>
  </r>
  <r>
    <x v="6"/>
    <s v="5016 - SEGURANCA PUBLICA, COMBATE A CORRUPCAO, AO CRIME ORGANIZADO E AO CRIME VIOLENTO"/>
    <x v="487"/>
    <n v="35011290.07"/>
    <n v="1664032.04"/>
    <n v="1799984.6"/>
  </r>
  <r>
    <x v="6"/>
    <s v="0901 - OPERACOES ESPECIAIS: CUMPRIMENTO DE SENTENCAS JUDICIAIS"/>
    <x v="684"/>
    <n v="21800482.309999999"/>
    <n v="134454767.47999999"/>
    <n v="135811539.21000001"/>
  </r>
  <r>
    <x v="6"/>
    <s v="0032 - PROGRAMA DE GESTAO E MANUTENCAO DO PODER EXECUTIVO"/>
    <x v="349"/>
    <n v="19584.16"/>
    <n v="569781.01"/>
    <n v="564867.13"/>
  </r>
  <r>
    <x v="6"/>
    <s v="5016 - SEGURANCA PUBLICA, COMBATE A CORRUPCAO, AO CRIME ORGANIZADO E AO CRIME VIOLENTO"/>
    <x v="79"/>
    <n v="18287926.550000001"/>
    <n v="1725278.95"/>
    <n v="1725344.47"/>
  </r>
  <r>
    <x v="6"/>
    <s v="3001 - ENERGIA ELETRICA"/>
    <x v="868"/>
    <n v="85000"/>
    <n v="56786.14"/>
    <n v="60112.62"/>
  </r>
  <r>
    <x v="6"/>
    <s v="5033 - SEGURANCA ALIMENTAR E NUTRICIONAL"/>
    <x v="564"/>
    <n v="0"/>
    <n v="0"/>
    <n v="0"/>
  </r>
  <r>
    <x v="6"/>
    <s v="6012 - DEFESA NACIONAL"/>
    <x v="878"/>
    <n v="-132724.49"/>
    <n v="210401.87"/>
    <n v="217252.78"/>
  </r>
  <r>
    <x v="6"/>
    <s v="5021 - GESTAO E ORGANIZACAO DO SUS"/>
    <x v="593"/>
    <n v="300000"/>
    <n v="867924.39"/>
    <n v="27165537.620000001"/>
  </r>
  <r>
    <x v="6"/>
    <s v="2217 - DESENVOLVIMENTO REGIONAL, TERRITORIAL E URBANO"/>
    <x v="196"/>
    <n v="307025.8"/>
    <n v="308131.55"/>
    <n v="306969.21999999997"/>
  </r>
  <r>
    <x v="6"/>
    <s v="6012 - DEFESA NACIONAL"/>
    <x v="596"/>
    <n v="140682.16"/>
    <n v="760107.32"/>
    <n v="512797.64"/>
  </r>
  <r>
    <x v="6"/>
    <s v="2081 - JUSTICA, CIDADANIA E SEGURANCA PUBLICA"/>
    <x v="308"/>
    <n v="0"/>
    <n v="0"/>
    <n v="0"/>
  </r>
  <r>
    <x v="6"/>
    <s v="2208 - TECNOLOGIAS APLICADAS, INOVACAO E DESENVOLVIMENTO SUSTENTAVEL"/>
    <x v="260"/>
    <n v="16735545.15"/>
    <n v="7754363.9900000002"/>
    <n v="6245875.9900000002"/>
  </r>
  <r>
    <x v="6"/>
    <s v="2207 - PROGRAMA ESPACIAL BRASILEIRO"/>
    <x v="45"/>
    <n v="225587.15"/>
    <n v="629880.06000000006"/>
    <n v="166604.79999999999"/>
  </r>
  <r>
    <x v="6"/>
    <s v="2214 - NOVA PREVIDENCIA"/>
    <x v="345"/>
    <n v="41900851.920000002"/>
    <n v="33419585.109999999"/>
    <n v="35950511.710000001"/>
  </r>
  <r>
    <x v="6"/>
    <s v="3004 - AVIACAO CIVIL"/>
    <x v="85"/>
    <n v="1320232.56"/>
    <n v="0"/>
    <n v="0"/>
  </r>
  <r>
    <x v="6"/>
    <s v="2205 - CONECTA BRASIL"/>
    <x v="686"/>
    <n v="2141794.06"/>
    <n v="2385582.8199999998"/>
    <n v="2329536.6800000002"/>
  </r>
  <r>
    <x v="6"/>
    <s v="3004 - AVIACAO CIVIL"/>
    <x v="379"/>
    <n v="10077969"/>
    <n v="0"/>
    <n v="0"/>
  </r>
  <r>
    <x v="6"/>
    <s v="0032 - PROGRAMA DE GESTAO E MANUTENCAO DO PODER EXECUTIVO"/>
    <x v="691"/>
    <n v="90.22"/>
    <n v="42016.62"/>
    <n v="42016.62"/>
  </r>
  <r>
    <x v="6"/>
    <s v="0902 - OPERACOES ESPECIAIS: FINANCIAMENTOS COM RETORNO"/>
    <x v="390"/>
    <n v="234400"/>
    <n v="376400"/>
    <n v="376400"/>
  </r>
  <r>
    <x v="6"/>
    <s v="2080 - EDUCACAO DE QUALIDADE PARA TODOS"/>
    <x v="682"/>
    <n v="0"/>
    <n v="0"/>
    <n v="0"/>
  </r>
  <r>
    <x v="6"/>
    <s v="2037 - CONSOLIDACAO DO SISTEMA UNICO DE ASSISTENCIA SOCIAL (SUAS)"/>
    <x v="41"/>
    <n v="0"/>
    <n v="0"/>
    <n v="0"/>
  </r>
  <r>
    <x v="6"/>
    <s v="5020 - DESENVOLVIMENTO CIENTIFICO, TECNOLOGICO E PRODUTIVO EM SAUDE"/>
    <x v="612"/>
    <n v="2200000"/>
    <n v="0"/>
    <n v="0"/>
  </r>
  <r>
    <x v="6"/>
    <s v="3006 - TRANSPORTE TERRESTRE E TRANSITO"/>
    <x v="421"/>
    <n v="69307.05"/>
    <n v="6383025.0300000003"/>
    <n v="5695284.5599999996"/>
  </r>
  <r>
    <x v="6"/>
    <s v="2216 - POLITICA EXTERNA"/>
    <x v="289"/>
    <n v="99694.99"/>
    <n v="492269.43"/>
    <n v="492664.64"/>
  </r>
  <r>
    <x v="6"/>
    <s v="0032 - PROGRAMA DE GESTAO E MANUTENCAO DO PODER EXECUTIVO"/>
    <x v="295"/>
    <n v="127000"/>
    <n v="184425.12"/>
    <n v="184425.12"/>
  </r>
  <r>
    <x v="6"/>
    <s v="6012 - DEFESA NACIONAL"/>
    <x v="471"/>
    <n v="8086.98"/>
    <n v="44768.24"/>
    <n v="67618.2"/>
  </r>
  <r>
    <x v="6"/>
    <s v="5033 - SEGURANCA ALIMENTAR E NUTRICIONAL"/>
    <x v="901"/>
    <n v="0"/>
    <n v="-50"/>
    <n v="-50"/>
  </r>
  <r>
    <x v="6"/>
    <s v="2202 - DEFESA AGROPECUARIA"/>
    <x v="720"/>
    <n v="531079.57999999996"/>
    <n v="725641.08"/>
    <n v="658718.51"/>
  </r>
  <r>
    <x v="6"/>
    <s v="6012 - DEFESA NACIONAL"/>
    <x v="683"/>
    <n v="3471919.33"/>
    <n v="442794.37"/>
    <n v="366938.41"/>
  </r>
  <r>
    <x v="6"/>
    <s v="3002 - GEOLOGIA, MINERACAO E TRANSFORMACAO MINERAL"/>
    <x v="743"/>
    <n v="335391.48"/>
    <n v="352238.05"/>
    <n v="839064.6"/>
  </r>
  <r>
    <x v="6"/>
    <s v="3001 - ENERGIA ELETRICA"/>
    <x v="613"/>
    <n v="0"/>
    <n v="1456.06"/>
    <n v="1428.68"/>
  </r>
  <r>
    <x v="6"/>
    <s v="2221 - RECURSOS HIDRICOS"/>
    <x v="573"/>
    <n v="19442.88"/>
    <n v="286590.96999999997"/>
    <n v="279064.06"/>
  </r>
  <r>
    <x v="6"/>
    <s v="0909 - OPERACOES ESPECIAIS: OUTROS ENCARGOS ESPECIAIS"/>
    <x v="950"/>
    <n v="20526"/>
    <n v="20526"/>
    <n v="20526"/>
  </r>
  <r>
    <x v="6"/>
    <s v="2015 - FORTALECIMENTO DO SISTEMA UNICO DE SAUDE (SUS)"/>
    <x v="234"/>
    <n v="0"/>
    <n v="0"/>
    <n v="0"/>
  </r>
  <r>
    <x v="6"/>
    <s v="5012 - EDUCACAO PROFISSIONAL E TECNOLOGICA"/>
    <x v="144"/>
    <n v="0"/>
    <n v="0"/>
    <n v="0"/>
  </r>
  <r>
    <x v="6"/>
    <s v="0032 - PROGRAMA DE GESTAO E MANUTENCAO DO PODER EXECUTIVO"/>
    <x v="802"/>
    <n v="0"/>
    <n v="63867.81"/>
    <n v="69739.61"/>
  </r>
  <r>
    <x v="6"/>
    <s v="2208 - TECNOLOGIAS APLICADAS, INOVACAO E DESENVOLVIMENTO SUSTENTAVEL"/>
    <x v="900"/>
    <n v="0"/>
    <n v="0"/>
    <n v="0"/>
  </r>
  <r>
    <x v="6"/>
    <s v="1041 - CONSERVACAO E USO SUSTENTAVEL DA BIODIVERSIDADE E DOS RECURSOS NATURAIS"/>
    <x v="568"/>
    <n v="1410583.14"/>
    <n v="702242.95"/>
    <n v="699642.24"/>
  </r>
  <r>
    <x v="6"/>
    <s v="6012 - DEFESA NACIONAL"/>
    <x v="279"/>
    <n v="334.83"/>
    <n v="9067.42"/>
    <n v="2625.47"/>
  </r>
  <r>
    <x v="6"/>
    <s v="5018 - ATENCAO ESPECIALIZADA A SAUDE"/>
    <x v="283"/>
    <n v="1090000"/>
    <n v="1090000"/>
    <n v="1090000"/>
  </r>
  <r>
    <x v="6"/>
    <s v="2221 - RECURSOS HIDRICOS"/>
    <x v="339"/>
    <n v="0"/>
    <n v="9236.1299999999992"/>
    <n v="110361.43"/>
  </r>
  <r>
    <x v="6"/>
    <s v="6011 - COOPERACAO COM O DESENVOLVIMENTO NACIONAL"/>
    <x v="656"/>
    <n v="5932708.9000000004"/>
    <n v="1930120.31"/>
    <n v="1702900.92"/>
  </r>
  <r>
    <x v="6"/>
    <s v="2217 - DESENVOLVIMENTO REGIONAL, TERRITORIAL E URBANO"/>
    <x v="527"/>
    <n v="8952913.8900000006"/>
    <n v="1550974.81"/>
    <n v="3148117.92"/>
  </r>
  <r>
    <x v="6"/>
    <s v="2218 - GESTAO DE RISCOS E DE DESASTRES"/>
    <x v="1075"/>
    <n v="0"/>
    <n v="3244777.6"/>
    <n v="3244777.6"/>
  </r>
  <r>
    <x v="6"/>
    <s v="0909 - OPERACOES ESPECIAIS: OUTROS ENCARGOS ESPECIAIS"/>
    <x v="1065"/>
    <n v="0"/>
    <n v="-36502.42"/>
    <n v="-36502.42"/>
  </r>
  <r>
    <x v="6"/>
    <s v="2080 - EDUCACAO DE QUALIDADE PARA TODOS"/>
    <x v="762"/>
    <n v="0"/>
    <n v="0"/>
    <n v="0"/>
  </r>
  <r>
    <x v="6"/>
    <s v="3006 - TRANSPORTE TERRESTRE E TRANSITO"/>
    <x v="666"/>
    <n v="4732009.32"/>
    <n v="7633360.54"/>
    <n v="9024414.2599999998"/>
  </r>
  <r>
    <x v="6"/>
    <s v="2216 - POLITICA EXTERNA"/>
    <x v="734"/>
    <n v="449062.98"/>
    <n v="536615.38"/>
    <n v="536615.38"/>
  </r>
  <r>
    <x v="6"/>
    <s v="6012 - DEFESA NACIONAL"/>
    <x v="886"/>
    <n v="35934.629999999997"/>
    <n v="365686.94"/>
    <n v="50155.22"/>
  </r>
  <r>
    <x v="6"/>
    <s v="2205 - CONECTA BRASIL"/>
    <x v="34"/>
    <n v="0"/>
    <n v="0"/>
    <n v="0"/>
  </r>
  <r>
    <x v="6"/>
    <s v="0901 - OPERACOES ESPECIAIS: CUMPRIMENTO DE SENTENCAS JUDICIAIS"/>
    <x v="244"/>
    <n v="0"/>
    <n v="52261555.810000002"/>
    <n v="52261555.810000002"/>
  </r>
  <r>
    <x v="6"/>
    <s v="2215 - POLITICA ECONOMICA E EQUILIBRIO FISCAL"/>
    <x v="597"/>
    <n v="194891.93"/>
    <n v="1021403.52"/>
    <n v="1018708.96"/>
  </r>
  <r>
    <x v="6"/>
    <s v="2208 - TECNOLOGIAS APLICADAS, INOVACAO E DESENVOLVIMENTO SUSTENTAVEL"/>
    <x v="33"/>
    <n v="47200"/>
    <n v="92900"/>
    <n v="45700"/>
  </r>
  <r>
    <x v="6"/>
    <s v="5014 - ESTATISTICAS E AVALIACOES EDUCACIONAIS"/>
    <x v="755"/>
    <n v="289073432.66000003"/>
    <n v="5363354.74"/>
    <n v="5283591.45"/>
  </r>
  <r>
    <x v="6"/>
    <s v="0903 - OPERACOES ESPECIAIS: TRANSFERENCIAS CONSTITUCIONAIS E AS DECORRENTES DE LEGISLACAO ESPECIFICA"/>
    <x v="128"/>
    <n v="173611115.06999999"/>
    <n v="173602513.88"/>
    <n v="248215952.83000001"/>
  </r>
  <r>
    <x v="6"/>
    <s v="5021 - GESTAO E ORGANIZACAO DO SUS"/>
    <x v="211"/>
    <n v="2291893.31"/>
    <n v="1171016"/>
    <n v="902239.05"/>
  </r>
  <r>
    <x v="6"/>
    <s v="2214 - NOVA PREVIDENCIA"/>
    <x v="372"/>
    <n v="144500"/>
    <n v="368938.97"/>
    <n v="377704.55"/>
  </r>
  <r>
    <x v="6"/>
    <s v="0032 - PROGRAMA DE GESTAO E MANUTENCAO DO PODER EXECUTIVO"/>
    <x v="678"/>
    <n v="-5096325.2"/>
    <n v="119949920.78"/>
    <n v="172929756.03999999"/>
  </r>
  <r>
    <x v="6"/>
    <s v="2040 - GESTAO DE RISCOS E DE DESASTRES"/>
    <x v="1123"/>
    <n v="0"/>
    <n v="0"/>
    <n v="0"/>
  </r>
  <r>
    <x v="6"/>
    <s v="5014 - ESTATISTICAS E AVALIACOES EDUCACIONAIS"/>
    <x v="511"/>
    <n v="166064.56"/>
    <n v="0"/>
    <n v="0"/>
  </r>
  <r>
    <x v="6"/>
    <s v="5011 - EDUCACAO BASICA DE QUALIDADE"/>
    <x v="432"/>
    <n v="0"/>
    <n v="95236270"/>
    <n v="103354870"/>
  </r>
  <r>
    <x v="6"/>
    <s v="2208 - TECNOLOGIAS APLICADAS, INOVACAO E DESENVOLVIMENTO SUSTENTAVEL"/>
    <x v="916"/>
    <n v="10735044.52"/>
    <n v="500000"/>
    <n v="500000"/>
  </r>
  <r>
    <x v="6"/>
    <s v="3002 - GEOLOGIA, MINERACAO E TRANSFORMACAO MINERAL"/>
    <x v="607"/>
    <n v="2566039.8199999998"/>
    <n v="839099.74"/>
    <n v="1361809.04"/>
  </r>
  <r>
    <x v="6"/>
    <s v="2212 - MELHORIA DO AMBIENTE DE NEGOCIOS E DA PRODUTIVIDADE"/>
    <x v="37"/>
    <n v="7995395.9699999997"/>
    <n v="0"/>
    <n v="0"/>
  </r>
  <r>
    <x v="6"/>
    <s v="5025 - CULTURA"/>
    <x v="524"/>
    <n v="1303367"/>
    <n v="0"/>
    <n v="0"/>
  </r>
  <r>
    <x v="6"/>
    <s v="5020 - DESENVOLVIMENTO CIENTIFICO, TECNOLOGICO E PRODUTIVO EM SAUDE"/>
    <x v="503"/>
    <n v="114540"/>
    <n v="3503997.9"/>
    <n v="3512433.9"/>
  </r>
  <r>
    <x v="6"/>
    <s v="1031 - AGROPECUARIA SUSTENTAVEL"/>
    <x v="569"/>
    <n v="3666585.56"/>
    <n v="89005.38"/>
    <n v="82707.27"/>
  </r>
  <r>
    <x v="6"/>
    <s v="5034 - PROTECAO A VIDA, FORTALECIMENTO DA FAMILIA, PROMOCAO E DEFESA DOS DIREITOS HUMANOS PARA TODOS"/>
    <x v="700"/>
    <n v="9456102.8499999996"/>
    <n v="2279721.88"/>
    <n v="2315724.87"/>
  </r>
  <r>
    <x v="6"/>
    <s v="3003 - PETROLEO, GAS, DERIVADOS E BIOCOMBUSTIVEIS"/>
    <x v="688"/>
    <n v="1780318.95"/>
    <n v="3192919.58"/>
    <n v="3980695.66"/>
  </r>
  <r>
    <x v="6"/>
    <s v="2215 - POLITICA ECONOMICA E EQUILIBRIO FISCAL"/>
    <x v="661"/>
    <n v="0"/>
    <n v="12669120.83"/>
    <n v="12691178.59"/>
  </r>
  <r>
    <x v="6"/>
    <s v="5027 - INCLUSAO PRODUTIVA DE PESSOAS EM SITUACAO DE VULNERABILIDADE SOCIAL"/>
    <x v="895"/>
    <n v="3021621"/>
    <n v="0"/>
    <n v="0"/>
  </r>
  <r>
    <x v="6"/>
    <s v="5020 - DESENVOLVIMENTO CIENTIFICO, TECNOLOGICO E PRODUTIVO EM SAUDE"/>
    <x v="817"/>
    <n v="418700"/>
    <n v="-873395.44"/>
    <n v="3427064.93"/>
  </r>
  <r>
    <x v="6"/>
    <s v="2206 - POLITICA NUCLEAR"/>
    <x v="496"/>
    <n v="0"/>
    <n v="38498.68"/>
    <n v="38498.68"/>
  </r>
  <r>
    <x v="6"/>
    <s v="3002 - GEOLOGIA, MINERACAO E TRANSFORMACAO MINERAL"/>
    <x v="748"/>
    <n v="97483.01"/>
    <n v="55109.43"/>
    <n v="69266.81"/>
  </r>
  <r>
    <x v="6"/>
    <s v="2222 - SANEAMENTO BASICO"/>
    <x v="706"/>
    <n v="-38545.57"/>
    <n v="0"/>
    <n v="0"/>
  </r>
  <r>
    <x v="6"/>
    <s v="6011 - COOPERACAO COM O DESENVOLVIMENTO NACIONAL"/>
    <x v="55"/>
    <n v="0"/>
    <n v="52994.76"/>
    <n v="79296.75"/>
  </r>
  <r>
    <x v="6"/>
    <s v="0032 - PROGRAMA DE GESTAO E MANUTENCAO DO PODER EXECUTIVO"/>
    <x v="17"/>
    <n v="3793953.83"/>
    <n v="2909972.24"/>
    <n v="2826708.93"/>
  </r>
  <r>
    <x v="6"/>
    <s v="0905 - OPERACOES ESPECIAIS: SERVICO DA DIVIDA INTERNA (JUROS EAMORTIZACOES)"/>
    <x v="0"/>
    <n v="30431376094.830002"/>
    <n v="48438169357.230003"/>
    <n v="48438169357.230003"/>
  </r>
  <r>
    <x v="6"/>
    <s v="6013 - OCEANOS, ZONA COSTEIRA E ANTARTICA"/>
    <x v="778"/>
    <n v="51089.05"/>
    <n v="46743.87"/>
    <n v="36523.94"/>
  </r>
  <r>
    <x v="6"/>
    <s v="2221 - RECURSOS HIDRICOS"/>
    <x v="615"/>
    <n v="48596.63"/>
    <n v="107479.01"/>
    <n v="108345.79"/>
  </r>
  <r>
    <x v="6"/>
    <s v="0032 - PROGRAMA DE GESTAO E MANUTENCAO DO PODER EXECUTIVO"/>
    <x v="538"/>
    <n v="0"/>
    <n v="1970.36"/>
    <n v="1970.36"/>
  </r>
  <r>
    <x v="6"/>
    <s v="2204 - BRASIL NA FRONTEIRA DO CONHECIMENTO"/>
    <x v="117"/>
    <n v="101653.75"/>
    <n v="0"/>
    <n v="0"/>
  </r>
  <r>
    <x v="6"/>
    <s v="2213 - MODERNIZACAO TRABALHISTA E TRABALHO DIGNO"/>
    <x v="315"/>
    <n v="746583.89"/>
    <n v="425194.69"/>
    <n v="425194.69"/>
  </r>
  <r>
    <x v="6"/>
    <s v="2214 - NOVA PREVIDENCIA"/>
    <x v="617"/>
    <n v="2200000"/>
    <n v="5494974.04"/>
    <n v="5512316"/>
  </r>
  <r>
    <x v="6"/>
    <s v="5021 - GESTAO E ORGANIZACAO DO SUS"/>
    <x v="560"/>
    <n v="32020309.239999998"/>
    <n v="13894896.5"/>
    <n v="13824534.560000001"/>
  </r>
  <r>
    <x v="6"/>
    <s v="5025 - CULTURA"/>
    <x v="549"/>
    <n v="3392361.66"/>
    <n v="7390312.7199999997"/>
    <n v="7853592.5300000003"/>
  </r>
  <r>
    <x v="6"/>
    <s v="6011 - COOPERACAO COM O DESENVOLVIMENTO NACIONAL"/>
    <x v="134"/>
    <n v="217727373.77000001"/>
    <n v="2342400"/>
    <n v="0"/>
  </r>
  <r>
    <x v="6"/>
    <s v="2214 - NOVA PREVIDENCIA"/>
    <x v="667"/>
    <n v="148672057191.69"/>
    <n v="64450836302.160004"/>
    <n v="88454628228.009995"/>
  </r>
  <r>
    <x v="6"/>
    <s v="4005 - PROTECAO JURIDICA DA UNIAO"/>
    <x v="647"/>
    <n v="25085648.59"/>
    <n v="34183504.100000001"/>
    <n v="33126617.379999999"/>
  </r>
  <r>
    <x v="6"/>
    <s v="1031 - AGROPECUARIA SUSTENTAVEL"/>
    <x v="48"/>
    <n v="176500.15"/>
    <n v="176500.15"/>
    <n v="176500.15"/>
  </r>
  <r>
    <x v="6"/>
    <s v="5019 - ATENCAO PRIMARIA A SAUDE"/>
    <x v="730"/>
    <n v="132644020.43000001"/>
    <n v="166797268.63999999"/>
    <n v="117174867.53"/>
  </r>
  <r>
    <x v="6"/>
    <s v="3002 - GEOLOGIA, MINERACAO E TRANSFORMACAO MINERAL"/>
    <x v="665"/>
    <n v="910851.14"/>
    <n v="559033.44999999995"/>
    <n v="727862.12"/>
  </r>
  <r>
    <x v="6"/>
    <s v="1031 - AGROPECUARIA SUSTENTAVEL"/>
    <x v="622"/>
    <n v="13254.83"/>
    <n v="26301.5"/>
    <n v="20188.79"/>
  </r>
  <r>
    <x v="6"/>
    <s v="1031 - AGROPECUARIA SUSTENTAVEL"/>
    <x v="608"/>
    <n v="1729334.23"/>
    <n v="654803.96"/>
    <n v="603531.03"/>
  </r>
  <r>
    <x v="6"/>
    <s v="1031 - AGROPECUARIA SUSTENTAVEL"/>
    <x v="461"/>
    <n v="19504.48"/>
    <n v="40294.99"/>
    <n v="35818.68"/>
  </r>
  <r>
    <x v="6"/>
    <s v="5026 - ESPORTE"/>
    <x v="533"/>
    <n v="33667695.670000002"/>
    <n v="3697909"/>
    <n v="3697909"/>
  </r>
  <r>
    <x v="6"/>
    <s v="6011 - COOPERACAO COM O DESENVOLVIMENTO NACIONAL"/>
    <x v="430"/>
    <n v="408320.33"/>
    <n v="341595.89"/>
    <n v="471955.81"/>
  </r>
  <r>
    <x v="6"/>
    <s v="2118 - PROGRAMA DE GESTAO E MANUTENCAO DO MINISTERIO DAS RELACOES EXTERIORES"/>
    <x v="52"/>
    <n v="0"/>
    <n v="0"/>
    <n v="0"/>
  </r>
  <r>
    <x v="6"/>
    <s v="2221 - RECURSOS HIDRICOS"/>
    <x v="845"/>
    <n v="26600000"/>
    <n v="48833820.859999999"/>
    <n v="16031500"/>
  </r>
  <r>
    <x v="6"/>
    <s v="5019 - ATENCAO PRIMARIA A SAUDE"/>
    <x v="771"/>
    <n v="0"/>
    <n v="0"/>
    <n v="0"/>
  </r>
  <r>
    <x v="6"/>
    <s v="2219 - MOBILIDADE URBANA"/>
    <x v="427"/>
    <n v="250224387.21000001"/>
    <n v="0"/>
    <n v="0"/>
  </r>
  <r>
    <x v="6"/>
    <s v="1040 - GOVERNANCA FUNDIARIA"/>
    <x v="180"/>
    <n v="251413.91"/>
    <n v="15771.94"/>
    <n v="29278.57"/>
  </r>
  <r>
    <x v="6"/>
    <s v="1031 - AGROPECUARIA SUSTENTAVEL"/>
    <x v="535"/>
    <n v="119421.44"/>
    <n v="27801.360000000001"/>
    <n v="32361.360000000001"/>
  </r>
  <r>
    <x v="6"/>
    <s v="0032 - PROGRAMA DE GESTAO E MANUTENCAO DO PODER EXECUTIVO"/>
    <x v="984"/>
    <n v="3327876.98"/>
    <n v="2000702.65"/>
    <n v="90338.95"/>
  </r>
  <r>
    <x v="6"/>
    <s v="2222 - SANEAMENTO BASICO"/>
    <x v="904"/>
    <n v="-23417.200000000001"/>
    <n v="22445.57"/>
    <n v="54115.38"/>
  </r>
  <r>
    <x v="6"/>
    <s v="2134 - PROGRAMA DE GESTAO E MANUTENCAO DO MINISTERIO DA MULHER, DA FAMILIA E DOS DIREITOS HUMANOS"/>
    <x v="52"/>
    <n v="0"/>
    <n v="0"/>
    <n v="0"/>
  </r>
  <r>
    <x v="6"/>
    <s v="2214 - NOVA PREVIDENCIA"/>
    <x v="592"/>
    <n v="-813672.71"/>
    <n v="1471140.3"/>
    <n v="1556889.17"/>
  </r>
  <r>
    <x v="6"/>
    <s v="2080 - EDUCACAO DE QUALIDADE PARA TODOS"/>
    <x v="526"/>
    <n v="0"/>
    <n v="0"/>
    <n v="0"/>
  </r>
  <r>
    <x v="6"/>
    <s v="2214 - NOVA PREVIDENCIA"/>
    <x v="740"/>
    <n v="6695457.4800000004"/>
    <n v="1131745.01"/>
    <n v="973225.47"/>
  </r>
  <r>
    <x v="6"/>
    <s v="1040 - GOVERNANCA FUNDIARIA"/>
    <x v="905"/>
    <n v="320173.33"/>
    <n v="101726.3"/>
    <n v="101310.3"/>
  </r>
  <r>
    <x v="6"/>
    <s v="5017 - ASSISTENCIA FARMACEUTICA NO SUS"/>
    <x v="836"/>
    <n v="12858000"/>
    <n v="12858000"/>
    <n v="17258000"/>
  </r>
  <r>
    <x v="6"/>
    <s v="2216 - POLITICA EXTERNA"/>
    <x v="583"/>
    <n v="2431299.63"/>
    <n v="5340539.53"/>
    <n v="5473198.7699999996"/>
  </r>
  <r>
    <x v="6"/>
    <s v="5018 - ATENCAO ESPECIALIZADA A SAUDE"/>
    <x v="965"/>
    <n v="0"/>
    <n v="0"/>
    <n v="0"/>
  </r>
  <r>
    <x v="6"/>
    <s v="5012 - EDUCACAO PROFISSIONAL E TECNOLOGICA"/>
    <x v="634"/>
    <n v="1060357.8700000001"/>
    <n v="3784173.04"/>
    <n v="3484145.94"/>
  </r>
  <r>
    <x v="6"/>
    <s v="2222 - SANEAMENTO BASICO"/>
    <x v="554"/>
    <n v="0"/>
    <n v="0"/>
    <n v="0"/>
  </r>
  <r>
    <x v="6"/>
    <s v="2204 - BRASIL NA FRONTEIRA DO CONHECIMENTO"/>
    <x v="674"/>
    <n v="0"/>
    <n v="0"/>
    <n v="0"/>
  </r>
  <r>
    <x v="6"/>
    <s v="1041 - CONSERVACAO E USO SUSTENTAVEL DA BIODIVERSIDADE E DOS RECURSOS NATURAIS"/>
    <x v="177"/>
    <n v="244010.67"/>
    <n v="63984.800000000003"/>
    <n v="55287.48"/>
  </r>
  <r>
    <x v="6"/>
    <s v="5021 - GESTAO E ORGANIZACAO DO SUS"/>
    <x v="157"/>
    <n v="95002.4"/>
    <n v="33444.57"/>
    <n v="7426282.1699999999"/>
  </r>
  <r>
    <x v="6"/>
    <s v="0034 - PROGRAMA DE GESTAO E MANUTENCAO DO PODER LEGISLATIVO"/>
    <x v="696"/>
    <n v="-4697.6499999999996"/>
    <n v="85197.41"/>
    <n v="88038.04"/>
  </r>
  <r>
    <x v="6"/>
    <s v="0032 - PROGRAMA DE GESTAO E MANUTENCAO DO PODER EXECUTIVO"/>
    <x v="795"/>
    <n v="9564356.25"/>
    <n v="4390412.84"/>
    <n v="3159938.78"/>
  </r>
  <r>
    <x v="6"/>
    <s v="6012 - DEFESA NACIONAL"/>
    <x v="508"/>
    <n v="958127.8"/>
    <n v="176784.44"/>
    <n v="179956.33"/>
  </r>
  <r>
    <x v="6"/>
    <s v="2029 - DESENVOLVIMENTO REGIONAL E TERRITORIAL"/>
    <x v="632"/>
    <n v="0"/>
    <n v="0"/>
    <n v="0"/>
  </r>
  <r>
    <x v="6"/>
    <s v="2204 - BRASIL NA FRONTEIRA DO CONHECIMENTO"/>
    <x v="37"/>
    <n v="100724720"/>
    <n v="141171690"/>
    <n v="141171690"/>
  </r>
  <r>
    <x v="6"/>
    <s v="2015 - FORTALECIMENTO DO SISTEMA UNICO DE SAUDE (SUS)"/>
    <x v="286"/>
    <n v="0"/>
    <n v="0"/>
    <n v="0"/>
  </r>
  <r>
    <x v="6"/>
    <s v="2221 - RECURSOS HIDRICOS"/>
    <x v="465"/>
    <n v="10460487.539999999"/>
    <n v="8698103.1999999993"/>
    <n v="8772418.5399999991"/>
  </r>
  <r>
    <x v="6"/>
    <s v="1040 - GOVERNANCA FUNDIARIA"/>
    <x v="81"/>
    <n v="37745.18"/>
    <n v="88122.57"/>
    <n v="82336.66"/>
  </r>
  <r>
    <x v="6"/>
    <s v="0032 - PROGRAMA DE GESTAO E MANUTENCAO DO PODER EXECUTIVO"/>
    <x v="143"/>
    <n v="0"/>
    <n v="0"/>
    <n v="0"/>
  </r>
  <r>
    <x v="6"/>
    <s v="3002 - GEOLOGIA, MINERACAO E TRANSFORMACAO MINERAL"/>
    <x v="790"/>
    <n v="123659.39"/>
    <n v="103779.09"/>
    <n v="144945.42000000001"/>
  </r>
  <r>
    <x v="6"/>
    <s v="3003 - PETROLEO, GAS, DERIVADOS E BIOCOMBUSTIVEIS"/>
    <x v="122"/>
    <n v="0"/>
    <n v="20812.5"/>
    <n v="20812.5"/>
  </r>
  <r>
    <x v="6"/>
    <s v="3006 - TRANSPORTE TERRESTRE E TRANSITO"/>
    <x v="416"/>
    <n v="1600000"/>
    <n v="9215940.8399999999"/>
    <n v="9215940.8399999999"/>
  </r>
  <r>
    <x v="6"/>
    <s v="3006 - TRANSPORTE TERRESTRE E TRANSITO"/>
    <x v="359"/>
    <n v="20568656.649999999"/>
    <n v="746536.55"/>
    <n v="742684.99"/>
  </r>
  <r>
    <x v="6"/>
    <s v="5017 - ASSISTENCIA FARMACEUTICA NO SUS"/>
    <x v="374"/>
    <n v="1245590096.4200001"/>
    <n v="587264721.11000001"/>
    <n v="680769997.91999996"/>
  </r>
  <r>
    <x v="6"/>
    <s v="6012 - DEFESA NACIONAL"/>
    <x v="243"/>
    <n v="8504916.7400000002"/>
    <n v="3353732.34"/>
    <n v="3245533.53"/>
  </r>
  <r>
    <x v="6"/>
    <s v="2202 - DEFESA AGROPECUARIA"/>
    <x v="103"/>
    <n v="3837.62"/>
    <n v="15463.22"/>
    <n v="17613.78"/>
  </r>
  <r>
    <x v="6"/>
    <s v="6014 - PREVENCAO E CONTROLE DO DESMATAMENTO E DOS INCENDIOS NOS BIOMAS"/>
    <x v="1048"/>
    <n v="42368990.520000003"/>
    <n v="9846694.2400000002"/>
    <n v="9845169.4000000004"/>
  </r>
  <r>
    <x v="6"/>
    <s v="6014 - PREVENCAO E CONTROLE DO DESMATAMENTO E DOS INCENDIOS NOS BIOMAS"/>
    <x v="624"/>
    <n v="6690732.1600000001"/>
    <n v="7505717.5599999996"/>
    <n v="7020741.9199999999"/>
  </r>
  <r>
    <x v="6"/>
    <s v="6012 - DEFESA NACIONAL"/>
    <x v="518"/>
    <n v="27730"/>
    <n v="23700"/>
    <n v="23700"/>
  </r>
  <r>
    <x v="6"/>
    <s v="1031 - AGROPECUARIA SUSTENTAVEL"/>
    <x v="660"/>
    <n v="4516614.99"/>
    <n v="2482484.42"/>
    <n v="2471883.25"/>
  </r>
  <r>
    <x v="6"/>
    <s v="2049 - MORADIA DIGNA"/>
    <x v="319"/>
    <n v="0"/>
    <n v="0"/>
    <n v="0"/>
  </r>
  <r>
    <x v="6"/>
    <s v="6012 - DEFESA NACIONAL"/>
    <x v="1118"/>
    <n v="3805728.68"/>
    <n v="0"/>
    <n v="0"/>
  </r>
  <r>
    <x v="6"/>
    <s v="5025 - CULTURA"/>
    <x v="271"/>
    <n v="20534352"/>
    <n v="46941.87"/>
    <n v="50320.11"/>
  </r>
  <r>
    <x v="6"/>
    <s v="5021 - GESTAO E ORGANIZACAO DO SUS"/>
    <x v="507"/>
    <n v="28935577.399999999"/>
    <n v="158928139.86000001"/>
    <n v="163521519.22999999"/>
  </r>
  <r>
    <x v="6"/>
    <s v="6013 - OCEANOS, ZONA COSTEIRA E ANTARTICA"/>
    <x v="413"/>
    <n v="1632916.2"/>
    <n v="1707007.86"/>
    <n v="290113.12"/>
  </r>
  <r>
    <x v="6"/>
    <s v="5021 - GESTAO E ORGANIZACAO DO SUS"/>
    <x v="873"/>
    <n v="0"/>
    <n v="7548.71"/>
    <n v="2981169.71"/>
  </r>
  <r>
    <x v="6"/>
    <s v="5015 - JUSTICA"/>
    <x v="317"/>
    <n v="935082.96"/>
    <n v="378162.22"/>
    <n v="246402.12"/>
  </r>
  <r>
    <x v="6"/>
    <s v="1031 - AGROPECUARIA SUSTENTAVEL"/>
    <x v="723"/>
    <n v="7551431.2000000002"/>
    <n v="1274399.42"/>
    <n v="1522806.49"/>
  </r>
  <r>
    <x v="6"/>
    <s v="2204 - BRASIL NA FRONTEIRA DO CONHECIMENTO"/>
    <x v="519"/>
    <n v="702683.26"/>
    <n v="-1552.74"/>
    <n v="-1552.74"/>
  </r>
  <r>
    <x v="6"/>
    <s v="5021 - GESTAO E ORGANIZACAO DO SUS"/>
    <x v="480"/>
    <n v="621000"/>
    <n v="317818.38"/>
    <n v="303932.48"/>
  </r>
  <r>
    <x v="6"/>
    <s v="2206 - POLITICA NUCLEAR"/>
    <x v="774"/>
    <n v="5023122.72"/>
    <n v="4700041.7699999996"/>
    <n v="4416041.24"/>
  </r>
  <r>
    <x v="6"/>
    <s v="0032 - PROGRAMA DE GESTAO E MANUTENCAO DO PODER EXECUTIVO"/>
    <x v="1155"/>
    <n v="0"/>
    <n v="0"/>
    <n v="0"/>
  </r>
  <r>
    <x v="6"/>
    <s v="5012 - EDUCACAO PROFISSIONAL E TECNOLOGICA"/>
    <x v="657"/>
    <n v="5961849.4100000001"/>
    <n v="89610.17"/>
    <n v="22659.71"/>
  </r>
  <r>
    <x v="6"/>
    <s v="5011 - EDUCACAO BASICA DE QUALIDADE"/>
    <x v="875"/>
    <n v="14687474.140000001"/>
    <n v="21477.119999999999"/>
    <n v="16060.92"/>
  </r>
  <r>
    <x v="6"/>
    <s v="0032 - PROGRAMA DE GESTAO E MANUTENCAO DO PODER EXECUTIVO"/>
    <x v="722"/>
    <n v="1166143.8999999999"/>
    <n v="2757297.42"/>
    <n v="2143501.94"/>
  </r>
  <r>
    <x v="6"/>
    <s v="2218 - GESTAO DE RISCOS E DE DESASTRES"/>
    <x v="716"/>
    <n v="234764.51"/>
    <n v="58476.75"/>
    <n v="98528.49"/>
  </r>
  <r>
    <x v="6"/>
    <s v="5019 - ATENCAO PRIMARIA A SAUDE"/>
    <x v="261"/>
    <n v="1470303111.8099999"/>
    <n v="1470325562.1300001"/>
    <n v="1470349989.3099999"/>
  </r>
  <r>
    <x v="6"/>
    <s v="2207 - PROGRAMA ESPACIAL BRASILEIRO"/>
    <x v="719"/>
    <n v="158942.54"/>
    <n v="723283.25"/>
    <n v="397383.25"/>
  </r>
  <r>
    <x v="6"/>
    <s v="6012 - DEFESA NACIONAL"/>
    <x v="580"/>
    <n v="576930.49"/>
    <n v="482740.7"/>
    <n v="216368.74"/>
  </r>
  <r>
    <x v="6"/>
    <s v="5020 - DESENVOLVIMENTO CIENTIFICO, TECNOLOGICO E PRODUTIVO EM SAUDE"/>
    <x v="136"/>
    <n v="5679603.9000000004"/>
    <n v="26502322.43"/>
    <n v="37333251.5"/>
  </r>
  <r>
    <x v="6"/>
    <s v="1031 - AGROPECUARIA SUSTENTAVEL"/>
    <x v="824"/>
    <n v="1129911"/>
    <n v="121260"/>
    <n v="121260"/>
  </r>
  <r>
    <x v="6"/>
    <s v="2221 - RECURSOS HIDRICOS"/>
    <x v="1010"/>
    <n v="3867982.35"/>
    <n v="16495.38"/>
    <n v="15296.37"/>
  </r>
  <r>
    <x v="6"/>
    <s v="0032 - PROGRAMA DE GESTAO E MANUTENCAO DO PODER EXECUTIVO"/>
    <x v="609"/>
    <n v="3099845.08"/>
    <n v="16416573.720000001"/>
    <n v="26416906.550000001"/>
  </r>
  <r>
    <x v="6"/>
    <s v="2220 - MORADIA DIGNA"/>
    <x v="712"/>
    <n v="130000000"/>
    <n v="0"/>
    <n v="0"/>
  </r>
  <r>
    <x v="6"/>
    <s v="2221 - RECURSOS HIDRICOS"/>
    <x v="22"/>
    <n v="0"/>
    <n v="0"/>
    <n v="0"/>
  </r>
  <r>
    <x v="6"/>
    <s v="1041 - CONSERVACAO E USO SUSTENTAVEL DA BIODIVERSIDADE E DOS RECURSOS NATURAIS"/>
    <x v="702"/>
    <n v="2756745.79"/>
    <n v="807598.78"/>
    <n v="828982.12"/>
  </r>
  <r>
    <x v="6"/>
    <s v="2206 - POLITICA NUCLEAR"/>
    <x v="429"/>
    <n v="3887800.29"/>
    <n v="19172100.719999999"/>
    <n v="15035999.02"/>
  </r>
  <r>
    <x v="6"/>
    <s v="1058 - MUDANCA DO CLIMA"/>
    <x v="1044"/>
    <n v="310116.68"/>
    <n v="208129.52"/>
    <n v="208129.52"/>
  </r>
  <r>
    <x v="6"/>
    <s v="2221 - RECURSOS HIDRICOS"/>
    <x v="424"/>
    <n v="396708.03"/>
    <n v="291792.59999999998"/>
    <n v="306221.73"/>
  </r>
  <r>
    <x v="6"/>
    <s v="1031 - AGROPECUARIA SUSTENTAVEL"/>
    <x v="231"/>
    <n v="0"/>
    <n v="0"/>
    <n v="0"/>
  </r>
  <r>
    <x v="6"/>
    <s v="2037 - CONSOLIDACAO DO SISTEMA UNICO DE ASSISTENCIA SOCIAL (SUAS)"/>
    <x v="463"/>
    <n v="0"/>
    <n v="0"/>
    <n v="0"/>
  </r>
  <r>
    <x v="6"/>
    <s v="0032 - PROGRAMA DE GESTAO E MANUTENCAO DO PODER EXECUTIVO"/>
    <x v="588"/>
    <n v="-1458775"/>
    <n v="130044.63"/>
    <n v="280588.53000000003"/>
  </r>
  <r>
    <x v="6"/>
    <s v="2217 - DESENVOLVIMENTO REGIONAL, TERRITORIAL E URBANO"/>
    <x v="406"/>
    <n v="500017.43"/>
    <n v="34606.75"/>
    <n v="33461.699999999997"/>
  </r>
  <r>
    <x v="6"/>
    <s v="5021 - GESTAO E ORGANIZACAO DO SUS"/>
    <x v="695"/>
    <n v="101662.62"/>
    <n v="951966.74"/>
    <n v="952480.09"/>
  </r>
  <r>
    <x v="6"/>
    <s v="5025 - CULTURA"/>
    <x v="118"/>
    <n v="5332173.3899999997"/>
    <n v="1712353.64"/>
    <n v="1712353.64"/>
  </r>
  <r>
    <x v="6"/>
    <s v="3005 - TRANSPORTE AQUAVIARIO"/>
    <x v="155"/>
    <n v="2423948.89"/>
    <n v="2254802.15"/>
    <n v="2147871.2200000002"/>
  </r>
  <r>
    <x v="6"/>
    <s v="2216 - POLITICA EXTERNA"/>
    <x v="732"/>
    <n v="2440420.9500000002"/>
    <n v="3483252"/>
    <n v="3476683.15"/>
  </r>
  <r>
    <x v="6"/>
    <s v="6012 - DEFESA NACIONAL"/>
    <x v="561"/>
    <n v="3005129.28"/>
    <n v="2113129.63"/>
    <n v="2063101.89"/>
  </r>
  <r>
    <x v="6"/>
    <s v="2218 - GESTAO DE RISCOS E DE DESASTRES"/>
    <x v="786"/>
    <n v="139097909.44"/>
    <n v="137435113.09"/>
    <n v="103013771.73"/>
  </r>
  <r>
    <x v="6"/>
    <s v="5019 - ATENCAO PRIMARIA A SAUDE"/>
    <x v="286"/>
    <n v="180923530"/>
    <n v="0"/>
    <n v="0"/>
  </r>
  <r>
    <x v="6"/>
    <s v="2207 - PROGRAMA ESPACIAL BRASILEIRO"/>
    <x v="381"/>
    <n v="3403798.28"/>
    <n v="2092442.55"/>
    <n v="2951601.82"/>
  </r>
  <r>
    <x v="6"/>
    <s v="2212 - MELHORIA DO AMBIENTE DE NEGOCIOS E DA PRODUTIVIDADE"/>
    <x v="99"/>
    <n v="0"/>
    <n v="14905.44"/>
    <n v="24834.07"/>
  </r>
  <r>
    <x v="6"/>
    <s v="2217 - DESENVOLVIMENTO REGIONAL, TERRITORIAL E URBANO"/>
    <x v="30"/>
    <n v="603529.43999999994"/>
    <n v="1390640.98"/>
    <n v="986540.17"/>
  </r>
  <r>
    <x v="6"/>
    <s v="0909 - OPERACOES ESPECIAIS: OUTROS ENCARGOS ESPECIAIS"/>
    <x v="616"/>
    <n v="221980.61"/>
    <n v="31519971.66"/>
    <n v="47201173.170000002"/>
  </r>
  <r>
    <x v="6"/>
    <s v="0032 - PROGRAMA DE GESTAO E MANUTENCAO DO PODER EXECUTIVO"/>
    <x v="90"/>
    <n v="1504.7"/>
    <n v="1308576.1599999999"/>
    <n v="1301101.21"/>
  </r>
  <r>
    <x v="6"/>
    <s v="2065 - PROTECAO E PROMOCAO DOS DIREITOS DOS POVOS INDIGENAS"/>
    <x v="842"/>
    <n v="0"/>
    <n v="0"/>
    <n v="0"/>
  </r>
  <r>
    <x v="6"/>
    <s v="1031 - AGROPECUARIA SUSTENTAVEL"/>
    <x v="291"/>
    <n v="1361147.4"/>
    <n v="522977.35"/>
    <n v="433403.18"/>
  </r>
  <r>
    <x v="6"/>
    <s v="5029 - PRODUCAO DE DADOS E CONHECIMENTO PARA O APRIMORAMENTO DE POLITICAS PUBLICAS"/>
    <x v="265"/>
    <n v="270000"/>
    <n v="3743377.96"/>
    <n v="3773916.79"/>
  </r>
  <r>
    <x v="6"/>
    <s v="0617 - PROTECAO E PROMOCAO DOS DIREITOS DOS POVOS INDIGENAS"/>
    <x v="776"/>
    <n v="3952243.6"/>
    <n v="2328821.71"/>
    <n v="2013478.27"/>
  </r>
  <r>
    <x v="6"/>
    <s v="2203 - PESQUISA E INOVACAO AGROPECUARIA"/>
    <x v="618"/>
    <n v="1902728.92"/>
    <n v="808265.8"/>
    <n v="485477.21"/>
  </r>
  <r>
    <x v="6"/>
    <s v="1031 - AGROPECUARIA SUSTENTAVEL"/>
    <x v="192"/>
    <n v="199801.2"/>
    <n v="45946.720000000001"/>
    <n v="42414.45"/>
  </r>
  <r>
    <x v="6"/>
    <s v="0901 - OPERACOES ESPECIAIS: CUMPRIMENTO DE SENTENCAS JUDICIAIS"/>
    <x v="882"/>
    <n v="0"/>
    <n v="0"/>
    <n v="0"/>
  </r>
  <r>
    <x v="6"/>
    <s v="6012 - DEFESA NACIONAL"/>
    <x v="563"/>
    <n v="616303.32999999996"/>
    <n v="177733.57"/>
    <n v="168847.18"/>
  </r>
  <r>
    <x v="6"/>
    <s v="3002 - GEOLOGIA, MINERACAO E TRANSFORMACAO MINERAL"/>
    <x v="641"/>
    <n v="622140.23"/>
    <n v="480637.88"/>
    <n v="666740.55000000005"/>
  </r>
  <r>
    <x v="6"/>
    <s v="5016 - SEGURANCA PUBLICA, COMBATE A CORRUPCAO, AO CRIME ORGANIZADO E AO CRIME VIOLENTO"/>
    <x v="574"/>
    <n v="55490595.43"/>
    <n v="36937630.140000001"/>
    <n v="30162271.850000001"/>
  </r>
  <r>
    <x v="6"/>
    <s v="0032 - PROGRAMA DE GESTAO E MANUTENCAO DO PODER EXECUTIVO"/>
    <x v="760"/>
    <n v="16889881.170000002"/>
    <n v="9553028.7200000007"/>
    <n v="9307315.2899999991"/>
  </r>
  <r>
    <x v="6"/>
    <s v="2221 - RECURSOS HIDRICOS"/>
    <x v="663"/>
    <n v="68106495.480000004"/>
    <n v="4898242.9000000004"/>
    <n v="3923849.06"/>
  </r>
  <r>
    <x v="6"/>
    <s v="0617 - PROTECAO E PROMOCAO DOS DIREITOS DOS POVOS INDIGENAS"/>
    <x v="725"/>
    <n v="143865563.88"/>
    <n v="5445335.3300000001"/>
    <n v="5133435.62"/>
  </r>
  <r>
    <x v="6"/>
    <s v="0032 - PROGRAMA DE GESTAO E MANUTENCAO DO PODER EXECUTIVO"/>
    <x v="677"/>
    <n v="4219163"/>
    <n v="3151175.02"/>
    <n v="3118660.14"/>
  </r>
  <r>
    <x v="6"/>
    <s v="5022 - PROTECAO, PROMOCAO E RECUPERACAO DA SAUDE INDIGENA"/>
    <x v="692"/>
    <n v="301238910.00999999"/>
    <n v="249760750.97999999"/>
    <n v="247211006.62"/>
  </r>
  <r>
    <x v="6"/>
    <s v="5033 - SEGURANCA ALIMENTAR E NUTRICIONAL"/>
    <x v="557"/>
    <n v="96560694.209999993"/>
    <n v="4065545.49"/>
    <n v="6074474.6299999999"/>
  </r>
  <r>
    <x v="6"/>
    <s v="0903 - OPERACOES ESPECIAIS: TRANSFERENCIAS CONSTITUCIONAIS E AS DECORRENTES DE LEGISLACAO ESPECIFICA"/>
    <x v="298"/>
    <n v="0"/>
    <n v="28415976.780000001"/>
    <n v="28415976.780000001"/>
  </r>
  <r>
    <x v="6"/>
    <s v="5020 - DESENVOLVIMENTO CIENTIFICO, TECNOLOGICO E PRODUTIVO EM SAUDE"/>
    <x v="579"/>
    <n v="25682537.25"/>
    <n v="47865586.439999998"/>
    <n v="45414773.049999997"/>
  </r>
  <r>
    <x v="6"/>
    <s v="4002 - SEGURANCA INSTITUCIONAL"/>
    <x v="438"/>
    <n v="4590883.74"/>
    <n v="6374170.1100000003"/>
    <n v="6614304.7699999996"/>
  </r>
  <r>
    <x v="6"/>
    <s v="5023 - VIGILANCIA EM SAUDE"/>
    <x v="509"/>
    <n v="513355.87"/>
    <n v="2879247.69"/>
    <n v="3212856.35"/>
  </r>
  <r>
    <x v="6"/>
    <s v="1041 - CONSERVACAO E USO SUSTENTAVEL DA BIODIVERSIDADE E DOS RECURSOS NATURAIS"/>
    <x v="977"/>
    <n v="218047.34"/>
    <n v="116746.42"/>
    <n v="113563.98"/>
  </r>
  <r>
    <x v="6"/>
    <s v="6012 - DEFESA NACIONAL"/>
    <x v="130"/>
    <n v="40575341.289999999"/>
    <n v="551455.27"/>
    <n v="11033650.16"/>
  </r>
  <r>
    <x v="6"/>
    <s v="3006 - TRANSPORTE TERRESTRE E TRANSITO"/>
    <x v="367"/>
    <n v="682859749.75"/>
    <n v="809873799.64999998"/>
    <n v="800790512"/>
  </r>
  <r>
    <x v="6"/>
    <s v="5025 - CULTURA"/>
    <x v="488"/>
    <n v="5807423.8799999999"/>
    <n v="1685924.39"/>
    <n v="1650978.87"/>
  </r>
  <r>
    <x v="6"/>
    <s v="3006 - TRANSPORTE TERRESTRE E TRANSITO"/>
    <x v="277"/>
    <n v="3148625.91"/>
    <n v="543315.43999999994"/>
    <n v="354361.91"/>
  </r>
  <r>
    <x v="6"/>
    <s v="0032 - PROGRAMA DE GESTAO E MANUTENCAO DO PODER EXECUTIVO"/>
    <x v="348"/>
    <n v="53347.7"/>
    <n v="76410.69"/>
    <n v="697343.41"/>
  </r>
  <r>
    <x v="6"/>
    <s v="5026 - ESPORTE"/>
    <x v="57"/>
    <n v="15125639"/>
    <n v="0"/>
    <n v="0"/>
  </r>
  <r>
    <x v="6"/>
    <s v="2015 - FORTALECIMENTO DO SISTEMA UNICO DE SAUDE (SUS)"/>
    <x v="862"/>
    <n v="0"/>
    <n v="0"/>
    <n v="0"/>
  </r>
  <r>
    <x v="6"/>
    <s v="2206 - POLITICA NUCLEAR"/>
    <x v="708"/>
    <n v="28000"/>
    <n v="377667"/>
    <n v="377667"/>
  </r>
  <r>
    <x v="6"/>
    <s v="0905 - OPERACOES ESPECIAIS: SERVICO DA DIVIDA INTERNA (JUROS EAMORTIZACOES)"/>
    <x v="70"/>
    <n v="0"/>
    <n v="10545082.41"/>
    <n v="10545082.41"/>
  </r>
  <r>
    <x v="6"/>
    <s v="5018 - ATENCAO ESPECIALIZADA A SAUDE"/>
    <x v="825"/>
    <n v="0"/>
    <n v="0"/>
    <n v="0"/>
  </r>
  <r>
    <x v="6"/>
    <s v="2217 - DESENVOLVIMENTO REGIONAL, TERRITORIAL E URBANO"/>
    <x v="632"/>
    <n v="0"/>
    <n v="0"/>
    <n v="0"/>
  </r>
  <r>
    <x v="6"/>
    <s v="6012 - DEFESA NACIONAL"/>
    <x v="75"/>
    <n v="285138.31"/>
    <n v="276493.23"/>
    <n v="147258.65"/>
  </r>
  <r>
    <x v="6"/>
    <s v="5019 - ATENCAO PRIMARIA A SAUDE"/>
    <x v="423"/>
    <n v="22946833"/>
    <n v="0"/>
    <n v="0"/>
  </r>
  <r>
    <x v="6"/>
    <s v="5015 - JUSTICA"/>
    <x v="690"/>
    <n v="15867939.99"/>
    <n v="545592.9"/>
    <n v="721347.33"/>
  </r>
  <r>
    <x v="6"/>
    <s v="0032 - PROGRAMA DE GESTAO E MANUTENCAO DO PODER EXECUTIVO"/>
    <x v="505"/>
    <n v="0"/>
    <n v="73485364.900000006"/>
    <n v="101060637.40000001"/>
  </r>
  <r>
    <x v="6"/>
    <s v="5031 - PROTECAO SOCIAL NO AMBITO DO SISTEMA UNICO DE ASSISTENCIA SOCIAL (SUAS)"/>
    <x v="514"/>
    <n v="700132"/>
    <n v="4183852127.23"/>
    <n v="4213585162.8299999"/>
  </r>
  <r>
    <x v="6"/>
    <s v="1031 - AGROPECUARIA SUSTENTAVEL"/>
    <x v="259"/>
    <n v="20"/>
    <n v="5134519.32"/>
    <n v="5134519.32"/>
  </r>
  <r>
    <x v="6"/>
    <s v="1040 - GOVERNANCA FUNDIARIA"/>
    <x v="236"/>
    <n v="0"/>
    <n v="20437729.350000001"/>
    <n v="20437729.350000001"/>
  </r>
  <r>
    <x v="6"/>
    <s v="2217 - DESENVOLVIMENTO REGIONAL, TERRITORIAL E URBANO"/>
    <x v="322"/>
    <n v="-2407696.59"/>
    <n v="19045.79"/>
    <n v="31514.65"/>
  </r>
  <r>
    <x v="6"/>
    <s v="1031 - AGROPECUARIA SUSTENTAVEL"/>
    <x v="685"/>
    <n v="595780.27"/>
    <n v="741996.93"/>
    <n v="798297.18"/>
  </r>
  <r>
    <x v="6"/>
    <s v="3006 - TRANSPORTE TERRESTRE E TRANSITO"/>
    <x v="225"/>
    <n v="2532624"/>
    <n v="905909.79"/>
    <n v="905909.79"/>
  </r>
  <r>
    <x v="6"/>
    <s v="5011 - EDUCACAO BASICA DE QUALIDADE"/>
    <x v="436"/>
    <n v="1107858.02"/>
    <n v="2078126.63"/>
    <n v="1542309.92"/>
  </r>
  <r>
    <x v="6"/>
    <s v="2217 - DESENVOLVIMENTO REGIONAL, TERRITORIAL E URBANO"/>
    <x v="757"/>
    <n v="285152487.08999997"/>
    <n v="4934411.4000000004"/>
    <n v="1114807.83"/>
  </r>
  <r>
    <x v="6"/>
    <s v="2221 - RECURSOS HIDRICOS"/>
    <x v="149"/>
    <n v="9855155.4399999995"/>
    <n v="6068284.2800000003"/>
    <n v="6068284.2800000003"/>
  </r>
  <r>
    <x v="6"/>
    <s v="6012 - DEFESA NACIONAL"/>
    <x v="542"/>
    <n v="0"/>
    <n v="0"/>
    <n v="0"/>
  </r>
  <r>
    <x v="6"/>
    <s v="2222 - SANEAMENTO BASICO"/>
    <x v="42"/>
    <n v="-34088.33"/>
    <n v="0"/>
    <n v="0"/>
  </r>
  <r>
    <x v="6"/>
    <s v="6014 - PREVENCAO E CONTROLE DO DESMATAMENTO E DOS INCENDIOS NOS BIOMAS"/>
    <x v="698"/>
    <n v="-11159513.050000001"/>
    <n v="-3655375.08"/>
    <n v="-1939181.41"/>
  </r>
  <r>
    <x v="6"/>
    <s v="0910 - OPERACOES ESPECIAIS: GESTAO DA PARTICIPACAO EM ORGANISMOS E ENTIDADES NACIONAIS E INTERNACIONAIS"/>
    <x v="369"/>
    <n v="2043454.23"/>
    <n v="2379297.75"/>
    <n v="2370733.75"/>
  </r>
  <r>
    <x v="6"/>
    <s v="4003 - GARANTIA DA ESTABILIDADE MONETARIA E FINANCEIRA"/>
    <x v="358"/>
    <n v="1109153.05"/>
    <n v="105184.38"/>
    <n v="105184.38"/>
  </r>
  <r>
    <x v="6"/>
    <s v="1031 - AGROPECUARIA SUSTENTAVEL"/>
    <x v="387"/>
    <n v="122727043.17"/>
    <n v="96246651.989999995"/>
    <n v="96265041.829999998"/>
  </r>
  <r>
    <x v="6"/>
    <s v="5016 - SEGURANCA PUBLICA, COMBATE A CORRUPCAO, AO CRIME ORGANIZADO E AO CRIME VIOLENTO"/>
    <x v="703"/>
    <n v="166877130.05000001"/>
    <n v="23116325.449999999"/>
    <n v="25047685.920000002"/>
  </r>
  <r>
    <x v="6"/>
    <s v="5021 - GESTAO E ORGANIZACAO DO SUS"/>
    <x v="477"/>
    <n v="110000"/>
    <n v="40807.839999999997"/>
    <n v="40807.839999999997"/>
  </r>
  <r>
    <x v="6"/>
    <s v="6012 - DEFESA NACIONAL"/>
    <x v="763"/>
    <n v="99635.65"/>
    <n v="821107.98"/>
    <n v="664468.92000000004"/>
  </r>
  <r>
    <x v="6"/>
    <s v="0909 - OPERACOES ESPECIAIS: OUTROS ENCARGOS ESPECIAIS"/>
    <x v="766"/>
    <n v="813617.98"/>
    <n v="76653374.640000001"/>
    <n v="94202002.5"/>
  </r>
  <r>
    <x v="6"/>
    <s v="6012 - DEFESA NACIONAL"/>
    <x v="566"/>
    <n v="17959600.699999999"/>
    <n v="1809761.29"/>
    <n v="1051555.28"/>
  </r>
  <r>
    <x v="6"/>
    <s v="2208 - TECNOLOGIAS APLICADAS, INOVACAO E DESENVOLVIMENTO SUSTENTAVEL"/>
    <x v="675"/>
    <n v="1399266.02"/>
    <n v="449617.62"/>
    <n v="447632.82"/>
  </r>
  <r>
    <x v="6"/>
    <s v="5015 - JUSTICA"/>
    <x v="308"/>
    <n v="2922052.72"/>
    <n v="2851576.26"/>
    <n v="2852190.77"/>
  </r>
  <r>
    <x v="6"/>
    <s v="6012 - DEFESA NACIONAL"/>
    <x v="340"/>
    <n v="116583.11"/>
    <n v="32361.99"/>
    <n v="17700.53"/>
  </r>
  <r>
    <x v="6"/>
    <s v="5013 - EDUCACAO SUPERIOR - GRADUACAO, POS-GRADUACAO, ENSINO, PESQUISA E EXTENSAO"/>
    <x v="396"/>
    <n v="51114326.75"/>
    <n v="318838093.70999998"/>
    <n v="313827961.57999998"/>
  </r>
  <r>
    <x v="6"/>
    <s v="6012 - DEFESA NACIONAL"/>
    <x v="639"/>
    <n v="118242537.41"/>
    <n v="83123570.590000004"/>
    <n v="81677729.659999996"/>
  </r>
  <r>
    <x v="6"/>
    <s v="0032 - PROGRAMA DE GESTAO E MANUTENCAO DO PODER EXECUTIVO"/>
    <x v="472"/>
    <n v="0"/>
    <n v="38155500"/>
    <n v="38304600"/>
  </r>
  <r>
    <x v="6"/>
    <s v="2206 - POLITICA NUCLEAR"/>
    <x v="664"/>
    <n v="15929.5"/>
    <n v="63112.21"/>
    <n v="54820.88"/>
  </r>
  <r>
    <x v="6"/>
    <s v="6012 - DEFESA NACIONAL"/>
    <x v="758"/>
    <n v="25362163.91"/>
    <n v="12481227.699999999"/>
    <n v="11317252.59"/>
  </r>
  <r>
    <x v="6"/>
    <s v="0033 - PROGRAMA DE GESTAO E MANUTENCAO DO PODER JUDICIARIO"/>
    <x v="376"/>
    <n v="13133.19"/>
    <n v="13133.19"/>
    <n v="21347.49"/>
  </r>
  <r>
    <x v="6"/>
    <s v="1043 - QUALIDADE AMBIENTAL URBANA"/>
    <x v="109"/>
    <n v="1381160"/>
    <n v="6661.23"/>
    <n v="6661.23"/>
  </r>
  <r>
    <x v="6"/>
    <s v="5013 - EDUCACAO SUPERIOR - GRADUACAO, POS-GRADUACAO, ENSINO, PESQUISA E EXTENSAO"/>
    <x v="129"/>
    <n v="32700615.710000001"/>
    <n v="29477392.809999999"/>
    <n v="29308285.030000001"/>
  </r>
  <r>
    <x v="6"/>
    <s v="3006 - TRANSPORTE TERRESTRE E TRANSITO"/>
    <x v="872"/>
    <n v="200000"/>
    <n v="3170789.13"/>
    <n v="3170789.13"/>
  </r>
  <r>
    <x v="6"/>
    <s v="2205 - CONECTA BRASIL"/>
    <x v="398"/>
    <n v="2167523"/>
    <n v="6454218.8399999999"/>
    <n v="8254218.8399999999"/>
  </r>
  <r>
    <x v="6"/>
    <s v="3005 - TRANSPORTE AQUAVIARIO"/>
    <x v="367"/>
    <n v="1991160.43"/>
    <n v="8299380.4500000002"/>
    <n v="8159248.3799999999"/>
  </r>
  <r>
    <x v="6"/>
    <s v="6012 - DEFESA NACIONAL"/>
    <x v="655"/>
    <n v="440977.29"/>
    <n v="187567.69"/>
    <n v="176573.79"/>
  </r>
  <r>
    <x v="6"/>
    <s v="0033 - PROGRAMA DE GESTAO E MANUTENCAO DO PODER JUDICIARIO"/>
    <x v="547"/>
    <n v="11068.49"/>
    <n v="11068.49"/>
    <n v="11068.49"/>
  </r>
  <r>
    <x v="6"/>
    <s v="2204 - BRASIL NA FRONTEIRA DO CONHECIMENTO"/>
    <x v="680"/>
    <n v="2959044.18"/>
    <n v="3447070.6"/>
    <n v="3471498.66"/>
  </r>
  <r>
    <x v="6"/>
    <s v="1031 - AGROPECUARIA SUSTENTAVEL"/>
    <x v="512"/>
    <n v="98949.66"/>
    <n v="2045088.22"/>
    <n v="1637684.57"/>
  </r>
  <r>
    <x v="6"/>
    <s v="0032 - PROGRAMA DE GESTAO E MANUTENCAO DO PODER EXECUTIVO"/>
    <x v="341"/>
    <n v="431853.58"/>
    <n v="550046.65"/>
    <n v="368139.71"/>
  </r>
  <r>
    <x v="6"/>
    <s v="2222 - SANEAMENTO BASICO"/>
    <x v="150"/>
    <n v="-25255637.649999999"/>
    <n v="8883534.0099999998"/>
    <n v="8883534.0099999998"/>
  </r>
  <r>
    <x v="6"/>
    <s v="0032 - PROGRAMA DE GESTAO E MANUTENCAO DO PODER EXECUTIVO"/>
    <x v="699"/>
    <n v="47186113.57"/>
    <n v="19315797.100000001"/>
    <n v="22155034.77"/>
  </r>
  <r>
    <x v="6"/>
    <s v="5022 - PROTECAO, PROMOCAO E RECUPERACAO DA SAUDE INDIGENA"/>
    <x v="742"/>
    <n v="20199506.91"/>
    <n v="4521919.38"/>
    <n v="4321639.5999999996"/>
  </r>
  <r>
    <x v="6"/>
    <s v="5020 - DESENVOLVIMENTO CIENTIFICO, TECNOLOGICO E PRODUTIVO EM SAUDE"/>
    <x v="672"/>
    <n v="12205427.960000001"/>
    <n v="9934756.9700000007"/>
    <n v="9886020.3300000001"/>
  </r>
  <r>
    <x v="6"/>
    <s v="0032 - PROGRAMA DE GESTAO E MANUTENCAO DO PODER EXECUTIVO"/>
    <x v="489"/>
    <n v="52278490.020000003"/>
    <n v="79985628.180000007"/>
    <n v="91878079.609999999"/>
  </r>
  <r>
    <x v="6"/>
    <s v="3006 - TRANSPORTE TERRESTRE E TRANSITO"/>
    <x v="980"/>
    <n v="-30000000"/>
    <n v="0"/>
    <n v="0"/>
  </r>
  <r>
    <x v="6"/>
    <s v="5021 - GESTAO E ORGANIZACAO DO SUS"/>
    <x v="724"/>
    <n v="236100"/>
    <n v="154516.29"/>
    <n v="153582.78"/>
  </r>
  <r>
    <x v="6"/>
    <s v="0903 - OPERACOES ESPECIAIS: TRANSFERENCIAS CONSTITUCIONAIS E AS DECORRENTES DE LEGISLACAO ESPECIFICA"/>
    <x v="368"/>
    <n v="21754656.030000001"/>
    <n v="41431407.189999998"/>
    <n v="47686612.780000001"/>
  </r>
  <r>
    <x v="6"/>
    <s v="1031 - AGROPECUARIA SUSTENTAVEL"/>
    <x v="756"/>
    <n v="168774.1"/>
    <n v="84147.17"/>
    <n v="75800.23"/>
  </r>
  <r>
    <x v="6"/>
    <s v="2221 - RECURSOS HIDRICOS"/>
    <x v="669"/>
    <n v="2480871.36"/>
    <n v="4713600.08"/>
    <n v="4731106.7300000004"/>
  </r>
  <r>
    <x v="6"/>
    <s v="5013 - EDUCACAO SUPERIOR - GRADUACAO, POS-GRADUACAO, ENSINO, PESQUISA E EXTENSAO"/>
    <x v="762"/>
    <n v="69041073.540000007"/>
    <n v="47475199.259999998"/>
    <n v="45664348.159999996"/>
  </r>
  <r>
    <x v="6"/>
    <s v="6012 - DEFESA NACIONAL"/>
    <x v="589"/>
    <n v="1657207.37"/>
    <n v="366336.63"/>
    <n v="315543.88"/>
  </r>
  <r>
    <x v="6"/>
    <s v="6012 - DEFESA NACIONAL"/>
    <x v="500"/>
    <n v="-9306347.8399999999"/>
    <n v="158836849.94999999"/>
    <n v="158599105.06"/>
  </r>
  <r>
    <x v="6"/>
    <s v="2208 - TECNOLOGIAS APLICADAS, INOVACAO E DESENVOLVIMENTO SUSTENTAVEL"/>
    <x v="87"/>
    <n v="4680000"/>
    <n v="3454048.19"/>
    <n v="2434398.19"/>
  </r>
  <r>
    <x v="6"/>
    <s v="5012 - EDUCACAO PROFISSIONAL E TECNOLOGICA"/>
    <x v="526"/>
    <n v="19583136.649999999"/>
    <n v="4640780.22"/>
    <n v="3534213.34"/>
  </r>
  <r>
    <x v="6"/>
    <s v="6011 - COOPERACAO COM O DESENVOLVIMENTO NACIONAL"/>
    <x v="662"/>
    <n v="4431348.74"/>
    <n v="3308569.51"/>
    <n v="2749933.76"/>
  </r>
  <r>
    <x v="6"/>
    <s v="2202 - DEFESA AGROPECUARIA"/>
    <x v="697"/>
    <n v="2788495.87"/>
    <n v="2981685.65"/>
    <n v="2284097.13"/>
  </r>
  <r>
    <x v="6"/>
    <s v="4004 - TRANSPARENCIA, INTEGRIDADE E COMBATE A CORRUPCAO"/>
    <x v="715"/>
    <n v="2719238.57"/>
    <n v="7995743.7199999997"/>
    <n v="6353228.1799999997"/>
  </r>
  <r>
    <x v="6"/>
    <s v="0903 - OPERACOES ESPECIAIS: TRANSFERENCIAS CONSTITUCIONAIS E AS DECORRENTES DE LEGISLACAO ESPECIFICA"/>
    <x v="253"/>
    <n v="736151503.03999996"/>
    <n v="564364480.52999997"/>
    <n v="588842666.10000002"/>
  </r>
  <r>
    <x v="6"/>
    <s v="2223 - A HORA DO TURISMO"/>
    <x v="528"/>
    <n v="0"/>
    <n v="0"/>
    <n v="0"/>
  </r>
  <r>
    <x v="6"/>
    <s v="5034 - PROTECAO A VIDA, FORTALECIMENTO DA FAMILIA, PROMOCAO E DEFESA DOS DIREITOS HUMANOS PARA TODOS"/>
    <x v="393"/>
    <n v="382975.37"/>
    <n v="293155.08"/>
    <n v="273835.38"/>
  </r>
  <r>
    <x v="6"/>
    <s v="6012 - DEFESA NACIONAL"/>
    <x v="736"/>
    <n v="3457752.64"/>
    <n v="2427610.9"/>
    <n v="2240621.4"/>
  </r>
  <r>
    <x v="6"/>
    <s v="6011 - COOPERACAO COM O DESENVOLVIMENTO NACIONAL"/>
    <x v="1063"/>
    <n v="7255259.5999999996"/>
    <n v="16211945.17"/>
    <n v="17087820.75"/>
  </r>
  <r>
    <x v="6"/>
    <s v="2213 - MODERNIZACAO TRABALHISTA E TRABALHO DIGNO"/>
    <x v="534"/>
    <n v="1427434.48"/>
    <n v="2314376.27"/>
    <n v="2106197.1800000002"/>
  </r>
  <r>
    <x v="6"/>
    <s v="5013 - EDUCACAO SUPERIOR - GRADUACAO, POS-GRADUACAO, ENSINO, PESQUISA E EXTENSAO"/>
    <x v="184"/>
    <n v="9562907.6300000008"/>
    <n v="1146341.6399999999"/>
    <n v="3147743.07"/>
  </r>
  <r>
    <x v="6"/>
    <s v="2203 - PESQUISA E INOVACAO AGROPECUARIA"/>
    <x v="780"/>
    <n v="762091.61"/>
    <n v="1026209.85"/>
    <n v="1062209.33"/>
  </r>
  <r>
    <x v="6"/>
    <s v="6012 - DEFESA NACIONAL"/>
    <x v="551"/>
    <n v="303661.67"/>
    <n v="283083.32"/>
    <n v="265362.09000000003"/>
  </r>
  <r>
    <x v="6"/>
    <s v="2201 - BRASIL MODERNIZA"/>
    <x v="451"/>
    <n v="69537.22"/>
    <n v="1545539.77"/>
    <n v="1587403.47"/>
  </r>
  <r>
    <x v="6"/>
    <s v="5011 - EDUCACAO BASICA DE QUALIDADE"/>
    <x v="188"/>
    <n v="279267317.77999997"/>
    <n v="506333215.20999998"/>
    <n v="506434714.75999999"/>
  </r>
  <r>
    <x v="6"/>
    <s v="5033 - SEGURANCA ALIMENTAR E NUTRICIONAL"/>
    <x v="792"/>
    <n v="308248908.86000001"/>
    <n v="3849704.58"/>
    <n v="3690835.72"/>
  </r>
  <r>
    <x v="6"/>
    <s v="5012 - EDUCACAO PROFISSIONAL E TECNOLOGICA"/>
    <x v="759"/>
    <n v="4358887.17"/>
    <n v="3507807.1"/>
    <n v="3535993.56"/>
  </r>
  <r>
    <x v="6"/>
    <s v="0033 - PROGRAMA DE GESTAO E MANUTENCAO DO PODER JUDICIARIO"/>
    <x v="205"/>
    <n v="2768.2"/>
    <n v="9706.08"/>
    <n v="9706.08"/>
  </r>
  <r>
    <x v="6"/>
    <s v="5018 - ATENCAO ESPECIALIZADA A SAUDE"/>
    <x v="437"/>
    <n v="5048784636.2700005"/>
    <n v="5004532125.5200005"/>
    <n v="4994322308.79"/>
  </r>
  <r>
    <x v="6"/>
    <s v="5011 - EDUCACAO BASICA DE QUALIDADE"/>
    <x v="747"/>
    <n v="4748043.38"/>
    <n v="4273288.1100000003"/>
    <n v="3762397.6"/>
  </r>
  <r>
    <x v="6"/>
    <s v="2202 - DEFESA AGROPECUARIA"/>
    <x v="789"/>
    <n v="7308031.9199999999"/>
    <n v="14696860.800000001"/>
    <n v="13859676.23"/>
  </r>
  <r>
    <x v="6"/>
    <s v="2209 - BRASIL, NOSSO PROPOSITO"/>
    <x v="750"/>
    <n v="10746645.210000001"/>
    <n v="4042864.19"/>
    <n v="3373233.51"/>
  </r>
  <r>
    <x v="6"/>
    <s v="5029 - PRODUCAO DE DADOS E CONHECIMENTO PARA O APRIMORAMENTO DE POLITICAS PUBLICAS"/>
    <x v="320"/>
    <n v="348385.4"/>
    <n v="1123921.03"/>
    <n v="1123921.03"/>
  </r>
  <r>
    <x v="6"/>
    <s v="5020 - DESENVOLVIMENTO CIENTIFICO, TECNOLOGICO E PRODUTIVO EM SAUDE"/>
    <x v="1107"/>
    <n v="0"/>
    <n v="17132801.550000001"/>
    <n v="0"/>
  </r>
  <r>
    <x v="6"/>
    <s v="5013 - EDUCACAO SUPERIOR - GRADUACAO, POS-GRADUACAO, ENSINO, PESQUISA E EXTENSAO"/>
    <x v="394"/>
    <n v="4154178.62"/>
    <n v="5100"/>
    <n v="0"/>
  </r>
  <r>
    <x v="6"/>
    <s v="0032 - PROGRAMA DE GESTAO E MANUTENCAO DO PODER EXECUTIVO"/>
    <x v="570"/>
    <n v="9433545.8499999996"/>
    <n v="7521030.5899999999"/>
    <n v="7688444.9299999997"/>
  </r>
  <r>
    <x v="6"/>
    <s v="2216 - POLITICA EXTERNA"/>
    <x v="781"/>
    <n v="22664187.640000001"/>
    <n v="55139624.439999998"/>
    <n v="56047341.630000003"/>
  </r>
  <r>
    <x v="6"/>
    <s v="4002 - SEGURANCA INSTITUCIONAL"/>
    <x v="483"/>
    <n v="5895299.54"/>
    <n v="2936732.85"/>
    <n v="2964898.86"/>
  </r>
  <r>
    <x v="6"/>
    <s v="1040 - GOVERNANCA FUNDIARIA"/>
    <x v="585"/>
    <n v="446809.51"/>
    <n v="126744.72"/>
    <n v="116654.34"/>
  </r>
  <r>
    <x v="6"/>
    <s v="2029 - DESENVOLVIMENTO REGIONAL E TERRITORIAL"/>
    <x v="1055"/>
    <n v="0"/>
    <n v="0"/>
    <n v="0"/>
  </r>
  <r>
    <x v="6"/>
    <s v="6012 - DEFESA NACIONAL"/>
    <x v="525"/>
    <n v="3436506.24"/>
    <n v="2694784.16"/>
    <n v="3194398.46"/>
  </r>
  <r>
    <x v="6"/>
    <s v="5013 - EDUCACAO SUPERIOR - GRADUACAO, POS-GRADUACAO, ENSINO, PESQUISA E EXTENSAO"/>
    <x v="784"/>
    <n v="108694699.89"/>
    <n v="95613494.019999996"/>
    <n v="98236499.540000007"/>
  </r>
  <r>
    <x v="6"/>
    <s v="5011 - EDUCACAO BASICA DE QUALIDADE"/>
    <x v="752"/>
    <n v="5290093.5999999996"/>
    <n v="6971918.5300000003"/>
    <n v="4786691.22"/>
  </r>
  <r>
    <x v="6"/>
    <s v="6012 - DEFESA NACIONAL"/>
    <x v="787"/>
    <n v="183108858.06"/>
    <n v="109179513.13"/>
    <n v="103947077.22"/>
  </r>
  <r>
    <x v="6"/>
    <s v="6012 - DEFESA NACIONAL"/>
    <x v="761"/>
    <n v="1020316.44"/>
    <n v="2288619.8199999998"/>
    <n v="3033763.07"/>
  </r>
  <r>
    <x v="6"/>
    <s v="6012 - DEFESA NACIONAL"/>
    <x v="65"/>
    <n v="192000"/>
    <n v="168533.75"/>
    <n v="160044.95000000001"/>
  </r>
  <r>
    <x v="6"/>
    <s v="0032 - PROGRAMA DE GESTAO E MANUTENCAO DO PODER EXECUTIVO"/>
    <x v="433"/>
    <n v="846160.31"/>
    <n v="101416.43"/>
    <n v="0"/>
  </r>
  <r>
    <x v="6"/>
    <s v="6012 - DEFESA NACIONAL"/>
    <x v="777"/>
    <n v="423337.12"/>
    <n v="452617.7"/>
    <n v="335226.78000000003"/>
  </r>
  <r>
    <x v="6"/>
    <s v="0910 - OPERACOES ESPECIAIS: GESTAO DA PARTICIPACAO EM ORGANISMOS E ENTIDADES NACIONAIS E INTERNACIONAIS"/>
    <x v="693"/>
    <n v="529815.51"/>
    <n v="617169.14"/>
    <n v="689581.58"/>
  </r>
  <r>
    <x v="6"/>
    <s v="0032 - PROGRAMA DE GESTAO E MANUTENCAO DO PODER EXECUTIVO"/>
    <x v="791"/>
    <n v="1138785491.03"/>
    <n v="6020190812.3699999"/>
    <n v="8904127482.6299992"/>
  </r>
  <r>
    <x v="6"/>
    <s v="5013 - EDUCACAO SUPERIOR - GRADUACAO, POS-GRADUACAO, ENSINO, PESQUISA E EXTENSAO"/>
    <x v="504"/>
    <n v="3740141.81"/>
    <n v="19321991.84"/>
    <n v="21647729.48"/>
  </r>
  <r>
    <x v="6"/>
    <s v="2015 - FORTALECIMENTO DO SISTEMA UNICO DE SAUDE (SUS)"/>
    <x v="909"/>
    <n v="0"/>
    <n v="0"/>
    <n v="0"/>
  </r>
  <r>
    <x v="6"/>
    <s v="5012 - EDUCACAO PROFISSIONAL E TECNOLOGICA"/>
    <x v="454"/>
    <n v="55491312.740000002"/>
    <n v="47002490.189999998"/>
    <n v="47474417.170000002"/>
  </r>
  <r>
    <x v="6"/>
    <s v="6012 - DEFESA NACIONAL"/>
    <x v="768"/>
    <n v="8981315.8200000003"/>
    <n v="7593383.8899999997"/>
    <n v="6023074.5999999996"/>
  </r>
  <r>
    <x v="6"/>
    <s v="0903 - OPERACOES ESPECIAIS: TRANSFERENCIAS CONSTITUCIONAIS E AS DECORRENTES DE LEGISLACAO ESPECIFICA"/>
    <x v="457"/>
    <n v="280693552.20999998"/>
    <n v="271737189.75999999"/>
    <n v="306013237.13999999"/>
  </r>
  <r>
    <x v="6"/>
    <s v="0032 - PROGRAMA DE GESTAO E MANUTENCAO DO PODER EXECUTIVO"/>
    <x v="383"/>
    <n v="505990172.55000001"/>
    <n v="2439319140.5"/>
    <n v="3357192287.3200002"/>
  </r>
  <r>
    <x v="6"/>
    <s v="5016 - SEGURANCA PUBLICA, COMBATE A CORRUPCAO, AO CRIME ORGANIZADO E AO CRIME VIOLENTO"/>
    <x v="785"/>
    <n v="32368028.260000002"/>
    <n v="26872969.670000002"/>
    <n v="22845447.920000002"/>
  </r>
  <r>
    <x v="6"/>
    <s v="2216 - POLITICA EXTERNA"/>
    <x v="775"/>
    <n v="10324245.23"/>
    <n v="2277121.14"/>
    <n v="2309980"/>
  </r>
  <r>
    <x v="6"/>
    <s v="5012 - EDUCACAO PROFISSIONAL E TECNOLOGICA"/>
    <x v="682"/>
    <n v="42232469.009999998"/>
    <n v="10730407.689999999"/>
    <n v="4575942.78"/>
  </r>
  <r>
    <x v="6"/>
    <s v="2218 - GESTAO DE RISCOS E DE DESASTRES"/>
    <x v="643"/>
    <n v="183382.51"/>
    <n v="699514.69"/>
    <n v="679138.53"/>
  </r>
  <r>
    <x v="6"/>
    <s v="0032 - PROGRAMA DE GESTAO E MANUTENCAO DO PODER EXECUTIVO"/>
    <x v="495"/>
    <n v="-97943.07"/>
    <n v="2006489.91"/>
    <n v="2258735.4700000002"/>
  </r>
  <r>
    <x v="6"/>
    <s v="6011 - COOPERACAO COM O DESENVOLVIMENTO NACIONAL"/>
    <x v="733"/>
    <n v="47135827.210000001"/>
    <n v="25811707.449999999"/>
    <n v="25031138.07"/>
  </r>
  <r>
    <x v="6"/>
    <s v="0901 - OPERACOES ESPECIAIS: CUMPRIMENTO DE SENTENCAS JUDICIAIS"/>
    <x v="629"/>
    <n v="44278390.079999998"/>
    <n v="47191713.369999997"/>
    <n v="45984466.119999997"/>
  </r>
  <r>
    <x v="6"/>
    <s v="5013 - EDUCACAO SUPERIOR - GRADUACAO, POS-GRADUACAO, ENSINO, PESQUISA E EXTENSAO"/>
    <x v="793"/>
    <n v="19850164.469999999"/>
    <n v="68271889.700000003"/>
    <n v="69076707.310000002"/>
  </r>
  <r>
    <x v="6"/>
    <s v="0032 - PROGRAMA DE GESTAO E MANUTENCAO DO PODER EXECUTIVO"/>
    <x v="709"/>
    <n v="39669465.960000001"/>
    <n v="7014120.3099999996"/>
    <n v="3683226.31"/>
  </r>
  <r>
    <x v="6"/>
    <s v="3001 - ENERGIA ELETRICA"/>
    <x v="581"/>
    <n v="10175.370000000001"/>
    <n v="1192247.69"/>
    <n v="1193858.49"/>
  </r>
  <r>
    <x v="6"/>
    <s v="5023 - VIGILANCIA EM SAUDE"/>
    <x v="234"/>
    <n v="4401513.24"/>
    <n v="1408810.3"/>
    <n v="1814675.65"/>
  </r>
  <r>
    <x v="6"/>
    <s v="1040 - GOVERNANCA FUNDIARIA"/>
    <x v="231"/>
    <n v="166528.32999999999"/>
    <n v="267341.75"/>
    <n v="350446.02"/>
  </r>
  <r>
    <x v="6"/>
    <s v="0032 - PROGRAMA DE GESTAO E MANUTENCAO DO PODER EXECUTIVO"/>
    <x v="779"/>
    <n v="1031798.88"/>
    <n v="627635.32999999996"/>
    <n v="570610.51"/>
  </r>
  <r>
    <x v="6"/>
    <s v="6012 - DEFESA NACIONAL"/>
    <x v="25"/>
    <n v="29796337.550000001"/>
    <n v="13321645.59"/>
    <n v="13478135.27"/>
  </r>
  <r>
    <x v="6"/>
    <s v="6012 - DEFESA NACIONAL"/>
    <x v="773"/>
    <n v="10763513.18"/>
    <n v="6427975.0099999998"/>
    <n v="6564072.9900000002"/>
  </r>
  <r>
    <x v="6"/>
    <s v="5016 - SEGURANCA PUBLICA, COMBATE A CORRUPCAO, AO CRIME ORGANIZADO E AO CRIME VIOLENTO"/>
    <x v="642"/>
    <n v="36489416"/>
    <n v="12853644.5"/>
    <n v="15811730.859999999"/>
  </r>
  <r>
    <x v="6"/>
    <s v="6012 - DEFESA NACIONAL"/>
    <x v="676"/>
    <n v="2321234.59"/>
    <n v="1816233.4"/>
    <n v="1340414.81"/>
  </r>
  <r>
    <x v="6"/>
    <s v="5026 - ESPORTE"/>
    <x v="92"/>
    <n v="0"/>
    <n v="10260348.99"/>
    <n v="10260348.99"/>
  </r>
  <r>
    <x v="6"/>
    <s v="1040 - GOVERNANCA FUNDIARIA"/>
    <x v="605"/>
    <n v="7274195.2800000003"/>
    <n v="1319726.94"/>
    <n v="1420673.14"/>
  </r>
  <r>
    <x v="6"/>
    <s v="2221 - RECURSOS HIDRICOS"/>
    <x v="327"/>
    <n v="0"/>
    <n v="0"/>
    <n v="0"/>
  </r>
  <r>
    <x v="6"/>
    <s v="2081 - JUSTICA, CIDADANIA E SEGURANCA PUBLICA"/>
    <x v="1116"/>
    <n v="0"/>
    <n v="0"/>
    <n v="0"/>
  </r>
  <r>
    <x v="6"/>
    <s v="5013 - EDUCACAO SUPERIOR - GRADUACAO, POS-GRADUACAO, ENSINO, PESQUISA E EXTENSAO"/>
    <x v="769"/>
    <n v="600342522.76999998"/>
    <n v="383630348.88"/>
    <n v="365187274.95999998"/>
  </r>
  <r>
    <x v="6"/>
    <s v="5021 - GESTAO E ORGANIZACAO DO SUS"/>
    <x v="855"/>
    <n v="5439700"/>
    <n v="3531295.49"/>
    <n v="30936.39"/>
  </r>
  <r>
    <x v="6"/>
    <s v="2203 - PESQUISA E INOVACAO AGROPECUARIA"/>
    <x v="270"/>
    <n v="4386054.66"/>
    <n v="14944202.949999999"/>
    <n v="16811928.239999998"/>
  </r>
  <r>
    <x v="6"/>
    <s v="5013 - EDUCACAO SUPERIOR - GRADUACAO, POS-GRADUACAO, ENSINO, PESQUISA E EXTENSAO"/>
    <x v="798"/>
    <n v="66201612.079999998"/>
    <n v="46059900.590000004"/>
    <n v="36948832.719999999"/>
  </r>
  <r>
    <x v="6"/>
    <s v="6012 - DEFESA NACIONAL"/>
    <x v="717"/>
    <n v="775415.72"/>
    <n v="335825.79"/>
    <n v="417367.84"/>
  </r>
  <r>
    <x v="6"/>
    <s v="6011 - COOPERACAO COM O DESENVOLVIMENTO NACIONAL"/>
    <x v="701"/>
    <n v="1920288.34"/>
    <n v="126021.89"/>
    <n v="96381.43"/>
  </r>
  <r>
    <x v="6"/>
    <s v="5025 - CULTURA"/>
    <x v="753"/>
    <n v="30229519.469999999"/>
    <n v="2683022.9"/>
    <n v="469034.23"/>
  </r>
  <r>
    <x v="6"/>
    <s v="1031 - AGROPECUARIA SUSTENTAVEL"/>
    <x v="452"/>
    <n v="888976.67"/>
    <n v="934496.28"/>
    <n v="363582.29"/>
  </r>
  <r>
    <x v="6"/>
    <s v="1031 - AGROPECUARIA SUSTENTAVEL"/>
    <x v="713"/>
    <n v="36310353.68"/>
    <n v="500573.69"/>
    <n v="428.69"/>
  </r>
  <r>
    <x v="6"/>
    <s v="2216 - POLITICA EXTERNA"/>
    <x v="694"/>
    <n v="486448.93"/>
    <n v="621661.85"/>
    <n v="621661.85"/>
  </r>
  <r>
    <x v="6"/>
    <s v="5016 - SEGURANCA PUBLICA, COMBATE A CORRUPCAO, AO CRIME ORGANIZADO E AO CRIME VIOLENTO"/>
    <x v="754"/>
    <n v="0"/>
    <n v="635249.48"/>
    <n v="635249.48"/>
  </r>
  <r>
    <x v="6"/>
    <s v="5013 - EDUCACAO SUPERIOR - GRADUACAO, POS-GRADUACAO, ENSINO, PESQUISA E EXTENSAO"/>
    <x v="258"/>
    <n v="-74739.31"/>
    <n v="89480"/>
    <n v="53480"/>
  </r>
  <r>
    <x v="6"/>
    <s v="0032 - PROGRAMA DE GESTAO E MANUTENCAO DO PODER EXECUTIVO"/>
    <x v="114"/>
    <n v="345064568.13999999"/>
    <n v="484636653.25999999"/>
    <n v="460067009.02999997"/>
  </r>
  <r>
    <x v="6"/>
    <s v="6012 - DEFESA NACIONAL"/>
    <x v="739"/>
    <n v="10197738.869999999"/>
    <n v="3691654.67"/>
    <n v="3400146.9"/>
  </r>
  <r>
    <x v="6"/>
    <s v="6012 - DEFESA NACIONAL"/>
    <x v="788"/>
    <n v="71566610.230000004"/>
    <n v="83305139.790000007"/>
    <n v="76710561.180000007"/>
  </r>
  <r>
    <x v="6"/>
    <s v="0032 - PROGRAMA DE GESTAO E MANUTENCAO DO PODER EXECUTIVO"/>
    <x v="628"/>
    <n v="372627137.93000001"/>
    <n v="1264049730.1900001"/>
    <n v="1269360070.76"/>
  </r>
  <r>
    <x v="6"/>
    <s v="6012 - DEFESA NACIONAL"/>
    <x v="741"/>
    <n v="16204589.300000001"/>
    <n v="11623263.970000001"/>
    <n v="11097876.109999999"/>
  </r>
  <r>
    <x v="6"/>
    <s v="6012 - DEFESA NACIONAL"/>
    <x v="521"/>
    <n v="13657354.550000001"/>
    <n v="4218281.2699999996"/>
    <n v="4671136.29"/>
  </r>
  <r>
    <x v="6"/>
    <s v="6012 - DEFESA NACIONAL"/>
    <x v="637"/>
    <n v="714978.12"/>
    <n v="960077.37"/>
    <n v="899482.96"/>
  </r>
  <r>
    <x v="6"/>
    <s v="0032 - PROGRAMA DE GESTAO E MANUTENCAO DO PODER EXECUTIVO"/>
    <x v="40"/>
    <n v="6125605.7699999996"/>
    <n v="4398266.25"/>
    <n v="4128373.54"/>
  </r>
  <r>
    <x v="6"/>
    <s v="0032 - PROGRAMA DE GESTAO E MANUTENCAO DO PODER EXECUTIVO"/>
    <x v="782"/>
    <n v="2949067378.8800001"/>
    <n v="7719972691.8699999"/>
    <n v="9869376203.2000008"/>
  </r>
  <r>
    <x v="6"/>
    <s v="0032 - PROGRAMA DE GESTAO E MANUTENCAO DO PODER EXECUTIVO"/>
    <x v="770"/>
    <n v="37068331.399999999"/>
    <n v="51457318.880000003"/>
    <n v="48868470.649999999"/>
  </r>
  <r>
    <x v="6"/>
    <s v="0032 - PROGRAMA DE GESTAO E MANUTENCAO DO PODER EXECUTIVO"/>
    <x v="52"/>
    <n v="862582615.09000003"/>
    <n v="716290881.80999994"/>
    <n v="711216269.13"/>
  </r>
  <r>
    <x v="6"/>
    <s v="0032 - PROGRAMA DE GESTAO E MANUTENCAO DO PODER EXECUTIVO"/>
    <x v="796"/>
    <n v="333004992.88999999"/>
    <n v="764492630.71000004"/>
    <n v="775758539.00999999"/>
  </r>
  <r>
    <x v="6"/>
    <s v="5012 - EDUCACAO PROFISSIONAL E TECNOLOGICA"/>
    <x v="365"/>
    <n v="169048047.06"/>
    <n v="151563567.19"/>
    <n v="143266203.31"/>
  </r>
  <r>
    <x v="7"/>
    <s v="0909 - OPERACOES ESPECIAIS: OUTROS ENCARGOS ESPECIAIS"/>
    <x v="288"/>
    <n v="0"/>
    <n v="0"/>
    <n v="5184840"/>
  </r>
  <r>
    <x v="7"/>
    <s v="2221 - RECURSOS HIDRICOS"/>
    <x v="1010"/>
    <n v="0"/>
    <n v="18214.7"/>
    <n v="18440.47"/>
  </r>
  <r>
    <x v="7"/>
    <s v="5034 - PROTECAO A VIDA, FORTALECIMENTO DA FAMILIA, PROMOCAO E DEFESA DOS DIREITOS HUMANOS PARA TODOS"/>
    <x v="338"/>
    <n v="0"/>
    <n v="2687374.07"/>
    <n v="2687374.07"/>
  </r>
  <r>
    <x v="7"/>
    <s v="2021 - CIENCIA, TECNOLOGIA E INOVACAO"/>
    <x v="674"/>
    <n v="0"/>
    <n v="0"/>
    <n v="0"/>
  </r>
  <r>
    <x v="7"/>
    <s v="2218 - GESTAO DE RISCOS E DE DESASTRES"/>
    <x v="342"/>
    <n v="960019"/>
    <n v="0"/>
    <n v="0"/>
  </r>
  <r>
    <x v="7"/>
    <s v="0151 - PROTECAO DE TERRAS INDIGENAS, GESTAO TERRITORIAL E ETNODESENVOLVIMENTO"/>
    <x v="919"/>
    <n v="0"/>
    <n v="90100.09"/>
    <n v="72046.09"/>
  </r>
  <r>
    <x v="7"/>
    <s v="5018 - ATENCAO ESPECIALIZADA A SAUDE"/>
    <x v="202"/>
    <n v="2191393.9500000002"/>
    <n v="8060918.3799999999"/>
    <n v="7800581.3700000001"/>
  </r>
  <r>
    <x v="7"/>
    <s v="2205 - CONECTA BRASIL"/>
    <x v="1105"/>
    <n v="0"/>
    <n v="144401666.08000001"/>
    <n v="144401666.08000001"/>
  </r>
  <r>
    <x v="7"/>
    <s v="2217 - DESENVOLVIMENTO REGIONAL, TERRITORIAL E URBANO"/>
    <x v="213"/>
    <n v="0"/>
    <n v="4468"/>
    <n v="12325.06"/>
  </r>
  <r>
    <x v="7"/>
    <s v="2222 - SANEAMENTO BASICO"/>
    <x v="646"/>
    <n v="0"/>
    <n v="0"/>
    <n v="0"/>
  </r>
  <r>
    <x v="7"/>
    <s v="5020 - DESENVOLVIMENTO CIENTIFICO, TECNOLOGICO E PRODUTIVO EM SAUDE"/>
    <x v="909"/>
    <n v="0"/>
    <n v="2112190.94"/>
    <n v="0"/>
  </r>
  <r>
    <x v="7"/>
    <s v="2217 - DESENVOLVIMENTO REGIONAL, TERRITORIAL E URBANO"/>
    <x v="282"/>
    <n v="0"/>
    <n v="0"/>
    <n v="0"/>
  </r>
  <r>
    <x v="7"/>
    <s v="3006 - TRANSPORTE TERRESTRE E TRANSITO"/>
    <x v="450"/>
    <n v="0"/>
    <n v="8223062.0599999996"/>
    <n v="8223062.0599999996"/>
  </r>
  <r>
    <x v="7"/>
    <s v="3006 - TRANSPORTE TERRESTRE E TRANSITO"/>
    <x v="332"/>
    <n v="0"/>
    <n v="56112.38"/>
    <n v="326034.84999999998"/>
  </r>
  <r>
    <x v="7"/>
    <s v="5018 - ATENCAO ESPECIALIZADA A SAUDE"/>
    <x v="857"/>
    <n v="-38409"/>
    <n v="0"/>
    <n v="0"/>
  </r>
  <r>
    <x v="7"/>
    <s v="5013 - EDUCACAO SUPERIOR - GRADUACAO, POS-GRADUACAO, ENSINO, PESQUISA E EXTENSAO"/>
    <x v="89"/>
    <n v="0"/>
    <n v="239952"/>
    <n v="198010.52"/>
  </r>
  <r>
    <x v="7"/>
    <s v="5013 - EDUCACAO SUPERIOR - GRADUACAO, POS-GRADUACAO, ENSINO, PESQUISA E EXTENSAO"/>
    <x v="123"/>
    <n v="0"/>
    <n v="11547200"/>
    <n v="11547200"/>
  </r>
  <r>
    <x v="7"/>
    <s v="2081 - JUSTICA, CIDADANIA E SEGURANCA PUBLICA"/>
    <x v="785"/>
    <n v="0"/>
    <n v="0"/>
    <n v="0"/>
  </r>
  <r>
    <x v="7"/>
    <s v="2021 - CIENCIA, TECNOLOGIA E INOVACAO"/>
    <x v="11"/>
    <n v="0"/>
    <n v="0"/>
    <n v="0"/>
  </r>
  <r>
    <x v="7"/>
    <s v="3006 - TRANSPORTE TERRESTRE E TRANSITO"/>
    <x v="120"/>
    <n v="0"/>
    <n v="250986.25"/>
    <n v="101789.49"/>
  </r>
  <r>
    <x v="7"/>
    <s v="0910 - OPERACOES ESPECIAIS: GESTAO DA PARTICIPACAO EM ORGANISMOS E ENTIDADES NACIONAIS E INTERNACIONAIS"/>
    <x v="1131"/>
    <n v="361500345"/>
    <n v="0"/>
    <n v="0"/>
  </r>
  <r>
    <x v="7"/>
    <s v="3001 - ENERGIA ELETRICA"/>
    <x v="581"/>
    <n v="-42948.13"/>
    <n v="2392045.15"/>
    <n v="2392045.15"/>
  </r>
  <r>
    <x v="7"/>
    <s v="6012 - DEFESA NACIONAL"/>
    <x v="508"/>
    <n v="440250.96"/>
    <n v="344213.91"/>
    <n v="324133.12"/>
  </r>
  <r>
    <x v="7"/>
    <s v="2221 - RECURSOS HIDRICOS"/>
    <x v="486"/>
    <n v="252785.95"/>
    <n v="573658.13"/>
    <n v="611373.06999999995"/>
  </r>
  <r>
    <x v="7"/>
    <s v="2208 - TECNOLOGIAS APLICADAS, INOVACAO E DESENVOLVIMENTO SUSTENTAVEL"/>
    <x v="922"/>
    <n v="0"/>
    <n v="0"/>
    <n v="0"/>
  </r>
  <r>
    <x v="7"/>
    <s v="2201 - BRASIL MODERNIZA"/>
    <x v="14"/>
    <n v="0"/>
    <n v="0"/>
    <n v="0"/>
  </r>
  <r>
    <x v="7"/>
    <s v="5034 - PROTECAO A VIDA, FORTALECIMENTO DA FAMILIA, PROMOCAO E DEFESA DOS DIREITOS HUMANOS PARA TODOS"/>
    <x v="305"/>
    <n v="0"/>
    <n v="711314.88"/>
    <n v="711314.88"/>
  </r>
  <r>
    <x v="7"/>
    <s v="2215 - POLITICA ECONOMICA E EQUILIBRIO FISCAL"/>
    <x v="96"/>
    <n v="116519.42"/>
    <n v="7368.64"/>
    <n v="7368.64"/>
  </r>
  <r>
    <x v="7"/>
    <s v="2221 - RECURSOS HIDRICOS"/>
    <x v="1077"/>
    <n v="0"/>
    <n v="0"/>
    <n v="0"/>
  </r>
  <r>
    <x v="7"/>
    <s v="5013 - EDUCACAO SUPERIOR - GRADUACAO, POS-GRADUACAO, ENSINO, PESQUISA E EXTENSAO"/>
    <x v="404"/>
    <n v="0"/>
    <n v="0"/>
    <n v="0"/>
  </r>
  <r>
    <x v="7"/>
    <s v="0032 - PROGRAMA DE GESTAO E MANUTENCAO DO PODER EXECUTIVO"/>
    <x v="90"/>
    <n v="0"/>
    <n v="156193.38"/>
    <n v="198799.17"/>
  </r>
  <r>
    <x v="7"/>
    <s v="2080 - EDUCACAO DE QUALIDADE PARA TODOS"/>
    <x v="386"/>
    <n v="0"/>
    <n v="0"/>
    <n v="0"/>
  </r>
  <r>
    <x v="7"/>
    <s v="2205 - CONECTA BRASIL"/>
    <x v="250"/>
    <n v="773899.72"/>
    <n v="481165.44"/>
    <n v="472487.14"/>
  </r>
  <r>
    <x v="7"/>
    <s v="2205 - CONECTA BRASIL"/>
    <x v="80"/>
    <n v="0"/>
    <n v="8248010.4199999999"/>
    <n v="9353734.2599999998"/>
  </r>
  <r>
    <x v="7"/>
    <s v="3006 - TRANSPORTE TERRESTRE E TRANSITO"/>
    <x v="481"/>
    <n v="10166567.23"/>
    <n v="363946.66"/>
    <n v="363946.66"/>
  </r>
  <r>
    <x v="7"/>
    <s v="2218 - GESTAO DE RISCOS E DE DESASTRES"/>
    <x v="1146"/>
    <n v="4775000"/>
    <n v="3000000"/>
    <n v="3000000"/>
  </r>
  <r>
    <x v="7"/>
    <s v="3006 - TRANSPORTE TERRESTRE E TRANSITO"/>
    <x v="216"/>
    <n v="0"/>
    <n v="72932.12"/>
    <n v="55932.66"/>
  </r>
  <r>
    <x v="7"/>
    <s v="2208 - TECNOLOGIAS APLICADAS, INOVACAO E DESENVOLVIMENTO SUSTENTAVEL"/>
    <x v="749"/>
    <n v="378419.99"/>
    <n v="378419.99"/>
    <n v="378419.99"/>
  </r>
  <r>
    <x v="7"/>
    <s v="6012 - DEFESA NACIONAL"/>
    <x v="856"/>
    <n v="0"/>
    <n v="0"/>
    <n v="2037235.06"/>
  </r>
  <r>
    <x v="7"/>
    <s v="5025 - CULTURA"/>
    <x v="303"/>
    <n v="0"/>
    <n v="115200"/>
    <n v="114799.5"/>
  </r>
  <r>
    <x v="7"/>
    <s v="2213 - MODERNIZACAO TRABALHISTA E TRABALHO DIGNO"/>
    <x v="1150"/>
    <n v="20000"/>
    <n v="159519.97"/>
    <n v="90363.55"/>
  </r>
  <r>
    <x v="7"/>
    <s v="2212 - MELHORIA DO AMBIENTE DE NEGOCIOS E DA PRODUTIVIDADE"/>
    <x v="37"/>
    <n v="0"/>
    <n v="7995395.9699999997"/>
    <n v="0"/>
  </r>
  <r>
    <x v="7"/>
    <s v="3006 - TRANSPORTE TERRESTRE E TRANSITO"/>
    <x v="582"/>
    <n v="0"/>
    <n v="1729219.25"/>
    <n v="1729219.25"/>
  </r>
  <r>
    <x v="7"/>
    <s v="3006 - TRANSPORTE TERRESTRE E TRANSITO"/>
    <x v="883"/>
    <n v="0"/>
    <n v="97587.3"/>
    <n v="9879.83"/>
  </r>
  <r>
    <x v="7"/>
    <s v="2206 - POLITICA NUCLEAR"/>
    <x v="851"/>
    <n v="140000"/>
    <n v="511.89"/>
    <n v="511.89"/>
  </r>
  <r>
    <x v="7"/>
    <s v="5011 - EDUCACAO BASICA DE QUALIDADE"/>
    <x v="859"/>
    <n v="0"/>
    <n v="0"/>
    <n v="0"/>
  </r>
  <r>
    <x v="7"/>
    <s v="1031 - AGROPECUARIA SUSTENTAVEL"/>
    <x v="77"/>
    <n v="0"/>
    <n v="2445857122.0300002"/>
    <n v="1242633482"/>
  </r>
  <r>
    <x v="7"/>
    <s v="2221 - RECURSOS HIDRICOS"/>
    <x v="339"/>
    <n v="0"/>
    <n v="578.4"/>
    <n v="1732932.82"/>
  </r>
  <r>
    <x v="7"/>
    <s v="2080 - EDUCACAO DE QUALIDADE PARA TODOS"/>
    <x v="526"/>
    <n v="0"/>
    <n v="0"/>
    <n v="0"/>
  </r>
  <r>
    <x v="7"/>
    <s v="0032 - PROGRAMA DE GESTAO E MANUTENCAO DO PODER EXECUTIVO"/>
    <x v="802"/>
    <n v="150000"/>
    <n v="236538.59"/>
    <n v="200377.82"/>
  </r>
  <r>
    <x v="7"/>
    <s v="2217 - DESENVOLVIMENTO REGIONAL, TERRITORIAL E URBANO"/>
    <x v="959"/>
    <n v="0"/>
    <n v="0"/>
    <n v="0"/>
  </r>
  <r>
    <x v="7"/>
    <s v="2208 - TECNOLOGIAS APLICADAS, INOVACAO E DESENVOLVIMENTO SUSTENTAVEL"/>
    <x v="891"/>
    <n v="0"/>
    <n v="0"/>
    <n v="0"/>
  </r>
  <r>
    <x v="7"/>
    <s v="0617 - PROTECAO E PROMOCAO DOS DIREITOS DOS POVOS INDIGENAS"/>
    <x v="373"/>
    <n v="0"/>
    <n v="0"/>
    <n v="0"/>
  </r>
  <r>
    <x v="7"/>
    <s v="2068 - SANEAMENTO BASICO"/>
    <x v="105"/>
    <n v="0"/>
    <n v="0"/>
    <n v="0"/>
  </r>
  <r>
    <x v="7"/>
    <s v="2221 - RECURSOS HIDRICOS"/>
    <x v="1006"/>
    <n v="14600000"/>
    <n v="0"/>
    <n v="0"/>
  </r>
  <r>
    <x v="7"/>
    <s v="2217 - DESENVOLVIMENTO REGIONAL, TERRITORIAL E URBANO"/>
    <x v="783"/>
    <n v="0"/>
    <n v="0"/>
    <n v="0"/>
  </r>
  <r>
    <x v="7"/>
    <s v="5014 - ESTATISTICAS E AVALIACOES EDUCACIONAIS"/>
    <x v="32"/>
    <n v="99665.9"/>
    <n v="931358.38"/>
    <n v="575287.02"/>
  </r>
  <r>
    <x v="7"/>
    <s v="2054 - PLANEJAMENTO URBANO"/>
    <x v="545"/>
    <n v="0"/>
    <n v="0"/>
    <n v="0"/>
  </r>
  <r>
    <x v="7"/>
    <s v="5031 - PROTECAO SOCIAL NO AMBITO DO SISTEMA UNICO DE ASSISTENCIA SOCIAL (SUAS)"/>
    <x v="307"/>
    <n v="6692000"/>
    <n v="6692000"/>
    <n v="6692000"/>
  </r>
  <r>
    <x v="7"/>
    <s v="2037 - CONSOLIDACAO DO SISTEMA UNICO DE ASSISTENCIA SOCIAL (SUAS)"/>
    <x v="41"/>
    <n v="0"/>
    <n v="0"/>
    <n v="0"/>
  </r>
  <r>
    <x v="7"/>
    <s v="6016 - EDUCACAO ESPECIAL"/>
    <x v="249"/>
    <n v="2605355.7799999998"/>
    <n v="2315786.71"/>
    <n v="1820852.15"/>
  </r>
  <r>
    <x v="7"/>
    <s v="1041 - CONSERVACAO E USO SUSTENTAVEL DA BIODIVERSIDADE E DOS RECURSOS NATURAIS"/>
    <x v="293"/>
    <n v="0"/>
    <n v="9291.86"/>
    <n v="9889.2900000000009"/>
  </r>
  <r>
    <x v="7"/>
    <s v="2030 - EDUCACAO BASICA"/>
    <x v="859"/>
    <n v="0"/>
    <n v="0"/>
    <n v="0"/>
  </r>
  <r>
    <x v="7"/>
    <s v="1041 - CONSERVACAO E USO SUSTENTAVEL DA BIODIVERSIDADE E DOS RECURSOS NATURAIS"/>
    <x v="164"/>
    <n v="765188.52"/>
    <n v="762982.83"/>
    <n v="113877.63"/>
  </r>
  <r>
    <x v="7"/>
    <s v="5034 - PROTECAO A VIDA, FORTALECIMENTO DA FAMILIA, PROMOCAO E DEFESA DOS DIREITOS HUMANOS PARA TODOS"/>
    <x v="1156"/>
    <n v="300000"/>
    <n v="0"/>
    <n v="0"/>
  </r>
  <r>
    <x v="7"/>
    <s v="2015 - FORTALECIMENTO DO SISTEMA UNICO DE SAUDE (SUS)"/>
    <x v="825"/>
    <n v="0"/>
    <n v="0"/>
    <n v="0"/>
  </r>
  <r>
    <x v="7"/>
    <s v="2080 - EDUCACAO DE QUALIDADE PARA TODOS"/>
    <x v="798"/>
    <n v="0"/>
    <n v="0"/>
    <n v="0"/>
  </r>
  <r>
    <x v="7"/>
    <s v="2205 - CONECTA BRASIL"/>
    <x v="861"/>
    <n v="10302592.699999999"/>
    <n v="2488287.2200000002"/>
    <n v="2488287.2200000002"/>
  </r>
  <r>
    <x v="7"/>
    <s v="2219 - MOBILIDADE URBANA"/>
    <x v="142"/>
    <n v="0"/>
    <n v="0"/>
    <n v="0"/>
  </r>
  <r>
    <x v="7"/>
    <s v="4001 - COMUNICACAO PUBLICA E DIVULGACAO DE ATOS E MATERIAS DO GOVERNO FEDERAL"/>
    <x v="84"/>
    <n v="741662.86"/>
    <n v="4264423.09"/>
    <n v="4275450.51"/>
  </r>
  <r>
    <x v="7"/>
    <s v="2029 - DESENVOLVIMENTO REGIONAL E TERRITORIAL"/>
    <x v="783"/>
    <n v="0"/>
    <n v="0"/>
    <n v="0"/>
  </r>
  <r>
    <x v="7"/>
    <s v="2206 - POLITICA NUCLEAR"/>
    <x v="708"/>
    <n v="0"/>
    <n v="18767"/>
    <n v="0"/>
  </r>
  <r>
    <x v="7"/>
    <s v="2204 - BRASIL NA FRONTEIRA DO CONHECIMENTO"/>
    <x v="29"/>
    <n v="0"/>
    <n v="63639.01"/>
    <n v="66006.960000000006"/>
  </r>
  <r>
    <x v="7"/>
    <s v="6012 - DEFESA NACIONAL"/>
    <x v="65"/>
    <n v="106576.5"/>
    <n v="106656.84"/>
    <n v="111695.79"/>
  </r>
  <r>
    <x v="7"/>
    <s v="2208 - TECNOLOGIAS APLICADAS, INOVACAO E DESENVOLVIMENTO SUSTENTAVEL"/>
    <x v="333"/>
    <n v="0"/>
    <n v="4900"/>
    <n v="192806.84"/>
  </r>
  <r>
    <x v="7"/>
    <s v="3006 - TRANSPORTE TERRESTRE E TRANSITO"/>
    <x v="334"/>
    <n v="0"/>
    <n v="10911207.57"/>
    <n v="10911207.57"/>
  </r>
  <r>
    <x v="7"/>
    <s v="5017 - ASSISTENCIA FARMACEUTICA NO SUS"/>
    <x v="735"/>
    <n v="0"/>
    <n v="145784745"/>
    <n v="113247577.19"/>
  </r>
  <r>
    <x v="7"/>
    <s v="2015 - FORTALECIMENTO DO SISTEMA UNICO DE SAUDE (SUS)"/>
    <x v="286"/>
    <n v="0"/>
    <n v="0"/>
    <n v="0"/>
  </r>
  <r>
    <x v="7"/>
    <s v="3006 - TRANSPORTE TERRESTRE E TRANSITO"/>
    <x v="806"/>
    <n v="0"/>
    <n v="0"/>
    <n v="0"/>
  </r>
  <r>
    <x v="7"/>
    <s v="5028 - INCLUSAO SOCIAL POR MEIO DO BOLSA FAMILIA E DA ARTICULACAO DE POLITICAS PUBLICAS"/>
    <x v="1149"/>
    <n v="0"/>
    <n v="12692818456.610001"/>
    <n v="12692818456.610001"/>
  </r>
  <r>
    <x v="7"/>
    <s v="3003 - PETROLEO, GAS, DERIVADOS E BIOCOMBUSTIVEIS"/>
    <x v="874"/>
    <n v="65000"/>
    <n v="2886.78"/>
    <n v="2886.78"/>
  </r>
  <r>
    <x v="7"/>
    <s v="5025 - CULTURA"/>
    <x v="118"/>
    <n v="19039855.82"/>
    <n v="4060387.5"/>
    <n v="3672322.54"/>
  </r>
  <r>
    <x v="7"/>
    <s v="2078 - CONSERVACAO E USO SUSTENTAVEL DA BIODIVERSIDADE"/>
    <x v="176"/>
    <n v="0"/>
    <n v="0"/>
    <n v="0"/>
  </r>
  <r>
    <x v="7"/>
    <s v="2221 - RECURSOS HIDRICOS"/>
    <x v="203"/>
    <n v="143250"/>
    <n v="0"/>
    <n v="0"/>
  </r>
  <r>
    <x v="7"/>
    <s v="5033 - SEGURANCA ALIMENTAR E NUTRICIONAL"/>
    <x v="325"/>
    <n v="0"/>
    <n v="492568.86"/>
    <n v="606816.43000000005"/>
  </r>
  <r>
    <x v="7"/>
    <s v="6012 - DEFESA NACIONAL"/>
    <x v="257"/>
    <n v="35356815.659999996"/>
    <n v="21727540.760000002"/>
    <n v="21726213.260000002"/>
  </r>
  <r>
    <x v="7"/>
    <s v="2222 - SANEAMENTO BASICO"/>
    <x v="1157"/>
    <n v="0"/>
    <n v="0"/>
    <n v="0"/>
  </r>
  <r>
    <x v="7"/>
    <s v="5028 - INCLUSAO SOCIAL POR MEIO DO BOLSA FAMILIA E DA ARTICULACAO DE POLITICAS PUBLICAS"/>
    <x v="1132"/>
    <n v="0"/>
    <n v="59829225.130000003"/>
    <n v="59829225.130000003"/>
  </r>
  <r>
    <x v="7"/>
    <s v="2068 - SANEAMENTO BASICO"/>
    <x v="343"/>
    <n v="0"/>
    <n v="0"/>
    <n v="0"/>
  </r>
  <r>
    <x v="7"/>
    <s v="1031 - AGROPECUARIA SUSTENTAVEL"/>
    <x v="981"/>
    <n v="0"/>
    <n v="0"/>
    <n v="0"/>
  </r>
  <r>
    <x v="7"/>
    <s v="2222 - SANEAMENTO BASICO"/>
    <x v="12"/>
    <n v="0"/>
    <n v="0"/>
    <n v="0"/>
  </r>
  <r>
    <x v="7"/>
    <s v="2217 - DESENVOLVIMENTO REGIONAL, TERRITORIAL E URBANO"/>
    <x v="66"/>
    <n v="0"/>
    <n v="0"/>
    <n v="0"/>
  </r>
  <r>
    <x v="7"/>
    <s v="2054 - PLANEJAMENTO URBANO"/>
    <x v="382"/>
    <n v="0"/>
    <n v="0"/>
    <n v="0"/>
  </r>
  <r>
    <x v="7"/>
    <s v="5025 - CULTURA"/>
    <x v="524"/>
    <n v="900000"/>
    <n v="0"/>
    <n v="0"/>
  </r>
  <r>
    <x v="7"/>
    <s v="0909 - OPERACOES ESPECIAIS: OUTROS ENCARGOS ESPECIAIS"/>
    <x v="60"/>
    <n v="32617429.960000001"/>
    <n v="32617429.960000001"/>
    <n v="32617429.960000001"/>
  </r>
  <r>
    <x v="7"/>
    <s v="2214 - NOVA PREVIDENCIA"/>
    <x v="371"/>
    <n v="0"/>
    <n v="13091743.57"/>
    <n v="723813075.77999997"/>
  </r>
  <r>
    <x v="7"/>
    <s v="3006 - TRANSPORTE TERRESTRE E TRANSITO"/>
    <x v="125"/>
    <n v="0"/>
    <n v="1319307.5900000001"/>
    <n v="4252504.3600000003"/>
  </r>
  <r>
    <x v="7"/>
    <s v="2204 - BRASIL NA FRONTEIRA DO CONHECIMENTO"/>
    <x v="208"/>
    <n v="401.82"/>
    <n v="2757803.02"/>
    <n v="12559149.98"/>
  </r>
  <r>
    <x v="7"/>
    <s v="2049 - MORADIA DIGNA"/>
    <x v="36"/>
    <n v="0"/>
    <n v="0"/>
    <n v="0"/>
  </r>
  <r>
    <x v="7"/>
    <s v="2080 - EDUCACAO DE QUALIDADE PARA TODOS"/>
    <x v="859"/>
    <n v="0"/>
    <n v="0"/>
    <n v="0"/>
  </r>
  <r>
    <x v="7"/>
    <s v="2217 - DESENVOLVIMENTO REGIONAL, TERRITORIAL E URBANO"/>
    <x v="1158"/>
    <n v="1000000"/>
    <n v="0"/>
    <n v="0"/>
  </r>
  <r>
    <x v="7"/>
    <s v="2213 - MODERNIZACAO TRABALHISTA E TRABALHO DIGNO"/>
    <x v="1046"/>
    <n v="10757334"/>
    <n v="9844850"/>
    <n v="9844850"/>
  </r>
  <r>
    <x v="7"/>
    <s v="2015 - FORTALECIMENTO DO SISTEMA UNICO DE SAUDE (SUS)"/>
    <x v="316"/>
    <n v="0"/>
    <n v="0"/>
    <n v="0"/>
  </r>
  <r>
    <x v="7"/>
    <s v="2015 - FORTALECIMENTO DO SISTEMA UNICO DE SAUDE (SUS)"/>
    <x v="862"/>
    <n v="0"/>
    <n v="0"/>
    <n v="0"/>
  </r>
  <r>
    <x v="7"/>
    <s v="0909 - OPERACOES ESPECIAIS: OUTROS ENCARGOS ESPECIAIS"/>
    <x v="821"/>
    <n v="0"/>
    <n v="-1101587.18"/>
    <n v="8398412.8200000003"/>
  </r>
  <r>
    <x v="7"/>
    <s v="2222 - SANEAMENTO BASICO"/>
    <x v="266"/>
    <n v="0"/>
    <n v="0"/>
    <n v="0"/>
  </r>
  <r>
    <x v="7"/>
    <s v="0909 - OPERACOES ESPECIAIS: OUTROS ENCARGOS ESPECIAIS"/>
    <x v="943"/>
    <n v="17812.28"/>
    <n v="17812.28"/>
    <n v="17812.28"/>
  </r>
  <r>
    <x v="7"/>
    <s v="5018 - ATENCAO ESPECIALIZADA A SAUDE"/>
    <x v="292"/>
    <n v="16513368.48"/>
    <n v="3472061.65"/>
    <n v="2112188.42"/>
  </r>
  <r>
    <x v="7"/>
    <s v="5034 - PROTECAO A VIDA, FORTALECIMENTO DA FAMILIA, PROMOCAO E DEFESA DOS DIREITOS HUMANOS PARA TODOS"/>
    <x v="455"/>
    <n v="0"/>
    <n v="0"/>
    <n v="0"/>
  </r>
  <r>
    <x v="7"/>
    <s v="5018 - ATENCAO ESPECIALIZADA A SAUDE"/>
    <x v="1154"/>
    <n v="0"/>
    <n v="14499"/>
    <n v="14499"/>
  </r>
  <r>
    <x v="7"/>
    <s v="0151 - PROTECAO DE TERRAS INDIGENAS, GESTAO TERRITORIAL E ETNODESENVOLVIMENTO"/>
    <x v="1060"/>
    <n v="0"/>
    <n v="2719.4"/>
    <n v="2719.4"/>
  </r>
  <r>
    <x v="7"/>
    <s v="0905 - OPERACOES ESPECIAIS: SERVICO DA DIVIDA INTERNA (JUROS EAMORTIZACOES)"/>
    <x v="0"/>
    <n v="14174454155.59"/>
    <n v="43486667876.839996"/>
    <n v="43486667876.839996"/>
  </r>
  <r>
    <x v="7"/>
    <s v="2207 - PROGRAMA ESPACIAL BRASILEIRO"/>
    <x v="39"/>
    <n v="0"/>
    <n v="1108306.8999999999"/>
    <n v="1090368.78"/>
  </r>
  <r>
    <x v="7"/>
    <s v="2213 - MODERNIZACAO TRABALHISTA E TRABALHO DIGNO"/>
    <x v="201"/>
    <n v="20004380"/>
    <n v="20004380"/>
    <n v="20004380"/>
  </r>
  <r>
    <x v="7"/>
    <s v="5013 - EDUCACAO SUPERIOR - GRADUACAO, POS-GRADUACAO, ENSINO, PESQUISA E EXTENSAO"/>
    <x v="409"/>
    <n v="4462058.2"/>
    <n v="4465000"/>
    <n v="4792058.2"/>
  </r>
  <r>
    <x v="7"/>
    <s v="6012 - DEFESA NACIONAL"/>
    <x v="134"/>
    <n v="0"/>
    <n v="0"/>
    <n v="0"/>
  </r>
  <r>
    <x v="7"/>
    <s v="2015 - FORTALECIMENTO DO SISTEMA UNICO DE SAUDE (SUS)"/>
    <x v="219"/>
    <n v="0"/>
    <n v="0"/>
    <n v="0"/>
  </r>
  <r>
    <x v="7"/>
    <s v="5033 - SEGURANCA ALIMENTAR E NUTRICIONAL"/>
    <x v="884"/>
    <n v="0"/>
    <n v="200000"/>
    <n v="0"/>
  </r>
  <r>
    <x v="7"/>
    <s v="5018 - ATENCAO ESPECIALIZADA A SAUDE"/>
    <x v="1043"/>
    <n v="0"/>
    <n v="20961.12"/>
    <n v="20961.12"/>
  </r>
  <r>
    <x v="7"/>
    <s v="5021 - GESTAO E ORGANIZACAO DO SUS"/>
    <x v="1159"/>
    <n v="2138451513"/>
    <n v="2138451513"/>
    <n v="2138451513"/>
  </r>
  <r>
    <x v="7"/>
    <s v="3006 - TRANSPORTE TERRESTRE E TRANSITO"/>
    <x v="420"/>
    <n v="9065959.4199999999"/>
    <n v="1297123.8999999999"/>
    <n v="1280127.3799999999"/>
  </r>
  <r>
    <x v="7"/>
    <s v="2068 - SANEAMENTO BASICO"/>
    <x v="395"/>
    <n v="0"/>
    <n v="0"/>
    <n v="0"/>
  </r>
  <r>
    <x v="7"/>
    <s v="1031 - AGROPECUARIA SUSTENTAVEL"/>
    <x v="622"/>
    <n v="276207.48"/>
    <n v="225661.86"/>
    <n v="82295.679999999993"/>
  </r>
  <r>
    <x v="7"/>
    <s v="5020 - DESENVOLVIMENTO CIENTIFICO, TECNOLOGICO E PRODUTIVO EM SAUDE"/>
    <x v="441"/>
    <n v="0"/>
    <n v="0"/>
    <n v="0"/>
  </r>
  <r>
    <x v="7"/>
    <s v="5017 - ASSISTENCIA FARMACEUTICA NO SUS"/>
    <x v="121"/>
    <n v="752729.68"/>
    <n v="318477.09999999998"/>
    <n v="403022006.75999999"/>
  </r>
  <r>
    <x v="7"/>
    <s v="2204 - BRASIL NA FRONTEIRA DO CONHECIMENTO"/>
    <x v="117"/>
    <n v="159762.35"/>
    <n v="0"/>
    <n v="0"/>
  </r>
  <r>
    <x v="7"/>
    <s v="2068 - SANEAMENTO BASICO"/>
    <x v="611"/>
    <n v="0"/>
    <n v="0"/>
    <n v="0"/>
  </r>
  <r>
    <x v="7"/>
    <s v="0903 - OPERACOES ESPECIAIS: TRANSFERENCIAS CONSTITUCIONAIS E AS DECORRENTES DE LEGISLACAO ESPECIFICA"/>
    <x v="448"/>
    <n v="0"/>
    <n v="587668748.32000005"/>
    <n v="587668748.32000005"/>
  </r>
  <r>
    <x v="7"/>
    <s v="3004 - AVIACAO CIVIL"/>
    <x v="595"/>
    <n v="-1344238.39"/>
    <n v="1567289.07"/>
    <n v="2100858.4"/>
  </r>
  <r>
    <x v="7"/>
    <s v="2222 - SANEAMENTO BASICO"/>
    <x v="206"/>
    <n v="0"/>
    <n v="0"/>
    <n v="0"/>
  </r>
  <r>
    <x v="7"/>
    <s v="2081 - JUSTICA, CIDADANIA E SEGURANCA PUBLICA"/>
    <x v="1000"/>
    <n v="0"/>
    <n v="0"/>
    <n v="0"/>
  </r>
  <r>
    <x v="7"/>
    <s v="5025 - CULTURA"/>
    <x v="37"/>
    <n v="0"/>
    <n v="8000000"/>
    <n v="8000000"/>
  </r>
  <r>
    <x v="7"/>
    <s v="1041 - CONSERVACAO E USO SUSTENTAVEL DA BIODIVERSIDADE E DOS RECURSOS NATURAIS"/>
    <x v="1090"/>
    <n v="2927105.42"/>
    <n v="0"/>
    <n v="0"/>
  </r>
  <r>
    <x v="7"/>
    <s v="2015 - FORTALECIMENTO DO SISTEMA UNICO DE SAUDE (SUS)"/>
    <x v="479"/>
    <n v="0"/>
    <n v="0"/>
    <n v="0"/>
  </r>
  <r>
    <x v="7"/>
    <s v="5023 - VIGILANCIA EM SAUDE"/>
    <x v="917"/>
    <n v="122919348"/>
    <n v="0"/>
    <n v="0"/>
  </r>
  <r>
    <x v="7"/>
    <s v="6015 - EDUCACAO INFANTIL"/>
    <x v="983"/>
    <n v="0"/>
    <n v="40208.699999999997"/>
    <n v="40208.699999999997"/>
  </r>
  <r>
    <x v="7"/>
    <s v="2015 - FORTALECIMENTO DO SISTEMA UNICO DE SAUDE (SUS)"/>
    <x v="1108"/>
    <n v="0"/>
    <n v="0"/>
    <n v="0"/>
  </r>
  <r>
    <x v="7"/>
    <s v="2015 - FORTALECIMENTO DO SISTEMA UNICO DE SAUDE (SUS)"/>
    <x v="234"/>
    <n v="0"/>
    <n v="0"/>
    <n v="0"/>
  </r>
  <r>
    <x v="7"/>
    <s v="3006 - TRANSPORTE TERRESTRE E TRANSITO"/>
    <x v="69"/>
    <n v="55489764.140000001"/>
    <n v="16468660.24"/>
    <n v="15080727.75"/>
  </r>
  <r>
    <x v="7"/>
    <s v="0903 - OPERACOES ESPECIAIS: TRANSFERENCIAS CONSTITUCIONAIS E AS DECORRENTES DE LEGISLACAO ESPECIFICA"/>
    <x v="28"/>
    <n v="0"/>
    <n v="306873029.56"/>
    <n v="306873029.56"/>
  </r>
  <r>
    <x v="7"/>
    <s v="2206 - POLITICA NUCLEAR"/>
    <x v="10"/>
    <n v="589224.94999999995"/>
    <n v="5391050.9000000004"/>
    <n v="4079413.46"/>
  </r>
  <r>
    <x v="7"/>
    <s v="5014 - ESTATISTICAS E AVALIACOES EDUCACIONAIS"/>
    <x v="132"/>
    <n v="116686.34"/>
    <n v="417649.74"/>
    <n v="203326.53"/>
  </r>
  <r>
    <x v="7"/>
    <s v="3006 - TRANSPORTE TERRESTRE E TRANSITO"/>
    <x v="263"/>
    <n v="0"/>
    <n v="0"/>
    <n v="0"/>
  </r>
  <r>
    <x v="7"/>
    <s v="1041 - CONSERVACAO E USO SUSTENTAVEL DA BIODIVERSIDADE E DOS RECURSOS NATURAIS"/>
    <x v="154"/>
    <n v="529999.77"/>
    <n v="151443.66"/>
    <n v="85799.52"/>
  </r>
  <r>
    <x v="7"/>
    <s v="1214 - ATENCAO BASICA EM SAUDE"/>
    <x v="286"/>
    <n v="0"/>
    <n v="0"/>
    <n v="0"/>
  </r>
  <r>
    <x v="7"/>
    <s v="2221 - RECURSOS HIDRICOS"/>
    <x v="232"/>
    <n v="43400"/>
    <n v="1291246.72"/>
    <n v="1248408.29"/>
  </r>
  <r>
    <x v="7"/>
    <s v="2222 - SANEAMENTO BASICO"/>
    <x v="1160"/>
    <n v="0"/>
    <n v="0"/>
    <n v="0"/>
  </r>
  <r>
    <x v="7"/>
    <s v="2105 - PROGRAMA DE GESTAO E MANUTENCAO DO MINISTERIO DA AGRICULTURA, PECUARIA E ABASTECIMENTO"/>
    <x v="782"/>
    <n v="0"/>
    <n v="0"/>
    <n v="0"/>
  </r>
  <r>
    <x v="7"/>
    <s v="0032 - PROGRAMA DE GESTAO E MANUTENCAO DO PODER EXECUTIVO"/>
    <x v="640"/>
    <n v="0"/>
    <n v="0"/>
    <n v="15677.4"/>
  </r>
  <r>
    <x v="7"/>
    <s v="0903 - OPERACOES ESPECIAIS: TRANSFERENCIAS CONSTITUCIONAIS E AS DECORRENTES DE LEGISLACAO ESPECIFICA"/>
    <x v="628"/>
    <n v="0"/>
    <n v="-44664.7"/>
    <n v="31315193.739999998"/>
  </r>
  <r>
    <x v="7"/>
    <s v="3001 - ENERGIA ELETRICA"/>
    <x v="240"/>
    <n v="-69023"/>
    <n v="1844479.65"/>
    <n v="1668872.09"/>
  </r>
  <r>
    <x v="7"/>
    <s v="5031 - PROTECAO SOCIAL NO AMBITO DO SISTEMA UNICO DE ASSISTENCIA SOCIAL (SUAS)"/>
    <x v="772"/>
    <n v="0"/>
    <n v="20433.12"/>
    <n v="178044.66"/>
  </r>
  <r>
    <x v="7"/>
    <s v="0032 - PROGRAMA DE GESTAO E MANUTENCAO DO PODER EXECUTIVO"/>
    <x v="505"/>
    <n v="2000000"/>
    <n v="-50092.93"/>
    <n v="135206009.61000001"/>
  </r>
  <r>
    <x v="7"/>
    <s v="5025 - CULTURA"/>
    <x v="1011"/>
    <n v="0"/>
    <n v="200000000"/>
    <n v="200000000"/>
  </r>
  <r>
    <x v="7"/>
    <s v="5018 - ATENCAO ESPECIALIZADA A SAUDE"/>
    <x v="1053"/>
    <n v="598417552"/>
    <n v="306823299"/>
    <n v="306823299"/>
  </r>
  <r>
    <x v="7"/>
    <s v="2216 - POLITICA EXTERNA"/>
    <x v="384"/>
    <n v="604736.80000000005"/>
    <n v="142284.39000000001"/>
    <n v="141907.82999999999"/>
  </r>
  <r>
    <x v="7"/>
    <s v="6012 - DEFESA NACIONAL"/>
    <x v="591"/>
    <n v="20000000"/>
    <n v="6048"/>
    <n v="6048"/>
  </r>
  <r>
    <x v="7"/>
    <s v="3006 - TRANSPORTE TERRESTRE E TRANSITO"/>
    <x v="242"/>
    <n v="0"/>
    <n v="0"/>
    <n v="0"/>
  </r>
  <r>
    <x v="7"/>
    <s v="0902 - OPERACOES ESPECIAIS: FINANCIAMENTOS COM RETORNO"/>
    <x v="390"/>
    <n v="88000"/>
    <n v="35000"/>
    <n v="35000"/>
  </r>
  <r>
    <x v="7"/>
    <s v="2202 - DEFESA AGROPECUARIA"/>
    <x v="246"/>
    <n v="193077.21"/>
    <n v="193077.21"/>
    <n v="193077.21"/>
  </r>
  <r>
    <x v="7"/>
    <s v="5014 - ESTATISTICAS E AVALIACOES EDUCACIONAIS"/>
    <x v="707"/>
    <n v="5197397.32"/>
    <n v="4880877.8899999997"/>
    <n v="4893092.92"/>
  </r>
  <r>
    <x v="7"/>
    <s v="4003 - GARANTIA DA ESTABILIDADE MONETARIA E FINANCEIRA"/>
    <x v="625"/>
    <n v="178720.8"/>
    <n v="219458.52"/>
    <n v="111441.63"/>
  </r>
  <r>
    <x v="7"/>
    <s v="2206 - POLITICA NUCLEAR"/>
    <x v="256"/>
    <n v="0"/>
    <n v="5401.63"/>
    <n v="5401.63"/>
  </r>
  <r>
    <x v="7"/>
    <s v="5013 - EDUCACAO SUPERIOR - GRADUACAO, POS-GRADUACAO, ENSINO, PESQUISA E EXTENSAO"/>
    <x v="1134"/>
    <n v="2000000"/>
    <n v="1258773.4099999999"/>
    <n v="2180602.25"/>
  </r>
  <r>
    <x v="7"/>
    <s v="5020 - DESENVOLVIMENTO CIENTIFICO, TECNOLOGICO E PRODUTIVO EM SAUDE"/>
    <x v="503"/>
    <n v="0"/>
    <n v="4000852.52"/>
    <n v="23300"/>
  </r>
  <r>
    <x v="7"/>
    <s v="5021 - GESTAO E ORGANIZACAO DO SUS"/>
    <x v="312"/>
    <n v="-800000"/>
    <n v="167006.32"/>
    <n v="129272.18"/>
  </r>
  <r>
    <x v="7"/>
    <s v="0909 - OPERACOES ESPECIAIS: OUTROS ENCARGOS ESPECIAIS"/>
    <x v="36"/>
    <n v="0"/>
    <n v="0"/>
    <n v="0"/>
  </r>
  <r>
    <x v="7"/>
    <s v="2211 - INSERCAO ECONOMICA INTERNACIONAL"/>
    <x v="158"/>
    <n v="0"/>
    <n v="3225228.1"/>
    <n v="3225228.1"/>
  </r>
  <r>
    <x v="7"/>
    <s v="2221 - RECURSOS HIDRICOS"/>
    <x v="88"/>
    <n v="0"/>
    <n v="16206599.99"/>
    <n v="16206599.99"/>
  </r>
  <r>
    <x v="7"/>
    <s v="1041 - CONSERVACAO E USO SUSTENTAVEL DA BIODIVERSIDADE E DOS RECURSOS NATURAIS"/>
    <x v="176"/>
    <n v="80000"/>
    <n v="103283.23"/>
    <n v="103473.23"/>
  </r>
  <r>
    <x v="7"/>
    <s v="2217 - DESENVOLVIMENTO REGIONAL, TERRITORIAL E URBANO"/>
    <x v="382"/>
    <n v="0"/>
    <n v="0"/>
    <n v="0"/>
  </r>
  <r>
    <x v="7"/>
    <s v="0032 - PROGRAMA DE GESTAO E MANUTENCAO DO PODER EXECUTIVO"/>
    <x v="689"/>
    <n v="0"/>
    <n v="0"/>
    <n v="3269627.88"/>
  </r>
  <r>
    <x v="7"/>
    <s v="6012 - DEFESA NACIONAL"/>
    <x v="951"/>
    <n v="0"/>
    <n v="509692.35"/>
    <n v="502134.9"/>
  </r>
  <r>
    <x v="7"/>
    <s v="1031 - AGROPECUARIA SUSTENTAVEL"/>
    <x v="323"/>
    <n v="0"/>
    <n v="296361631.01999998"/>
    <n v="296361631.01999998"/>
  </r>
  <r>
    <x v="7"/>
    <s v="2204 - BRASIL NA FRONTEIRA DO CONHECIMENTO"/>
    <x v="183"/>
    <n v="2638.78"/>
    <n v="397772.61"/>
    <n v="160349533.00999999"/>
  </r>
  <r>
    <x v="7"/>
    <s v="2124 - PROGRAMA DE GESTAO E MANUTENCAO DO MINISTERIO DO MEIO AMBIENTE"/>
    <x v="52"/>
    <n v="0"/>
    <n v="0"/>
    <n v="0"/>
  </r>
  <r>
    <x v="7"/>
    <s v="5021 - GESTAO E ORGANIZACAO DO SUS"/>
    <x v="482"/>
    <n v="2110000"/>
    <n v="-13139.52"/>
    <n v="284920.76"/>
  </r>
  <r>
    <x v="7"/>
    <s v="2221 - RECURSOS HIDRICOS"/>
    <x v="167"/>
    <n v="0"/>
    <n v="4817721.91"/>
    <n v="5049.72"/>
  </r>
  <r>
    <x v="7"/>
    <s v="0903 - OPERACOES ESPECIAIS: TRANSFERENCIAS CONSTITUCIONAIS E AS DECORRENTES DE LEGISLACAO ESPECIFICA"/>
    <x v="233"/>
    <n v="0"/>
    <n v="1423682478.24"/>
    <n v="1423682478.24"/>
  </r>
  <r>
    <x v="7"/>
    <s v="2221 - RECURSOS HIDRICOS"/>
    <x v="880"/>
    <n v="0"/>
    <n v="0"/>
    <n v="0"/>
  </r>
  <r>
    <x v="7"/>
    <s v="2223 - A HORA DO TURISMO"/>
    <x v="854"/>
    <n v="0"/>
    <n v="1193908.42"/>
    <n v="0"/>
  </r>
  <r>
    <x v="7"/>
    <s v="0033 - PROGRAMA DE GESTAO E MANUTENCAO DO PODER JUDICIARIO"/>
    <x v="205"/>
    <n v="0"/>
    <n v="2103.1999999999998"/>
    <n v="0"/>
  </r>
  <r>
    <x v="7"/>
    <s v="1031 - AGROPECUARIA SUSTENTAVEL"/>
    <x v="138"/>
    <n v="2205150.3199999998"/>
    <n v="66636908.990000002"/>
    <n v="66636908.990000002"/>
  </r>
  <r>
    <x v="7"/>
    <s v="2221 - RECURSOS HIDRICOS"/>
    <x v="235"/>
    <n v="18.399999999999999"/>
    <n v="367.68"/>
    <n v="26340.92"/>
  </r>
  <r>
    <x v="7"/>
    <s v="2219 - MOBILIDADE URBANA"/>
    <x v="476"/>
    <n v="0"/>
    <n v="0"/>
    <n v="0"/>
  </r>
  <r>
    <x v="7"/>
    <s v="2027 - CULTURA: DIMENSAO ESSENCIAL DO DESENVOLVIMENTO"/>
    <x v="986"/>
    <n v="0"/>
    <n v="0"/>
    <n v="0"/>
  </r>
  <r>
    <x v="7"/>
    <s v="5011 - EDUCACAO BASICA DE QUALIDADE"/>
    <x v="929"/>
    <n v="16099188.189999999"/>
    <n v="-832072.81"/>
    <n v="-832072.81"/>
  </r>
  <r>
    <x v="7"/>
    <s v="0032 - PROGRAMA DE GESTAO E MANUTENCAO DO PODER EXECUTIVO"/>
    <x v="626"/>
    <n v="110000"/>
    <n v="1041290.47"/>
    <n v="931290.47"/>
  </r>
  <r>
    <x v="7"/>
    <s v="5021 - GESTAO E ORGANIZACAO DO SUS"/>
    <x v="26"/>
    <n v="258591"/>
    <n v="13478.64"/>
    <n v="7057.75"/>
  </r>
  <r>
    <x v="7"/>
    <s v="3004 - AVIACAO CIVIL"/>
    <x v="151"/>
    <n v="0"/>
    <n v="231512.59"/>
    <n v="0"/>
  </r>
  <r>
    <x v="7"/>
    <s v="5019 - ATENCAO PRIMARIA A SAUDE"/>
    <x v="402"/>
    <n v="695909280"/>
    <n v="695909280"/>
    <n v="695909280"/>
  </r>
  <r>
    <x v="7"/>
    <s v="3006 - TRANSPORTE TERRESTRE E TRANSITO"/>
    <x v="405"/>
    <n v="0"/>
    <n v="160758.29"/>
    <n v="160758.29"/>
  </r>
  <r>
    <x v="7"/>
    <s v="3005 - TRANSPORTE AQUAVIARIO"/>
    <x v="155"/>
    <n v="-316296.53000000003"/>
    <n v="847053.26"/>
    <n v="953984.19"/>
  </r>
  <r>
    <x v="7"/>
    <s v="5018 - ATENCAO ESPECIALIZADA A SAUDE"/>
    <x v="318"/>
    <n v="0"/>
    <n v="0"/>
    <n v="0"/>
  </r>
  <r>
    <x v="7"/>
    <s v="2204 - BRASIL NA FRONTEIRA DO CONHECIMENTO"/>
    <x v="519"/>
    <n v="3170092.96"/>
    <n v="1905744.86"/>
    <n v="1905744.86"/>
  </r>
  <r>
    <x v="7"/>
    <s v="2111 - PROGRAMA DE GESTAO E MANUTENCAO DO MINISTERIO DO DESENVOLVIMENTO REGIONAL"/>
    <x v="52"/>
    <n v="0"/>
    <n v="0"/>
    <n v="0"/>
  </r>
  <r>
    <x v="7"/>
    <s v="0902 - OPERACOES ESPECIAIS: FINANCIAMENTOS COM RETORNO"/>
    <x v="619"/>
    <n v="0"/>
    <n v="347789498.81"/>
    <n v="347789498.81"/>
  </r>
  <r>
    <x v="7"/>
    <s v="2208 - TECNOLOGIAS APLICADAS, INOVACAO E DESENVOLVIMENTO SUSTENTAVEL"/>
    <x v="373"/>
    <n v="0"/>
    <n v="0"/>
    <n v="0"/>
  </r>
  <r>
    <x v="7"/>
    <s v="2211 - INSERCAO ECONOMICA INTERNACIONAL"/>
    <x v="147"/>
    <n v="230000"/>
    <n v="236515.45"/>
    <n v="106356.32"/>
  </r>
  <r>
    <x v="7"/>
    <s v="2222 - SANEAMENTO BASICO"/>
    <x v="797"/>
    <n v="452000"/>
    <n v="48213.48"/>
    <n v="48213.48"/>
  </r>
  <r>
    <x v="7"/>
    <s v="5018 - ATENCAO ESPECIALIZADA A SAUDE"/>
    <x v="825"/>
    <n v="0"/>
    <n v="0"/>
    <n v="0"/>
  </r>
  <r>
    <x v="7"/>
    <s v="5017 - ASSISTENCIA FARMACEUTICA NO SUS"/>
    <x v="229"/>
    <n v="71979562.939999998"/>
    <n v="45664287.799999997"/>
    <n v="54151154.829999998"/>
  </r>
  <r>
    <x v="7"/>
    <s v="0910 - OPERACOES ESPECIAIS: GESTAO DA PARTICIPACAO EM ORGANISMOS E ENTIDADES NACIONAIS E INTERNACIONAIS"/>
    <x v="1104"/>
    <n v="0"/>
    <n v="297245"/>
    <n v="297245"/>
  </r>
  <r>
    <x v="7"/>
    <s v="1031 - AGROPECUARIA SUSTENTAVEL"/>
    <x v="48"/>
    <n v="1270586.08"/>
    <n v="1240766.29"/>
    <n v="1165806.33"/>
  </r>
  <r>
    <x v="7"/>
    <s v="3006 - TRANSPORTE TERRESTRE E TRANSITO"/>
    <x v="994"/>
    <n v="34319966.490000002"/>
    <n v="709506.54"/>
    <n v="553553.64"/>
  </r>
  <r>
    <x v="7"/>
    <s v="3006 - TRANSPORTE TERRESTRE E TRANSITO"/>
    <x v="837"/>
    <n v="-28321776.16"/>
    <n v="2903945.17"/>
    <n v="169880.8"/>
  </r>
  <r>
    <x v="7"/>
    <s v="2208 - TECNOLOGIAS APLICADAS, INOVACAO E DESENVOLVIMENTO SUSTENTAVEL"/>
    <x v="801"/>
    <n v="0"/>
    <n v="2675621.5499999998"/>
    <n v="2675621.5499999998"/>
  </r>
  <r>
    <x v="7"/>
    <s v="3001 - ENERGIA ELETRICA"/>
    <x v="106"/>
    <n v="876611.24"/>
    <n v="843846.12"/>
    <n v="886799.74"/>
  </r>
  <r>
    <x v="7"/>
    <s v="3006 - TRANSPORTE TERRESTRE E TRANSITO"/>
    <x v="872"/>
    <n v="0"/>
    <n v="0"/>
    <n v="0"/>
  </r>
  <r>
    <x v="7"/>
    <s v="2208 - TECNOLOGIAS APLICADAS, INOVACAO E DESENVOLVIMENTO SUSTENTAVEL"/>
    <x v="820"/>
    <n v="0"/>
    <n v="0"/>
    <n v="0"/>
  </r>
  <r>
    <x v="7"/>
    <s v="5020 - DESENVOLVIMENTO CIENTIFICO, TECNOLOGICO E PRODUTIVO EM SAUDE"/>
    <x v="1107"/>
    <n v="6200000"/>
    <n v="0"/>
    <n v="0"/>
  </r>
  <r>
    <x v="7"/>
    <s v="3004 - AVIACAO CIVIL"/>
    <x v="1117"/>
    <n v="727702.93"/>
    <n v="1098665.3500000001"/>
    <n v="577757.77"/>
  </r>
  <r>
    <x v="7"/>
    <s v="2213 - MODERNIZACAO TRABALHISTA E TRABALHO DIGNO"/>
    <x v="214"/>
    <n v="2806115268.0100002"/>
    <n v="2806115268.0100002"/>
    <n v="2806115268.0100002"/>
  </r>
  <r>
    <x v="7"/>
    <s v="2037 - CONSOLIDACAO DO SISTEMA UNICO DE ASSISTENCIA SOCIAL (SUAS)"/>
    <x v="463"/>
    <n v="0"/>
    <n v="0"/>
    <n v="0"/>
  </r>
  <r>
    <x v="7"/>
    <s v="2208 - TECNOLOGIAS APLICADAS, INOVACAO E DESENVOLVIMENTO SUSTENTAVEL"/>
    <x v="559"/>
    <n v="0"/>
    <n v="0"/>
    <n v="0"/>
  </r>
  <r>
    <x v="7"/>
    <s v="2208 - TECNOLOGIAS APLICADAS, INOVACAO E DESENVOLVIMENTO SUSTENTAVEL"/>
    <x v="879"/>
    <n v="0"/>
    <n v="0"/>
    <n v="0"/>
  </r>
  <r>
    <x v="7"/>
    <s v="3006 - TRANSPORTE TERRESTRE E TRANSITO"/>
    <x v="914"/>
    <n v="0"/>
    <n v="0"/>
    <n v="0"/>
  </r>
  <r>
    <x v="7"/>
    <s v="0032 - PROGRAMA DE GESTAO E MANUTENCAO DO PODER EXECUTIVO"/>
    <x v="731"/>
    <n v="0"/>
    <n v="0"/>
    <n v="0"/>
  </r>
  <r>
    <x v="7"/>
    <s v="5023 - VIGILANCIA EM SAUDE"/>
    <x v="284"/>
    <n v="0"/>
    <n v="0"/>
    <n v="0"/>
  </r>
  <r>
    <x v="7"/>
    <s v="5018 - ATENCAO ESPECIALIZADA A SAUDE"/>
    <x v="283"/>
    <n v="483812.8"/>
    <n v="2180000"/>
    <n v="2180000"/>
  </r>
  <r>
    <x v="7"/>
    <s v="5026 - ESPORTE"/>
    <x v="1112"/>
    <n v="0"/>
    <n v="0"/>
    <n v="0"/>
  </r>
  <r>
    <x v="7"/>
    <s v="2222 - SANEAMENTO BASICO"/>
    <x v="126"/>
    <n v="21111526.719999999"/>
    <n v="10119434.51"/>
    <n v="10119434.51"/>
  </r>
  <r>
    <x v="7"/>
    <s v="0910 - OPERACOES ESPECIAIS: GESTAO DA PARTICIPACAO EM ORGANISMOS E ENTIDADES NACIONAIS E INTERNACIONAIS"/>
    <x v="1052"/>
    <n v="0"/>
    <n v="5657434.3799999999"/>
    <n v="5657434.3799999999"/>
  </r>
  <r>
    <x v="7"/>
    <s v="2204 - BRASIL NA FRONTEIRA DO CONHECIMENTO"/>
    <x v="23"/>
    <n v="0"/>
    <n v="0"/>
    <n v="0"/>
  </r>
  <r>
    <x v="7"/>
    <s v="0902 - OPERACOES ESPECIAIS: FINANCIAMENTOS COM RETORNO"/>
    <x v="290"/>
    <n v="0"/>
    <n v="231859665.65000001"/>
    <n v="231859665.65000001"/>
  </r>
  <r>
    <x v="7"/>
    <s v="5013 - EDUCACAO SUPERIOR - GRADUACAO, POS-GRADUACAO, ENSINO, PESQUISA E EXTENSAO"/>
    <x v="58"/>
    <n v="0"/>
    <n v="43300367.810000002"/>
    <n v="24600254.390000001"/>
  </r>
  <r>
    <x v="7"/>
    <s v="5016 - SEGURANCA PUBLICA, COMBATE A CORRUPCAO, AO CRIME ORGANIZADO E AO CRIME VIOLENTO"/>
    <x v="636"/>
    <n v="161925.17000000001"/>
    <n v="250416.26"/>
    <n v="250416.26"/>
  </r>
  <r>
    <x v="7"/>
    <s v="2080 - EDUCACAO DE QUALIDADE PARA TODOS"/>
    <x v="454"/>
    <n v="0"/>
    <n v="0"/>
    <n v="0"/>
  </r>
  <r>
    <x v="7"/>
    <s v="5023 - VIGILANCIA EM SAUDE"/>
    <x v="115"/>
    <n v="184166928.36000001"/>
    <n v="310626754"/>
    <n v="310626754"/>
  </r>
  <r>
    <x v="7"/>
    <s v="2058 - DEFESA NACIONAL"/>
    <x v="134"/>
    <n v="0"/>
    <n v="0"/>
    <n v="0"/>
  </r>
  <r>
    <x v="7"/>
    <s v="2221 - RECURSOS HIDRICOS"/>
    <x v="876"/>
    <n v="0"/>
    <n v="228747.68"/>
    <n v="228747.68"/>
  </r>
  <r>
    <x v="7"/>
    <s v="3001 - ENERGIA ELETRICA"/>
    <x v="613"/>
    <n v="0"/>
    <n v="1207.22"/>
    <n v="160.16999999999999"/>
  </r>
  <r>
    <x v="7"/>
    <s v="0032 - PROGRAMA DE GESTAO E MANUTENCAO DO PODER EXECUTIVO"/>
    <x v="538"/>
    <n v="0"/>
    <n v="21016.2"/>
    <n v="18993.43"/>
  </r>
  <r>
    <x v="7"/>
    <s v="2049 - MORADIA DIGNA"/>
    <x v="924"/>
    <n v="0"/>
    <n v="0"/>
    <n v="0"/>
  </r>
  <r>
    <x v="7"/>
    <s v="2081 - JUSTICA, CIDADANIA E SEGURANCA PUBLICA"/>
    <x v="958"/>
    <n v="0"/>
    <n v="0"/>
    <n v="0"/>
  </r>
  <r>
    <x v="7"/>
    <s v="2015 - FORTALECIMENTO DO SISTEMA UNICO DE SAUDE (SUS)"/>
    <x v="502"/>
    <n v="0"/>
    <n v="0"/>
    <n v="0"/>
  </r>
  <r>
    <x v="7"/>
    <s v="2220 - MORADIA DIGNA"/>
    <x v="924"/>
    <n v="0"/>
    <n v="0"/>
    <n v="0"/>
  </r>
  <r>
    <x v="7"/>
    <s v="2221 - RECURSOS HIDRICOS"/>
    <x v="280"/>
    <n v="1188157.04"/>
    <n v="0"/>
    <n v="0"/>
  </r>
  <r>
    <x v="7"/>
    <s v="2212 - MELHORIA DO AMBIENTE DE NEGOCIOS E DA PRODUTIVIDADE"/>
    <x v="767"/>
    <n v="1498521.05"/>
    <n v="458553.03"/>
    <n v="463719.06"/>
  </r>
  <r>
    <x v="7"/>
    <s v="1031 - AGROPECUARIA SUSTENTAVEL"/>
    <x v="192"/>
    <n v="339990.3"/>
    <n v="591072.44999999995"/>
    <n v="397800.09"/>
  </r>
  <r>
    <x v="7"/>
    <s v="0032 - PROGRAMA DE GESTAO E MANUTENCAO DO PODER EXECUTIVO"/>
    <x v="354"/>
    <n v="1000000"/>
    <n v="241852.63"/>
    <n v="0"/>
  </r>
  <r>
    <x v="7"/>
    <s v="1031 - AGROPECUARIA SUSTENTAVEL"/>
    <x v="602"/>
    <n v="-100010"/>
    <n v="0"/>
    <n v="0"/>
  </r>
  <r>
    <x v="7"/>
    <s v="5023 - VIGILANCIA EM SAUDE"/>
    <x v="247"/>
    <n v="20933328.600000001"/>
    <n v="35337968.689999998"/>
    <n v="33479933.719999999"/>
  </r>
  <r>
    <x v="7"/>
    <s v="0903 - OPERACOES ESPECIAIS: TRANSFERENCIAS CONSTITUCIONAIS E AS DECORRENTES DE LEGISLACAO ESPECIFICA"/>
    <x v="960"/>
    <n v="0"/>
    <n v="3187883591.5"/>
    <n v="0"/>
  </r>
  <r>
    <x v="7"/>
    <s v="5019 - ATENCAO PRIMARIA A SAUDE"/>
    <x v="668"/>
    <n v="6286717.5700000003"/>
    <n v="0"/>
    <n v="0"/>
  </r>
  <r>
    <x v="7"/>
    <s v="3006 - TRANSPORTE TERRESTRE E TRANSITO"/>
    <x v="225"/>
    <n v="0"/>
    <n v="273467.08"/>
    <n v="273467.08"/>
  </r>
  <r>
    <x v="7"/>
    <s v="5021 - GESTAO E ORGANIZACAO DO SUS"/>
    <x v="20"/>
    <n v="0"/>
    <n v="2403333.3199999998"/>
    <n v="2403333.3199999998"/>
  </r>
  <r>
    <x v="7"/>
    <s v="2016 - POLITICAS PARA AS MULHERES: PROMOCAO DA IGUALDADE E ENFRENTAMENTO A VIOLENCIA"/>
    <x v="898"/>
    <n v="0"/>
    <n v="0"/>
    <n v="0"/>
  </r>
  <r>
    <x v="7"/>
    <s v="1058 - MUDANCA DO CLIMA"/>
    <x v="738"/>
    <n v="190947.79"/>
    <n v="14330.3"/>
    <n v="1539.86"/>
  </r>
  <r>
    <x v="7"/>
    <s v="1031 - AGROPECUARIA SUSTENTAVEL"/>
    <x v="468"/>
    <n v="130396.57"/>
    <n v="146140.93"/>
    <n v="146510.49"/>
  </r>
  <r>
    <x v="7"/>
    <s v="0909 - OPERACOES ESPECIAIS: OUTROS ENCARGOS ESPECIAIS"/>
    <x v="112"/>
    <n v="12342041.449999999"/>
    <n v="12342041.449999999"/>
    <n v="12342041.449999999"/>
  </r>
  <r>
    <x v="7"/>
    <s v="2208 - TECNOLOGIAS APLICADAS, INOVACAO E DESENVOLVIMENTO SUSTENTAVEL"/>
    <x v="179"/>
    <n v="11078.72"/>
    <n v="-702423.2"/>
    <n v="6199478.4000000004"/>
  </r>
  <r>
    <x v="7"/>
    <s v="3001 - ENERGIA ELETRICA"/>
    <x v="6"/>
    <n v="0"/>
    <n v="243268.22"/>
    <n v="219103.86"/>
  </r>
  <r>
    <x v="7"/>
    <s v="5019 - ATENCAO PRIMARIA A SAUDE"/>
    <x v="286"/>
    <n v="29328901"/>
    <n v="13906611"/>
    <n v="13906611"/>
  </r>
  <r>
    <x v="7"/>
    <s v="1040 - GOVERNANCA FUNDIARIA"/>
    <x v="9"/>
    <n v="133000000"/>
    <n v="24938759.390000001"/>
    <n v="18644425.07"/>
  </r>
  <r>
    <x v="7"/>
    <s v="3006 - TRANSPORTE TERRESTRE E TRANSITO"/>
    <x v="522"/>
    <n v="0"/>
    <n v="72403.03"/>
    <n v="72403.03"/>
  </r>
  <r>
    <x v="7"/>
    <s v="0033 - PROGRAMA DE GESTAO E MANUTENCAO DO PODER JUDICIARIO"/>
    <x v="335"/>
    <n v="0"/>
    <n v="0"/>
    <n v="149520.04"/>
  </r>
  <r>
    <x v="7"/>
    <s v="2083 - QUALIDADE AMBIENTAL"/>
    <x v="1161"/>
    <n v="0"/>
    <n v="0"/>
    <n v="0"/>
  </r>
  <r>
    <x v="7"/>
    <s v="1128 - URBANIZACAO, REGULARIZACAO FUNDIARIA E INTEGRACAO DE ASSENTAMENTOS PRECARIOS"/>
    <x v="319"/>
    <n v="0"/>
    <n v="0"/>
    <n v="0"/>
  </r>
  <r>
    <x v="7"/>
    <s v="2084 - RECURSOS HIDRICOS"/>
    <x v="465"/>
    <n v="0"/>
    <n v="0"/>
    <n v="0"/>
  </r>
  <r>
    <x v="7"/>
    <s v="2035 - ESPORTE, CIDADANIA E DESENVOLVIMENTO"/>
    <x v="223"/>
    <n v="0"/>
    <n v="0"/>
    <n v="0"/>
  </r>
  <r>
    <x v="7"/>
    <s v="5012 - EDUCACAO PROFISSIONAL E TECNOLOGICA"/>
    <x v="144"/>
    <n v="0"/>
    <n v="0"/>
    <n v="0"/>
  </r>
  <r>
    <x v="7"/>
    <s v="2214 - NOVA PREVIDENCIA"/>
    <x v="3"/>
    <n v="0"/>
    <n v="1972127.96"/>
    <n v="2371723.29"/>
  </r>
  <r>
    <x v="7"/>
    <s v="3006 - TRANSPORTE TERRESTRE E TRANSITO"/>
    <x v="864"/>
    <n v="0"/>
    <n v="0"/>
    <n v="0"/>
  </r>
  <r>
    <x v="7"/>
    <s v="3005 - TRANSPORTE AQUAVIARIO"/>
    <x v="890"/>
    <n v="104113966.03"/>
    <n v="104610234.03"/>
    <n v="104610234.03"/>
  </r>
  <r>
    <x v="7"/>
    <s v="0903 - OPERACOES ESPECIAIS: TRANSFERENCIAS CONSTITUCIONAIS E AS DECORRENTES DE LEGISLACAO ESPECIFICA"/>
    <x v="156"/>
    <n v="6696174031.1499996"/>
    <n v="6217662563.5900002"/>
    <n v="6217662563.5900002"/>
  </r>
  <r>
    <x v="7"/>
    <s v="1031 - AGROPECUARIA SUSTENTAVEL"/>
    <x v="259"/>
    <n v="85000"/>
    <n v="2119534.06"/>
    <n v="2119534.06"/>
  </r>
  <r>
    <x v="7"/>
    <s v="4002 - SEGURANCA INSTITUCIONAL"/>
    <x v="431"/>
    <n v="0"/>
    <n v="0"/>
    <n v="0"/>
  </r>
  <r>
    <x v="7"/>
    <s v="3006 - TRANSPORTE TERRESTRE E TRANSITO"/>
    <x v="350"/>
    <n v="0"/>
    <n v="0"/>
    <n v="0"/>
  </r>
  <r>
    <x v="7"/>
    <s v="0032 - PROGRAMA DE GESTAO E MANUTENCAO DO PODER EXECUTIVO"/>
    <x v="17"/>
    <n v="2594250.48"/>
    <n v="3068998.47"/>
    <n v="3586866.45"/>
  </r>
  <r>
    <x v="7"/>
    <s v="3006 - TRANSPORTE TERRESTRE E TRANSITO"/>
    <x v="416"/>
    <n v="13519912"/>
    <n v="13345983.789999999"/>
    <n v="13345983.789999999"/>
  </r>
  <r>
    <x v="7"/>
    <s v="3006 - TRANSPORTE TERRESTRE E TRANSITO"/>
    <x v="1162"/>
    <n v="50000000"/>
    <n v="0"/>
    <n v="0"/>
  </r>
  <r>
    <x v="7"/>
    <s v="2205 - CONECTA BRASIL"/>
    <x v="47"/>
    <n v="979323.64"/>
    <n v="579701.67000000004"/>
    <n v="566460.22"/>
  </r>
  <r>
    <x v="7"/>
    <s v="5011 - EDUCACAO BASICA DE QUALIDADE"/>
    <x v="865"/>
    <n v="0"/>
    <n v="0"/>
    <n v="0"/>
  </r>
  <r>
    <x v="7"/>
    <s v="0031 - PROGRAMA DE GESTAO E MANUTENCAO DO MINISTERIO PUBLICO"/>
    <x v="812"/>
    <n v="-8520.5400000000009"/>
    <n v="43879.46"/>
    <n v="43879.46"/>
  </r>
  <r>
    <x v="7"/>
    <s v="0905 - OPERACOES ESPECIAIS: SERVICO DA DIVIDA INTERNA (JUROS EAMORTIZACOES)"/>
    <x v="70"/>
    <n v="0"/>
    <n v="9214587.75"/>
    <n v="9214587.75"/>
  </r>
  <r>
    <x v="7"/>
    <s v="5017 - ASSISTENCIA FARMACEUTICA NO SUS"/>
    <x v="219"/>
    <n v="208339468.19999999"/>
    <n v="208645907.66"/>
    <n v="208350572.56999999"/>
  </r>
  <r>
    <x v="7"/>
    <s v="0903 - OPERACOES ESPECIAIS: TRANSFERENCIAS CONSTITUCIONAIS E AS DECORRENTES DE LEGISLACAO ESPECIFICA"/>
    <x v="2"/>
    <n v="0"/>
    <n v="3482641511.1599998"/>
    <n v="3482641511.1599998"/>
  </r>
  <r>
    <x v="7"/>
    <s v="5031 - PROTECAO SOCIAL NO AMBITO DO SISTEMA UNICO DE ASSISTENCIA SOCIAL (SUAS)"/>
    <x v="603"/>
    <n v="478026"/>
    <n v="220000"/>
    <n v="220000"/>
  </r>
  <r>
    <x v="7"/>
    <s v="2027 - CULTURA: DIMENSAO ESSENCIAL DO DESENVOLVIMENTO"/>
    <x v="1163"/>
    <n v="0"/>
    <n v="0"/>
    <n v="0"/>
  </r>
  <r>
    <x v="7"/>
    <s v="0910 - OPERACOES ESPECIAIS: GESTAO DA PARTICIPACAO EM ORGANISMOS E ENTIDADES NACIONAIS E INTERNACIONAIS"/>
    <x v="1106"/>
    <n v="0"/>
    <n v="1367990"/>
    <n v="1367990"/>
  </r>
  <r>
    <x v="7"/>
    <s v="2215 - POLITICA ECONOMICA E EQUILIBRIO FISCAL"/>
    <x v="101"/>
    <n v="1557491.05"/>
    <n v="286229.61"/>
    <n v="667241.42000000004"/>
  </r>
  <r>
    <x v="7"/>
    <s v="2021 - CIENCIA, TECNOLOGIA E INOVACAO"/>
    <x v="183"/>
    <n v="0"/>
    <n v="0"/>
    <n v="0"/>
  </r>
  <r>
    <x v="7"/>
    <s v="2210 - EMPREGABILIDADE"/>
    <x v="1061"/>
    <n v="0"/>
    <n v="5649.74"/>
    <n v="5649.74"/>
  </r>
  <r>
    <x v="7"/>
    <s v="2068 - SANEAMENTO BASICO"/>
    <x v="206"/>
    <n v="0"/>
    <n v="0"/>
    <n v="0"/>
  </r>
  <r>
    <x v="7"/>
    <s v="2222 - SANEAMENTO BASICO"/>
    <x v="361"/>
    <n v="-56222423.670000002"/>
    <n v="381894.5"/>
    <n v="381894.5"/>
  </r>
  <r>
    <x v="7"/>
    <s v="5013 - EDUCACAO SUPERIOR - GRADUACAO, POS-GRADUACAO, ENSINO, PESQUISA E EXTENSAO"/>
    <x v="163"/>
    <n v="0"/>
    <n v="12773148.640000001"/>
    <n v="12773148.640000001"/>
  </r>
  <r>
    <x v="7"/>
    <s v="3006 - TRANSPORTE TERRESTRE E TRANSITO"/>
    <x v="485"/>
    <n v="585000"/>
    <n v="585000"/>
    <n v="585000"/>
  </r>
  <r>
    <x v="7"/>
    <s v="2040 - GESTAO DE RISCOS E DE DESASTRES"/>
    <x v="786"/>
    <n v="0"/>
    <n v="0"/>
    <n v="0"/>
  </r>
  <r>
    <x v="7"/>
    <s v="2080 - EDUCACAO DE QUALIDADE PARA TODOS"/>
    <x v="501"/>
    <n v="0"/>
    <n v="0"/>
    <n v="0"/>
  </r>
  <r>
    <x v="7"/>
    <s v="1031 - AGROPECUARIA SUSTENTAVEL"/>
    <x v="899"/>
    <n v="2042679.2"/>
    <n v="2779183.03"/>
    <n v="2834173.87"/>
  </r>
  <r>
    <x v="7"/>
    <s v="3004 - AVIACAO CIVIL"/>
    <x v="955"/>
    <n v="0"/>
    <n v="0"/>
    <n v="0"/>
  </r>
  <r>
    <x v="7"/>
    <s v="6012 - DEFESA NACIONAL"/>
    <x v="210"/>
    <n v="0"/>
    <n v="0"/>
    <n v="0"/>
  </r>
  <r>
    <x v="7"/>
    <s v="3006 - TRANSPORTE TERRESTRE E TRANSITO"/>
    <x v="975"/>
    <n v="0"/>
    <n v="0"/>
    <n v="0"/>
  </r>
  <r>
    <x v="7"/>
    <s v="2221 - RECURSOS HIDRICOS"/>
    <x v="845"/>
    <n v="5200000"/>
    <n v="0"/>
    <n v="0"/>
  </r>
  <r>
    <x v="7"/>
    <s v="6012 - DEFESA NACIONAL"/>
    <x v="1118"/>
    <n v="-1137.46"/>
    <n v="0"/>
    <n v="0"/>
  </r>
  <r>
    <x v="7"/>
    <s v="6012 - DEFESA NACIONAL"/>
    <x v="763"/>
    <n v="-16628.22"/>
    <n v="554228.22"/>
    <n v="790848.99"/>
  </r>
  <r>
    <x v="7"/>
    <s v="2214 - NOVA PREVIDENCIA"/>
    <x v="345"/>
    <n v="-10037379.369999999"/>
    <n v="28392603.800000001"/>
    <n v="28392603.800000001"/>
  </r>
  <r>
    <x v="7"/>
    <s v="6014 - PREVENCAO E CONTROLE DO DESMATAMENTO E DOS INCENDIOS NOS BIOMAS"/>
    <x v="185"/>
    <n v="470211.2"/>
    <n v="900112.13"/>
    <n v="21111344.309999999"/>
  </r>
  <r>
    <x v="7"/>
    <s v="0032 - PROGRAMA DE GESTAO E MANUTENCAO DO PODER EXECUTIVO"/>
    <x v="78"/>
    <n v="0"/>
    <n v="0"/>
    <n v="205271.03"/>
  </r>
  <r>
    <x v="7"/>
    <s v="2037 - CONSOLIDACAO DO SISTEMA UNICO DE ASSISTENCIA SOCIAL (SUAS)"/>
    <x v="1068"/>
    <n v="0"/>
    <n v="0"/>
    <n v="0"/>
  </r>
  <r>
    <x v="7"/>
    <s v="2208 - TECNOLOGIAS APLICADAS, INOVACAO E DESENVOLVIMENTO SUSTENTAVEL"/>
    <x v="260"/>
    <n v="12090098.210000001"/>
    <n v="1166766.46"/>
    <n v="3183742.46"/>
  </r>
  <r>
    <x v="7"/>
    <s v="2210 - EMPREGABILIDADE"/>
    <x v="907"/>
    <n v="0"/>
    <n v="2692492.34"/>
    <n v="2692492.34"/>
  </r>
  <r>
    <x v="7"/>
    <s v="1031 - AGROPECUARIA SUSTENTAVEL"/>
    <x v="399"/>
    <n v="447463.34"/>
    <n v="464524.53"/>
    <n v="464524.53"/>
  </r>
  <r>
    <x v="7"/>
    <s v="0909 - OPERACOES ESPECIAIS: OUTROS ENCARGOS ESPECIAIS"/>
    <x v="346"/>
    <n v="0"/>
    <n v="0"/>
    <n v="0"/>
  </r>
  <r>
    <x v="7"/>
    <s v="2211 - INSERCAO ECONOMICA INTERNACIONAL"/>
    <x v="182"/>
    <n v="50000"/>
    <n v="27769.49"/>
    <n v="24403.84"/>
  </r>
  <r>
    <x v="7"/>
    <s v="0151 - PROTECAO DE TERRAS INDIGENAS, GESTAO TERRITORIAL E ETNODESENVOLVIMENTO"/>
    <x v="1164"/>
    <n v="1988471.81"/>
    <n v="1988471.81"/>
    <n v="1988471.81"/>
  </r>
  <r>
    <x v="7"/>
    <s v="2216 - POLITICA EXTERNA"/>
    <x v="51"/>
    <n v="1665346.84"/>
    <n v="595656.36"/>
    <n v="678843.88"/>
  </r>
  <r>
    <x v="7"/>
    <s v="3006 - TRANSPORTE TERRESTRE E TRANSITO"/>
    <x v="601"/>
    <n v="123192.06"/>
    <n v="162059.96"/>
    <n v="162059.96"/>
  </r>
  <r>
    <x v="7"/>
    <s v="0903 - OPERACOES ESPECIAIS: TRANSFERENCIAS CONSTITUCIONAIS E AS DECORRENTES DE LEGISLACAO ESPECIFICA"/>
    <x v="215"/>
    <n v="0"/>
    <n v="89605766.569999993"/>
    <n v="89605766.569999993"/>
  </r>
  <r>
    <x v="7"/>
    <s v="2217 - DESENVOLVIMENTO REGIONAL, TERRITORIAL E URBANO"/>
    <x v="110"/>
    <n v="0"/>
    <n v="34995"/>
    <n v="34995"/>
  </r>
  <r>
    <x v="7"/>
    <s v="5018 - ATENCAO ESPECIALIZADA A SAUDE"/>
    <x v="83"/>
    <n v="-640168.9"/>
    <n v="18080366.93"/>
    <n v="34364212.890000001"/>
  </r>
  <r>
    <x v="7"/>
    <s v="5011 - EDUCACAO BASICA DE QUALIDADE"/>
    <x v="1049"/>
    <n v="50225650"/>
    <n v="14562315"/>
    <n v="14562315"/>
  </r>
  <r>
    <x v="7"/>
    <s v="5026 - ESPORTE"/>
    <x v="223"/>
    <n v="0"/>
    <n v="0"/>
    <n v="0"/>
  </r>
  <r>
    <x v="7"/>
    <s v="2213 - MODERNIZACAO TRABALHISTA E TRABALHO DIGNO"/>
    <x v="159"/>
    <n v="47171.26"/>
    <n v="1790.64"/>
    <n v="148294.22"/>
  </r>
  <r>
    <x v="7"/>
    <s v="1058 - MUDANCA DO CLIMA"/>
    <x v="931"/>
    <n v="234472.66"/>
    <n v="21400.45"/>
    <n v="22375.37"/>
  </r>
  <r>
    <x v="7"/>
    <s v="2215 - POLITICA ECONOMICA E EQUILIBRIO FISCAL"/>
    <x v="264"/>
    <n v="0"/>
    <n v="1419623.8"/>
    <n v="1419623.8"/>
  </r>
  <r>
    <x v="7"/>
    <s v="2080 - EDUCACAO DE QUALIDADE PARA TODOS"/>
    <x v="762"/>
    <n v="0"/>
    <n v="0"/>
    <n v="0"/>
  </r>
  <r>
    <x v="7"/>
    <s v="3002 - GEOLOGIA, MINERACAO E TRANSFORMACAO MINERAL"/>
    <x v="830"/>
    <n v="83000"/>
    <n v="10574.45"/>
    <n v="5339.89"/>
  </r>
  <r>
    <x v="7"/>
    <s v="2223 - A HORA DO TURISMO"/>
    <x v="419"/>
    <n v="-30000"/>
    <n v="110614.43"/>
    <n v="18723.57"/>
  </r>
  <r>
    <x v="7"/>
    <s v="6013 - OCEANOS, ZONA COSTEIRA E ANTARTICA"/>
    <x v="805"/>
    <n v="71110"/>
    <n v="0"/>
    <n v="0"/>
  </r>
  <r>
    <x v="7"/>
    <s v="2217 - DESENVOLVIMENTO REGIONAL, TERRITORIAL E URBANO"/>
    <x v="839"/>
    <n v="-174870.33"/>
    <n v="0"/>
    <n v="0"/>
  </r>
  <r>
    <x v="7"/>
    <s v="3006 - TRANSPORTE TERRESTRE E TRANSITO"/>
    <x v="1121"/>
    <n v="0"/>
    <n v="12257299.609999999"/>
    <n v="0"/>
  </r>
  <r>
    <x v="7"/>
    <s v="5027 - INCLUSAO PRODUTIVA DE PESSOAS EM SITUACAO DE VULNERABILIDADE SOCIAL"/>
    <x v="311"/>
    <n v="0"/>
    <n v="357.95"/>
    <n v="357.95"/>
  </r>
  <r>
    <x v="7"/>
    <s v="0151 - PROTECAO DE TERRAS INDIGENAS, GESTAO TERRITORIAL E ETNODESENVOLVIMENTO"/>
    <x v="1008"/>
    <n v="34925.879999999997"/>
    <n v="14500"/>
    <n v="14500"/>
  </r>
  <r>
    <x v="7"/>
    <s v="0903 - OPERACOES ESPECIAIS: TRANSFERENCIAS CONSTITUCIONAIS E AS DECORRENTES DE LEGISLACAO ESPECIFICA"/>
    <x v="298"/>
    <n v="0"/>
    <n v="21259785.739999998"/>
    <n v="21259785.739999998"/>
  </r>
  <r>
    <x v="7"/>
    <s v="3006 - TRANSPORTE TERRESTRE E TRANSITO"/>
    <x v="860"/>
    <n v="0"/>
    <n v="332881.67"/>
    <n v="332881.67"/>
  </r>
  <r>
    <x v="7"/>
    <s v="5013 - EDUCACAO SUPERIOR - GRADUACAO, POS-GRADUACAO, ENSINO, PESQUISA E EXTENSAO"/>
    <x v="571"/>
    <n v="125569"/>
    <n v="74171.39"/>
    <n v="80103.64"/>
  </r>
  <r>
    <x v="7"/>
    <s v="6012 - DEFESA NACIONAL"/>
    <x v="878"/>
    <n v="5346892.58"/>
    <n v="11449.2"/>
    <n v="10056.94"/>
  </r>
  <r>
    <x v="7"/>
    <s v="2077 - AGROPECUARIA SUSTENTAVEL"/>
    <x v="713"/>
    <n v="0"/>
    <n v="0"/>
    <n v="0"/>
  </r>
  <r>
    <x v="7"/>
    <s v="5033 - SEGURANCA ALIMENTAR E NUTRICIONAL"/>
    <x v="910"/>
    <n v="20786"/>
    <n v="0"/>
    <n v="0"/>
  </r>
  <r>
    <x v="7"/>
    <s v="0906 - OPERACOES ESPECIAIS: SERVICO DA DIVIDA EXTERNA (JUROS EAMORTIZACOES)"/>
    <x v="127"/>
    <n v="887633566.35000002"/>
    <n v="887633566.35000002"/>
    <n v="887633566.35000002"/>
  </r>
  <r>
    <x v="7"/>
    <s v="2205 - CONECTA BRASIL"/>
    <x v="148"/>
    <n v="-792683.38"/>
    <n v="10871044"/>
    <n v="4351283.91"/>
  </r>
  <r>
    <x v="7"/>
    <s v="3002 - GEOLOGIA, MINERACAO E TRANSFORMACAO MINERAL"/>
    <x v="877"/>
    <n v="13995.22"/>
    <n v="1022046.03"/>
    <n v="988040.34"/>
  </r>
  <r>
    <x v="7"/>
    <s v="6015 - EDUCACAO INFANTIL"/>
    <x v="923"/>
    <n v="16237115.57"/>
    <n v="25476635.879999999"/>
    <n v="25476635.879999999"/>
  </r>
  <r>
    <x v="7"/>
    <s v="6013 - OCEANOS, ZONA COSTEIRA E ANTARTICA"/>
    <x v="778"/>
    <n v="1840.35"/>
    <n v="42961.38"/>
    <n v="54261.2"/>
  </r>
  <r>
    <x v="7"/>
    <s v="2222 - SANEAMENTO BASICO"/>
    <x v="908"/>
    <n v="0"/>
    <n v="0"/>
    <n v="0"/>
  </r>
  <r>
    <x v="7"/>
    <s v="2222 - SANEAMENTO BASICO"/>
    <x v="449"/>
    <n v="0"/>
    <n v="0"/>
    <n v="0"/>
  </r>
  <r>
    <x v="7"/>
    <s v="2221 - RECURSOS HIDRICOS"/>
    <x v="149"/>
    <n v="-149.55000000000001"/>
    <n v="1617.77"/>
    <n v="1617.77"/>
  </r>
  <r>
    <x v="7"/>
    <s v="3004 - AVIACAO CIVIL"/>
    <x v="813"/>
    <n v="0"/>
    <n v="0"/>
    <n v="0"/>
  </r>
  <r>
    <x v="7"/>
    <s v="0909 - OPERACOES ESPECIAIS: OUTROS ENCARGOS ESPECIAIS"/>
    <x v="765"/>
    <n v="-45352039.549999997"/>
    <n v="1240547960.45"/>
    <n v="1240547960.45"/>
  </r>
  <r>
    <x v="7"/>
    <s v="0151 - PROTECAO DE TERRAS INDIGENAS, GESTAO TERRITORIAL E ETNODESENVOLVIMENTO"/>
    <x v="1016"/>
    <n v="0"/>
    <n v="6246.89"/>
    <n v="1589.83"/>
  </r>
  <r>
    <x v="7"/>
    <s v="2221 - RECURSOS HIDRICOS"/>
    <x v="484"/>
    <n v="83465.7"/>
    <n v="11149004.82"/>
    <n v="11257151.529999999"/>
  </r>
  <r>
    <x v="7"/>
    <s v="2076 - DESENVOLVIMENTO E PROMOCAO DO TURISMO"/>
    <x v="13"/>
    <n v="0"/>
    <n v="0"/>
    <n v="0"/>
  </r>
  <r>
    <x v="7"/>
    <s v="5015 - JUSTICA"/>
    <x v="584"/>
    <n v="2502629.15"/>
    <n v="619239.61"/>
    <n v="746867.66"/>
  </r>
  <r>
    <x v="7"/>
    <s v="5031 - PROTECAO SOCIAL NO AMBITO DO SISTEMA UNICO DE ASSISTENCIA SOCIAL (SUAS)"/>
    <x v="302"/>
    <n v="0"/>
    <n v="3094218.16"/>
    <n v="3094218.16"/>
  </r>
  <r>
    <x v="7"/>
    <s v="5031 - PROTECAO SOCIAL NO AMBITO DO SISTEMA UNICO DE ASSISTENCIA SOCIAL (SUAS)"/>
    <x v="463"/>
    <n v="180152785.63"/>
    <n v="208621850.08000001"/>
    <n v="208296850.08000001"/>
  </r>
  <r>
    <x v="7"/>
    <s v="0902 - OPERACOES ESPECIAIS: FINANCIAMENTOS COM RETORNO"/>
    <x v="24"/>
    <n v="0"/>
    <n v="231859665.65000001"/>
    <n v="231859665.65000001"/>
  </r>
  <r>
    <x v="7"/>
    <s v="5026 - ESPORTE"/>
    <x v="300"/>
    <n v="0"/>
    <n v="96681.600000000006"/>
    <n v="86688.94"/>
  </r>
  <r>
    <x v="7"/>
    <s v="1031 - AGROPECUARIA SUSTENTAVEL"/>
    <x v="15"/>
    <n v="0"/>
    <n v="122106323.26000001"/>
    <n v="122106323.26000001"/>
  </r>
  <r>
    <x v="7"/>
    <s v="0032 - PROGRAMA DE GESTAO E MANUTENCAO DO PODER EXECUTIVO"/>
    <x v="577"/>
    <n v="-206.4"/>
    <n v="61479.66"/>
    <n v="3019.7"/>
  </r>
  <r>
    <x v="7"/>
    <s v="2220 - MORADIA DIGNA"/>
    <x v="1165"/>
    <n v="500000"/>
    <n v="0"/>
    <n v="0"/>
  </r>
  <r>
    <x v="7"/>
    <s v="2217 - DESENVOLVIMENTO REGIONAL, TERRITORIAL E URBANO"/>
    <x v="406"/>
    <n v="175540"/>
    <n v="40385.94"/>
    <n v="38416.26"/>
  </r>
  <r>
    <x v="7"/>
    <s v="5011 - EDUCACAO BASICA DE QUALIDADE"/>
    <x v="386"/>
    <n v="54820847.130000003"/>
    <n v="61719529.939999998"/>
    <n v="61719529.939999998"/>
  </r>
  <r>
    <x v="7"/>
    <s v="2015 - FORTALECIMENTO DO SISTEMA UNICO DE SAUDE (SUS)"/>
    <x v="1152"/>
    <n v="0"/>
    <n v="0"/>
    <n v="0"/>
  </r>
  <r>
    <x v="7"/>
    <s v="0033 - PROGRAMA DE GESTAO E MANUTENCAO DO PODER JUDICIARIO"/>
    <x v="376"/>
    <n v="4139.08"/>
    <n v="4139.08"/>
    <n v="6674.08"/>
  </r>
  <r>
    <x v="7"/>
    <s v="0901 - OPERACOES ESPECIAIS: CUMPRIMENTO DE SENTENCAS JUDICIAIS"/>
    <x v="175"/>
    <n v="1937594.92"/>
    <n v="1937594.92"/>
    <n v="1937594.92"/>
  </r>
  <r>
    <x v="7"/>
    <s v="3006 - TRANSPORTE TERRESTRE E TRANSITO"/>
    <x v="166"/>
    <n v="0"/>
    <n v="295173.27"/>
    <n v="295173.27"/>
  </r>
  <r>
    <x v="7"/>
    <s v="3006 - TRANSPORTE TERRESTRE E TRANSITO"/>
    <x v="671"/>
    <n v="160000"/>
    <n v="178127.64"/>
    <n v="180019.42"/>
  </r>
  <r>
    <x v="7"/>
    <s v="3006 - TRANSPORTE TERRESTRE E TRANSITO"/>
    <x v="195"/>
    <n v="9278471.5199999996"/>
    <n v="102296.42"/>
    <n v="102296.42"/>
  </r>
  <r>
    <x v="7"/>
    <s v="3006 - TRANSPORTE TERRESTRE E TRANSITO"/>
    <x v="841"/>
    <n v="60000000"/>
    <n v="17318056.890000001"/>
    <n v="17318056.890000001"/>
  </r>
  <r>
    <x v="7"/>
    <s v="0032 - PROGRAMA DE GESTAO E MANUTENCAO DO PODER EXECUTIVO"/>
    <x v="678"/>
    <n v="41450000"/>
    <n v="612781.89"/>
    <n v="193023613.09999999"/>
  </r>
  <r>
    <x v="7"/>
    <s v="2223 - A HORA DO TURISMO"/>
    <x v="217"/>
    <n v="-12485.09"/>
    <n v="-3126.66"/>
    <n v="-3126.66"/>
  </r>
  <r>
    <x v="7"/>
    <s v="2087 - TRANSPORTE TERRESTRE"/>
    <x v="162"/>
    <n v="0"/>
    <n v="0"/>
    <n v="0"/>
  </r>
  <r>
    <x v="7"/>
    <s v="2205 - CONECTA BRASIL"/>
    <x v="398"/>
    <n v="27375268"/>
    <n v="12977694.789999999"/>
    <n v="12977694.789999999"/>
  </r>
  <r>
    <x v="7"/>
    <s v="2208 - TECNOLOGIAS APLICADAS, INOVACAO E DESENVOLVIMENTO SUSTENTAVEL"/>
    <x v="218"/>
    <n v="163259716.81"/>
    <n v="38397918.049999997"/>
    <n v="47315081.490000002"/>
  </r>
  <r>
    <x v="7"/>
    <s v="0906 - OPERACOES ESPECIAIS: SERVICO DA DIVIDA EXTERNA (JUROS EAMORTIZACOES)"/>
    <x v="1062"/>
    <n v="102352.98"/>
    <n v="94588.27"/>
    <n v="94588.27"/>
  </r>
  <r>
    <x v="7"/>
    <s v="0902 - OPERACOES ESPECIAIS: FINANCIAMENTOS COM RETORNO"/>
    <x v="555"/>
    <n v="0"/>
    <n v="159296734.06999999"/>
    <n v="159201501.97999999"/>
  </r>
  <r>
    <x v="7"/>
    <s v="1040 - GOVERNANCA FUNDIARIA"/>
    <x v="236"/>
    <n v="0"/>
    <n v="1648248.93"/>
    <n v="1648248.93"/>
  </r>
  <r>
    <x v="7"/>
    <s v="5023 - VIGILANCIA EM SAUDE"/>
    <x v="509"/>
    <n v="2628663.0299999998"/>
    <n v="3150813.03"/>
    <n v="2654396.5099999998"/>
  </r>
  <r>
    <x v="7"/>
    <s v="2208 - TECNOLOGIAS APLICADAS, INOVACAO E DESENVOLVIMENTO SUSTENTAVEL"/>
    <x v="33"/>
    <n v="0"/>
    <n v="1353725"/>
    <n v="1448125"/>
  </r>
  <r>
    <x v="7"/>
    <s v="2221 - RECURSOS HIDRICOS"/>
    <x v="414"/>
    <n v="0"/>
    <n v="0"/>
    <n v="0"/>
  </r>
  <r>
    <x v="7"/>
    <s v="2217 - DESENVOLVIMENTO REGIONAL, TERRITORIAL E URBANO"/>
    <x v="621"/>
    <n v="373337.98"/>
    <n v="326353.82"/>
    <n v="443204.59"/>
  </r>
  <r>
    <x v="7"/>
    <s v="3006 - TRANSPORTE TERRESTRE E TRANSITO"/>
    <x v="162"/>
    <n v="1547496"/>
    <n v="638010.01"/>
    <n v="183597.07"/>
  </r>
  <r>
    <x v="7"/>
    <s v="2221 - RECURSOS HIDRICOS"/>
    <x v="663"/>
    <n v="242840513.44999999"/>
    <n v="6397467.6200000001"/>
    <n v="5901414.5899999999"/>
  </r>
  <r>
    <x v="7"/>
    <s v="5014 - ESTATISTICAS E AVALIACOES EDUCACIONAIS"/>
    <x v="755"/>
    <n v="16351886.25"/>
    <n v="288676.15000000002"/>
    <n v="356434.8"/>
  </r>
  <r>
    <x v="7"/>
    <s v="2206 - POLITICA NUCLEAR"/>
    <x v="198"/>
    <n v="0"/>
    <n v="0"/>
    <n v="0"/>
  </r>
  <r>
    <x v="7"/>
    <s v="3001 - ENERGIA ELETRICA"/>
    <x v="868"/>
    <n v="102859.66"/>
    <n v="52656.81"/>
    <n v="50422.1"/>
  </r>
  <r>
    <x v="7"/>
    <s v="3006 - TRANSPORTE TERRESTRE E TRANSITO"/>
    <x v="1144"/>
    <n v="0"/>
    <n v="313337.93"/>
    <n v="313337.93"/>
  </r>
  <r>
    <x v="7"/>
    <s v="1031 - AGROPECUARIA SUSTENTAVEL"/>
    <x v="685"/>
    <n v="45050.44"/>
    <n v="886539.33"/>
    <n v="722272.66"/>
  </r>
  <r>
    <x v="7"/>
    <s v="2217 - DESENVOLVIMENTO REGIONAL, TERRITORIAL E URBANO"/>
    <x v="296"/>
    <n v="0"/>
    <n v="424271.79"/>
    <n v="433848.46"/>
  </r>
  <r>
    <x v="7"/>
    <s v="2223 - A HORA DO TURISMO"/>
    <x v="269"/>
    <n v="890000"/>
    <n v="863812.96"/>
    <n v="863812.96"/>
  </r>
  <r>
    <x v="7"/>
    <s v="5031 - PROTECAO SOCIAL NO AMBITO DO SISTEMA UNICO DE ASSISTENCIA SOCIAL (SUAS)"/>
    <x v="514"/>
    <n v="1310132"/>
    <n v="557971210.11000001"/>
    <n v="3596469841"/>
  </r>
  <r>
    <x v="7"/>
    <s v="2069 - SEGURANCA ALIMENTAR E NUTRICIONAL"/>
    <x v="880"/>
    <n v="0"/>
    <n v="0"/>
    <n v="0"/>
  </r>
  <r>
    <x v="7"/>
    <s v="5021 - GESTAO E ORGANIZACAO DO SUS"/>
    <x v="695"/>
    <n v="800000"/>
    <n v="706544.01"/>
    <n v="706544.01"/>
  </r>
  <r>
    <x v="7"/>
    <s v="5021 - GESTAO E ORGANIZACAO DO SUS"/>
    <x v="326"/>
    <n v="6070356"/>
    <n v="86330.95"/>
    <n v="19202.37"/>
  </r>
  <r>
    <x v="7"/>
    <s v="0033 - PROGRAMA DE GESTAO E MANUTENCAO DO PODER JUDICIARIO"/>
    <x v="415"/>
    <n v="0"/>
    <n v="0"/>
    <n v="0"/>
  </r>
  <r>
    <x v="7"/>
    <s v="5035 - PROMOCAO DE CIDADANIA POR MEIO DO AUXILIO BRASIL E DA ARTICULACAO DE POLITICAS PUBLICAS"/>
    <x v="550"/>
    <n v="0"/>
    <n v="843494338.38999999"/>
    <n v="843493738.38999999"/>
  </r>
  <r>
    <x v="7"/>
    <s v="3006 - TRANSPORTE TERRESTRE E TRANSITO"/>
    <x v="838"/>
    <n v="17815374.859999999"/>
    <n v="385424.67"/>
    <n v="385424.67"/>
  </r>
  <r>
    <x v="7"/>
    <s v="0032 - PROGRAMA DE GESTAO E MANUTENCAO DO PODER EXECUTIVO"/>
    <x v="91"/>
    <n v="2785381.1"/>
    <n v="2678494.75"/>
    <n v="2618753.98"/>
  </r>
  <r>
    <x v="7"/>
    <s v="1031 - AGROPECUARIA SUSTENTAVEL"/>
    <x v="535"/>
    <n v="51379.040000000001"/>
    <n v="39973.64"/>
    <n v="17663.64"/>
  </r>
  <r>
    <x v="7"/>
    <s v="2201 - BRASIL MODERNIZA"/>
    <x v="520"/>
    <n v="468213.17"/>
    <n v="292115.3"/>
    <n v="291814.58"/>
  </r>
  <r>
    <x v="7"/>
    <s v="2208 - TECNOLOGIAS APLICADAS, INOVACAO E DESENVOLVIMENTO SUSTENTAVEL"/>
    <x v="804"/>
    <n v="0"/>
    <n v="0"/>
    <n v="15400"/>
  </r>
  <r>
    <x v="7"/>
    <s v="6012 - DEFESA NACIONAL"/>
    <x v="1024"/>
    <n v="0"/>
    <n v="0"/>
    <n v="0"/>
  </r>
  <r>
    <x v="7"/>
    <s v="5029 - PRODUCAO DE DADOS E CONHECIMENTO PARA O APRIMORAMENTO DE POLITICAS PUBLICAS"/>
    <x v="320"/>
    <n v="260000"/>
    <n v="253919.95"/>
    <n v="253919.95"/>
  </r>
  <r>
    <x v="7"/>
    <s v="5026 - ESPORTE"/>
    <x v="971"/>
    <n v="0"/>
    <n v="299358.09999999998"/>
    <n v="299358.09999999998"/>
  </r>
  <r>
    <x v="7"/>
    <s v="2208 - TECNOLOGIAS APLICADAS, INOVACAO E DESENVOLVIMENTO SUSTENTAVEL"/>
    <x v="189"/>
    <n v="0"/>
    <n v="0"/>
    <n v="0"/>
  </r>
  <r>
    <x v="7"/>
    <s v="0032 - PROGRAMA DE GESTAO E MANUTENCAO DO PODER EXECUTIVO"/>
    <x v="295"/>
    <n v="214120.05"/>
    <n v="75108.23"/>
    <n v="6076.36"/>
  </r>
  <r>
    <x v="7"/>
    <s v="2215 - POLITICA ECONOMICA E EQUILIBRIO FISCAL"/>
    <x v="597"/>
    <n v="49172.9"/>
    <n v="514923.1"/>
    <n v="495049.46"/>
  </r>
  <r>
    <x v="7"/>
    <s v="3006 - TRANSPORTE TERRESTRE E TRANSITO"/>
    <x v="360"/>
    <n v="0"/>
    <n v="127968.29"/>
    <n v="127968.29"/>
  </r>
  <r>
    <x v="7"/>
    <s v="0903 - OPERACOES ESPECIAIS: TRANSFERENCIAS CONSTITUCIONAIS E AS DECORRENTES DE LEGISLACAO ESPECIFICA"/>
    <x v="43"/>
    <n v="0"/>
    <n v="6955790066.4499998"/>
    <n v="6955790066.4499998"/>
  </r>
  <r>
    <x v="7"/>
    <s v="3005 - TRANSPORTE AQUAVIARIO"/>
    <x v="367"/>
    <n v="301147.63"/>
    <n v="43051073.560000002"/>
    <n v="41853849.170000002"/>
  </r>
  <r>
    <x v="7"/>
    <s v="3006 - TRANSPORTE TERRESTRE E TRANSITO"/>
    <x v="310"/>
    <n v="120000000"/>
    <n v="8062050.4000000004"/>
    <n v="8062050.4000000004"/>
  </r>
  <r>
    <x v="7"/>
    <s v="2217 - DESENVOLVIMENTO REGIONAL, TERRITORIAL E URBANO"/>
    <x v="287"/>
    <n v="0"/>
    <n v="1749.21"/>
    <n v="0"/>
  </r>
  <r>
    <x v="7"/>
    <s v="0031 - PROGRAMA DE GESTAO E MANUTENCAO DO MINISTERIO PUBLICO"/>
    <x v="67"/>
    <n v="0"/>
    <n v="25938.97"/>
    <n v="32808.720000000001"/>
  </r>
  <r>
    <x v="7"/>
    <s v="2219 - MOBILIDADE URBANA"/>
    <x v="427"/>
    <n v="361023227.43000001"/>
    <n v="0"/>
    <n v="0"/>
  </r>
  <r>
    <x v="7"/>
    <s v="5035 - PROMOCAO DE CIDADANIA POR MEIO DO AUXILIO BRASIL E DA ARTICULACAO DE POLITICAS PUBLICAS"/>
    <x v="462"/>
    <n v="0"/>
    <n v="109930.93"/>
    <n v="109930.93"/>
  </r>
  <r>
    <x v="7"/>
    <s v="0903 - OPERACOES ESPECIAIS: TRANSFERENCIAS CONSTITUCIONAIS E AS DECORRENTES DE LEGISLACAO ESPECIFICA"/>
    <x v="128"/>
    <n v="0"/>
    <n v="0"/>
    <n v="347205027.75999999"/>
  </r>
  <r>
    <x v="7"/>
    <s v="1041 - CONSERVACAO E USO SUSTENTAVEL DA BIODIVERSIDADE E DOS RECURSOS NATURAIS"/>
    <x v="604"/>
    <n v="2485700"/>
    <n v="461001.13"/>
    <n v="447016.08"/>
  </r>
  <r>
    <x v="7"/>
    <s v="3004 - AVIACAO CIVIL"/>
    <x v="379"/>
    <n v="0"/>
    <n v="0"/>
    <n v="0"/>
  </r>
  <r>
    <x v="7"/>
    <s v="6012 - DEFESA NACIONAL"/>
    <x v="75"/>
    <n v="1110841.29"/>
    <n v="284149.57"/>
    <n v="437503.09"/>
  </r>
  <r>
    <x v="7"/>
    <s v="2222 - SANEAMENTO BASICO"/>
    <x v="840"/>
    <n v="0"/>
    <n v="0"/>
    <n v="0"/>
  </r>
  <r>
    <x v="7"/>
    <s v="2208 - TECNOLOGIAS APLICADAS, INOVACAO E DESENVOLVIMENTO SUSTENTAVEL"/>
    <x v="5"/>
    <n v="22164835.149999999"/>
    <n v="22164835.149999999"/>
    <n v="22164835.149999999"/>
  </r>
  <r>
    <x v="7"/>
    <s v="1041 - CONSERVACAO E USO SUSTENTAVEL DA BIODIVERSIDADE E DOS RECURSOS NATURAIS"/>
    <x v="19"/>
    <n v="15079.08"/>
    <n v="12711.81"/>
    <n v="12711.81"/>
  </r>
  <r>
    <x v="7"/>
    <s v="3006 - TRANSPORTE TERRESTRE E TRANSITO"/>
    <x v="635"/>
    <n v="0"/>
    <n v="454838.75"/>
    <n v="262919.15999999997"/>
  </r>
  <r>
    <x v="7"/>
    <s v="1041 - CONSERVACAO E USO SUSTENTAVEL DA BIODIVERSIDADE E DOS RECURSOS NATURAIS"/>
    <x v="977"/>
    <n v="112015.2"/>
    <n v="198140.34"/>
    <n v="190938.55"/>
  </r>
  <r>
    <x v="7"/>
    <s v="0901 - OPERACOES ESPECIAIS: CUMPRIMENTO DE SENTENCAS JUDICIAIS"/>
    <x v="882"/>
    <n v="0"/>
    <n v="0"/>
    <n v="0"/>
  </r>
  <r>
    <x v="7"/>
    <s v="2216 - POLITICA EXTERNA"/>
    <x v="734"/>
    <n v="406465.44"/>
    <n v="480810.07"/>
    <n v="479056.58"/>
  </r>
  <r>
    <x v="7"/>
    <s v="0910 - OPERACOES ESPECIAIS: GESTAO DA PARTICIPACAO EM ORGANISMOS E ENTIDADES NACIONAIS E INTERNACIONAIS"/>
    <x v="1166"/>
    <n v="0"/>
    <n v="0"/>
    <n v="0"/>
  </r>
  <r>
    <x v="7"/>
    <s v="3006 - TRANSPORTE TERRESTRE E TRANSITO"/>
    <x v="531"/>
    <n v="0"/>
    <n v="646164.68000000005"/>
    <n v="646164.68000000005"/>
  </r>
  <r>
    <x v="7"/>
    <s v="5023 - VIGILANCIA EM SAUDE"/>
    <x v="145"/>
    <n v="165828960"/>
    <n v="330601920"/>
    <n v="330601920"/>
  </r>
  <r>
    <x v="7"/>
    <s v="3006 - TRANSPORTE TERRESTRE E TRANSITO"/>
    <x v="666"/>
    <n v="2589872.44"/>
    <n v="8676553.1799999997"/>
    <n v="6937314.2300000004"/>
  </r>
  <r>
    <x v="7"/>
    <s v="6012 - DEFESA NACIONAL"/>
    <x v="38"/>
    <n v="0"/>
    <n v="0"/>
    <n v="0"/>
  </r>
  <r>
    <x v="7"/>
    <s v="5017 - ASSISTENCIA FARMACEUTICA NO SUS"/>
    <x v="124"/>
    <n v="201063.56"/>
    <n v="59299.29"/>
    <n v="95987067.730000004"/>
  </r>
  <r>
    <x v="7"/>
    <s v="5033 - SEGURANCA ALIMENTAR E NUTRICIONAL"/>
    <x v="370"/>
    <n v="22149.88"/>
    <n v="22149.88"/>
    <n v="22149.88"/>
  </r>
  <r>
    <x v="7"/>
    <s v="0032 - PROGRAMA DE GESTAO E MANUTENCAO DO PODER EXECUTIVO"/>
    <x v="541"/>
    <n v="0"/>
    <n v="2431"/>
    <n v="2431"/>
  </r>
  <r>
    <x v="7"/>
    <s v="5021 - GESTAO E ORGANIZACAO DO SUS"/>
    <x v="560"/>
    <n v="16532612.210000001"/>
    <n v="27807604.02"/>
    <n v="17209175.16"/>
  </r>
  <r>
    <x v="7"/>
    <s v="1031 - AGROPECUARIA SUSTENTAVEL"/>
    <x v="1167"/>
    <n v="35046893.490000002"/>
    <n v="0"/>
    <n v="0"/>
  </r>
  <r>
    <x v="7"/>
    <s v="3006 - TRANSPORTE TERRESTRE E TRANSITO"/>
    <x v="537"/>
    <n v="0"/>
    <n v="259974.05"/>
    <n v="25664557.940000001"/>
  </r>
  <r>
    <x v="7"/>
    <s v="1043 - QUALIDADE AMBIENTAL URBANA"/>
    <x v="109"/>
    <n v="229999.66"/>
    <n v="41360.449999999997"/>
    <n v="41360.449999999997"/>
  </r>
  <r>
    <x v="7"/>
    <s v="2222 - SANEAMENTO BASICO"/>
    <x v="1109"/>
    <n v="0"/>
    <n v="0"/>
    <n v="94.8"/>
  </r>
  <r>
    <x v="7"/>
    <s v="0910 - OPERACOES ESPECIAIS: GESTAO DA PARTICIPACAO EM ORGANISMOS E ENTIDADES NACIONAIS E INTERNACIONAIS"/>
    <x v="1137"/>
    <n v="0"/>
    <n v="2070402"/>
    <n v="2070402"/>
  </r>
  <r>
    <x v="7"/>
    <s v="2212 - MELHORIA DO AMBIENTE DE NEGOCIOS E DA PRODUTIVIDADE"/>
    <x v="238"/>
    <n v="71828.710000000006"/>
    <n v="452120.35"/>
    <n v="460954.42"/>
  </r>
  <r>
    <x v="7"/>
    <s v="5019 - ATENCAO PRIMARIA A SAUDE"/>
    <x v="86"/>
    <n v="2036000"/>
    <n v="0"/>
    <n v="0"/>
  </r>
  <r>
    <x v="7"/>
    <s v="3001 - ENERGIA ELETRICA"/>
    <x v="16"/>
    <n v="457605.57"/>
    <n v="494922.67"/>
    <n v="493430.09"/>
  </r>
  <r>
    <x v="7"/>
    <s v="5015 - JUSTICA"/>
    <x v="221"/>
    <n v="-400408.11"/>
    <n v="1496250.27"/>
    <n v="1883324.8"/>
  </r>
  <r>
    <x v="7"/>
    <s v="5018 - ATENCAO ESPECIALIZADA A SAUDE"/>
    <x v="330"/>
    <n v="6735313.1600000001"/>
    <n v="13782261.98"/>
    <n v="16984200.530000001"/>
  </r>
  <r>
    <x v="7"/>
    <s v="2222 - SANEAMENTO BASICO"/>
    <x v="444"/>
    <n v="0"/>
    <n v="0"/>
    <n v="0"/>
  </r>
  <r>
    <x v="7"/>
    <s v="2212 - MELHORIA DO AMBIENTE DE NEGOCIOS E DA PRODUTIVIDADE"/>
    <x v="329"/>
    <n v="10126166.58"/>
    <n v="40299048.289999999"/>
    <n v="40299048.289999999"/>
  </r>
  <r>
    <x v="7"/>
    <s v="2213 - MODERNIZACAO TRABALHISTA E TRABALHO DIGNO"/>
    <x v="1141"/>
    <n v="0"/>
    <n v="1035.06"/>
    <n v="1035.06"/>
  </r>
  <r>
    <x v="7"/>
    <s v="2222 - SANEAMENTO BASICO"/>
    <x v="554"/>
    <n v="0"/>
    <n v="0"/>
    <n v="0"/>
  </r>
  <r>
    <x v="7"/>
    <s v="1058 - MUDANCA DO CLIMA"/>
    <x v="1044"/>
    <n v="64876.82"/>
    <n v="162129.46"/>
    <n v="150491.97"/>
  </r>
  <r>
    <x v="7"/>
    <s v="5019 - ATENCAO PRIMARIA A SAUDE"/>
    <x v="412"/>
    <n v="4179000"/>
    <n v="0"/>
    <n v="0"/>
  </r>
  <r>
    <x v="7"/>
    <s v="2108 - PROGRAMA DE GESTAO E MANUTENCAO DO MINISTERIO DA DEFESA"/>
    <x v="52"/>
    <n v="0"/>
    <n v="0"/>
    <n v="0"/>
  </r>
  <r>
    <x v="7"/>
    <s v="6012 - DEFESA NACIONAL"/>
    <x v="321"/>
    <n v="598887.19999999995"/>
    <n v="11845533.49"/>
    <n v="11770392.32"/>
  </r>
  <r>
    <x v="7"/>
    <s v="0909 - OPERACOES ESPECIAIS: OUTROS ENCARGOS ESPECIAIS"/>
    <x v="556"/>
    <n v="0"/>
    <n v="0"/>
    <n v="276204.14"/>
  </r>
  <r>
    <x v="7"/>
    <s v="3001 - ENERGIA ELETRICA"/>
    <x v="304"/>
    <n v="767888.85"/>
    <n v="260038.29"/>
    <n v="401286.73"/>
  </r>
  <r>
    <x v="7"/>
    <s v="0032 - PROGRAMA DE GESTAO E MANUTENCAO DO PODER EXECUTIVO"/>
    <x v="532"/>
    <n v="913840.85"/>
    <n v="353840.82"/>
    <n v="310187.40999999997"/>
  </r>
  <r>
    <x v="7"/>
    <s v="2217 - DESENVOLVIMENTO REGIONAL, TERRITORIAL E URBANO"/>
    <x v="107"/>
    <n v="0"/>
    <n v="0"/>
    <n v="0"/>
  </r>
  <r>
    <x v="7"/>
    <s v="4003 - GARANTIA DA ESTABILIDADE MONETARIA E FINANCEIRA"/>
    <x v="728"/>
    <n v="584145.84"/>
    <n v="3959001.49"/>
    <n v="6879981.5"/>
  </r>
  <r>
    <x v="7"/>
    <s v="5026 - ESPORTE"/>
    <x v="248"/>
    <n v="3777511.96"/>
    <n v="3880025.2"/>
    <n v="4286149.03"/>
  </r>
  <r>
    <x v="7"/>
    <s v="6012 - DEFESA NACIONAL"/>
    <x v="1076"/>
    <n v="0"/>
    <n v="138651"/>
    <n v="138651"/>
  </r>
  <r>
    <x v="7"/>
    <s v="3006 - TRANSPORTE TERRESTRE E TRANSITO"/>
    <x v="651"/>
    <n v="0"/>
    <n v="0"/>
    <n v="193295.31"/>
  </r>
  <r>
    <x v="7"/>
    <s v="5016 - SEGURANCA PUBLICA, COMBATE A CORRUPCAO, AO CRIME ORGANIZADO E AO CRIME VIOLENTO"/>
    <x v="814"/>
    <n v="0"/>
    <n v="20645.310000000001"/>
    <n v="20645.310000000001"/>
  </r>
  <r>
    <x v="7"/>
    <s v="5019 - ATENCAO PRIMARIA A SAUDE"/>
    <x v="316"/>
    <n v="0"/>
    <n v="0"/>
    <n v="0"/>
  </r>
  <r>
    <x v="7"/>
    <s v="2214 - NOVA PREVIDENCIA"/>
    <x v="617"/>
    <n v="0"/>
    <n v="5732869.6100000003"/>
    <n v="6047559.79"/>
  </r>
  <r>
    <x v="7"/>
    <s v="5020 - DESENVOLVIMENTO CIENTIFICO, TECNOLOGICO E PRODUTIVO EM SAUDE"/>
    <x v="817"/>
    <n v="1020673.61"/>
    <n v="30252.92"/>
    <n v="7752.92"/>
  </r>
  <r>
    <x v="7"/>
    <s v="2221 - RECURSOS HIDRICOS"/>
    <x v="513"/>
    <n v="581675.81999999995"/>
    <n v="921860.16"/>
    <n v="190903.45"/>
  </r>
  <r>
    <x v="7"/>
    <s v="3004 - AVIACAO CIVIL"/>
    <x v="85"/>
    <n v="471200.95"/>
    <n v="370170.38"/>
    <n v="219649.11"/>
  </r>
  <r>
    <x v="7"/>
    <s v="5031 - PROTECAO SOCIAL NO AMBITO DO SISTEMA UNICO DE ASSISTENCIA SOCIAL (SUAS)"/>
    <x v="377"/>
    <n v="-14196.21"/>
    <n v="0"/>
    <n v="0"/>
  </r>
  <r>
    <x v="7"/>
    <s v="5019 - ATENCAO PRIMARIA A SAUDE"/>
    <x v="1020"/>
    <n v="0"/>
    <n v="0"/>
    <n v="0"/>
  </r>
  <r>
    <x v="7"/>
    <s v="6012 - DEFESA NACIONAL"/>
    <x v="638"/>
    <n v="79466756.920000002"/>
    <n v="468610.67"/>
    <n v="468610.67"/>
  </r>
  <r>
    <x v="7"/>
    <s v="5034 - PROTECAO A VIDA, FORTALECIMENTO DA FAMILIA, PROMOCAO E DEFESA DOS DIREITOS HUMANOS PARA TODOS"/>
    <x v="911"/>
    <n v="12272351.359999999"/>
    <n v="2469268.79"/>
    <n v="4790357.78"/>
  </r>
  <r>
    <x v="7"/>
    <s v="3006 - TRANSPORTE TERRESTRE E TRANSITO"/>
    <x v="355"/>
    <n v="1250000"/>
    <n v="8581.08"/>
    <n v="8581.08"/>
  </r>
  <r>
    <x v="7"/>
    <s v="1136 - FORTALECIMENTO DA GESTAO URBANA"/>
    <x v="426"/>
    <n v="0"/>
    <n v="0"/>
    <n v="0"/>
  </r>
  <r>
    <x v="7"/>
    <s v="5021 - GESTAO E ORGANIZACAO DO SUS"/>
    <x v="477"/>
    <n v="50000"/>
    <n v="45088.99"/>
    <n v="44472.02"/>
  </r>
  <r>
    <x v="7"/>
    <s v="0032 - PROGRAMA DE GESTAO E MANUTENCAO DO PODER EXECUTIVO"/>
    <x v="237"/>
    <n v="0"/>
    <n v="0"/>
    <n v="3019114.4"/>
  </r>
  <r>
    <x v="7"/>
    <s v="0901 - OPERACOES ESPECIAIS: CUMPRIMENTO DE SENTENCAS JUDICIAIS"/>
    <x v="606"/>
    <n v="29791694.68"/>
    <n v="47405268.590000004"/>
    <n v="15784778.42"/>
  </r>
  <r>
    <x v="7"/>
    <s v="2204 - BRASIL NA FRONTEIRA DO CONHECIMENTO"/>
    <x v="1015"/>
    <n v="4000"/>
    <n v="3528.07"/>
    <n v="3528.07"/>
  </r>
  <r>
    <x v="7"/>
    <s v="3006 - TRANSPORTE TERRESTRE E TRANSITO"/>
    <x v="530"/>
    <n v="828403.69"/>
    <n v="676558.31"/>
    <n v="1027499.86"/>
  </r>
  <r>
    <x v="7"/>
    <s v="4005 - PROTECAO JURIDICA DA UNIAO"/>
    <x v="992"/>
    <n v="0"/>
    <n v="0"/>
    <n v="0"/>
  </r>
  <r>
    <x v="7"/>
    <s v="0909 - OPERACOES ESPECIAIS: OUTROS ENCARGOS ESPECIAIS"/>
    <x v="1065"/>
    <n v="90000000"/>
    <n v="11450000"/>
    <n v="11450000"/>
  </r>
  <r>
    <x v="7"/>
    <s v="5021 - GESTAO E ORGANIZACAO DO SUS"/>
    <x v="873"/>
    <n v="0"/>
    <n v="3703.01"/>
    <n v="3703.01"/>
  </r>
  <r>
    <x v="7"/>
    <s v="2209 - BRASIL, NOSSO PROPOSITO"/>
    <x v="705"/>
    <n v="0"/>
    <n v="2373.0100000000002"/>
    <n v="2373.0100000000002"/>
  </r>
  <r>
    <x v="7"/>
    <s v="0617 - PROTECAO E PROMOCAO DOS DIREITOS DOS POVOS INDIGENAS"/>
    <x v="819"/>
    <n v="0"/>
    <n v="0"/>
    <n v="0"/>
  </r>
  <r>
    <x v="7"/>
    <s v="6011 - COOPERACAO COM O DESENVOLVIMENTO NACIONAL"/>
    <x v="430"/>
    <n v="873160.64"/>
    <n v="477949.06"/>
    <n v="456022"/>
  </r>
  <r>
    <x v="7"/>
    <s v="2029 - DESENVOLVIMENTO REGIONAL E TERRITORIAL"/>
    <x v="1058"/>
    <n v="0"/>
    <n v="0"/>
    <n v="0"/>
  </r>
  <r>
    <x v="7"/>
    <s v="2015 - FORTALECIMENTO DO SISTEMA UNICO DE SAUDE (SUS)"/>
    <x v="866"/>
    <n v="0"/>
    <n v="0"/>
    <n v="0"/>
  </r>
  <r>
    <x v="7"/>
    <s v="2214 - NOVA PREVIDENCIA"/>
    <x v="187"/>
    <n v="0"/>
    <n v="78412.11"/>
    <n v="1378976.83"/>
  </r>
  <r>
    <x v="7"/>
    <s v="6012 - DEFESA NACIONAL"/>
    <x v="220"/>
    <n v="19019349.030000001"/>
    <n v="17313174.82"/>
    <n v="17010581.210000001"/>
  </r>
  <r>
    <x v="7"/>
    <s v="2221 - RECURSOS HIDRICOS"/>
    <x v="22"/>
    <n v="0"/>
    <n v="0"/>
    <n v="0"/>
  </r>
  <r>
    <x v="7"/>
    <s v="3006 - TRANSPORTE TERRESTRE E TRANSITO"/>
    <x v="417"/>
    <n v="0"/>
    <n v="405036.46"/>
    <n v="202518.23"/>
  </r>
  <r>
    <x v="7"/>
    <s v="2221 - RECURSOS HIDRICOS"/>
    <x v="573"/>
    <n v="0"/>
    <n v="24330.32"/>
    <n v="33851.89"/>
  </r>
  <r>
    <x v="7"/>
    <s v="3006 - TRANSPORTE TERRESTRE E TRANSITO"/>
    <x v="141"/>
    <n v="0"/>
    <n v="2686558.72"/>
    <n v="0"/>
  </r>
  <r>
    <x v="7"/>
    <s v="6012 - DEFESA NACIONAL"/>
    <x v="199"/>
    <n v="652000"/>
    <n v="32347.77"/>
    <n v="13686.84"/>
  </r>
  <r>
    <x v="7"/>
    <s v="5016 - SEGURANCA PUBLICA, COMBATE A CORRUPCAO, AO CRIME ORGANIZADO E AO CRIME VIOLENTO"/>
    <x v="926"/>
    <n v="0"/>
    <n v="0"/>
    <n v="0"/>
  </r>
  <r>
    <x v="7"/>
    <s v="5025 - CULTURA"/>
    <x v="1"/>
    <n v="3200000"/>
    <n v="0"/>
    <n v="0"/>
  </r>
  <r>
    <x v="7"/>
    <s v="2221 - RECURSOS HIDRICOS"/>
    <x v="913"/>
    <n v="0"/>
    <n v="0"/>
    <n v="78329.86"/>
  </r>
  <r>
    <x v="7"/>
    <s v="5027 - INCLUSAO PRODUTIVA DE PESSOAS EM SITUACAO DE VULNERABILIDADE SOCIAL"/>
    <x v="895"/>
    <n v="3079206"/>
    <n v="0"/>
    <n v="0"/>
  </r>
  <r>
    <x v="7"/>
    <s v="3006 - TRANSPORTE TERRESTRE E TRANSITO"/>
    <x v="68"/>
    <n v="0"/>
    <n v="0"/>
    <n v="0"/>
  </r>
  <r>
    <x v="7"/>
    <s v="3001 - ENERGIA ELETRICA"/>
    <x v="97"/>
    <n v="804781.08"/>
    <n v="1691109.12"/>
    <n v="1490521.03"/>
  </r>
  <r>
    <x v="7"/>
    <s v="2208 - TECNOLOGIAS APLICADAS, INOVACAO E DESENVOLVIMENTO SUSTENTAVEL"/>
    <x v="285"/>
    <n v="-778875"/>
    <n v="17884303.300000001"/>
    <n v="16468969.27"/>
  </r>
  <r>
    <x v="7"/>
    <s v="3006 - TRANSPORTE TERRESTRE E TRANSITO"/>
    <x v="140"/>
    <n v="0"/>
    <n v="0"/>
    <n v="0"/>
  </r>
  <r>
    <x v="7"/>
    <s v="3003 - PETROLEO, GAS, DERIVADOS E BIOCOMBUSTIVEIS"/>
    <x v="704"/>
    <n v="2656814.92"/>
    <n v="1743896.04"/>
    <n v="803877.18"/>
  </r>
  <r>
    <x v="7"/>
    <s v="6012 - DEFESA NACIONAL"/>
    <x v="563"/>
    <n v="6629.37"/>
    <n v="194687.73"/>
    <n v="194414.2"/>
  </r>
  <r>
    <x v="7"/>
    <s v="2035 - ESPORTE, CIDADANIA E DESENVOLVIMENTO"/>
    <x v="533"/>
    <n v="0"/>
    <n v="0"/>
    <n v="0"/>
  </r>
  <r>
    <x v="7"/>
    <s v="5026 - ESPORTE"/>
    <x v="633"/>
    <n v="3040383.84"/>
    <n v="938475.44"/>
    <n v="938475.44"/>
  </r>
  <r>
    <x v="7"/>
    <s v="6012 - DEFESA NACIONAL"/>
    <x v="652"/>
    <n v="323745.61"/>
    <n v="25787509.620000001"/>
    <n v="26206455.870000001"/>
  </r>
  <r>
    <x v="7"/>
    <s v="6013 - OCEANOS, ZONA COSTEIRA E ANTARTICA"/>
    <x v="1168"/>
    <n v="1500000"/>
    <n v="500000"/>
    <n v="500000"/>
  </r>
  <r>
    <x v="7"/>
    <s v="2223 - A HORA DO TURISMO"/>
    <x v="100"/>
    <n v="0"/>
    <n v="3500"/>
    <n v="177782.3"/>
  </r>
  <r>
    <x v="7"/>
    <s v="2208 - TECNOLOGIAS APLICADAS, INOVACAO E DESENVOLVIMENTO SUSTENTAVEL"/>
    <x v="916"/>
    <n v="0"/>
    <n v="294089.03999999998"/>
    <n v="147044.51999999999"/>
  </r>
  <r>
    <x v="7"/>
    <s v="2049 - MORADIA DIGNA"/>
    <x v="319"/>
    <n v="0"/>
    <n v="0"/>
    <n v="0"/>
  </r>
  <r>
    <x v="7"/>
    <s v="0032 - PROGRAMA DE GESTAO E MANUTENCAO DO PODER EXECUTIVO"/>
    <x v="433"/>
    <n v="325764.11"/>
    <n v="505160.62"/>
    <n v="606577.05000000005"/>
  </r>
  <r>
    <x v="7"/>
    <s v="0907 - OPERACOES ESPECIAIS: REFINANCIAMENTO DA DIVIDA INTERNA"/>
    <x v="328"/>
    <n v="0"/>
    <n v="3049254265.0999999"/>
    <n v="3049254265.0999999"/>
  </r>
  <r>
    <x v="7"/>
    <s v="2213 - MODERNIZACAO TRABALHISTA E TRABALHO DIGNO"/>
    <x v="831"/>
    <n v="70000"/>
    <n v="9223.65"/>
    <n v="0"/>
  </r>
  <r>
    <x v="7"/>
    <s v="0903 - OPERACOES ESPECIAIS: TRANSFERENCIAS CONSTITUCIONAIS E AS DECORRENTES DE LEGISLACAO ESPECIFICA"/>
    <x v="670"/>
    <n v="0"/>
    <n v="-4038.69"/>
    <n v="88768083.069999993"/>
  </r>
  <r>
    <x v="7"/>
    <s v="5018 - ATENCAO ESPECIALIZADA A SAUDE"/>
    <x v="186"/>
    <n v="0"/>
    <n v="108333333.33"/>
    <n v="108333333.33"/>
  </r>
  <r>
    <x v="7"/>
    <s v="5021 - GESTAO E ORGANIZACAO DO SUS"/>
    <x v="593"/>
    <n v="3282569.3"/>
    <n v="789624.7"/>
    <n v="780129.13"/>
  </r>
  <r>
    <x v="7"/>
    <s v="0032 - PROGRAMA DE GESTAO E MANUTENCAO DO PODER EXECUTIVO"/>
    <x v="945"/>
    <n v="3911.29"/>
    <n v="188148.58"/>
    <n v="140599.29"/>
  </r>
  <r>
    <x v="7"/>
    <s v="5016 - SEGURANCA PUBLICA, COMBATE A CORRUPCAO, AO CRIME ORGANIZADO E AO CRIME VIOLENTO"/>
    <x v="63"/>
    <n v="1039181446.0700001"/>
    <n v="529246423.83999997"/>
    <n v="529246423.83999997"/>
  </r>
  <r>
    <x v="7"/>
    <s v="5021 - GESTAO E ORGANIZACAO DO SUS"/>
    <x v="475"/>
    <n v="8996574.5500000007"/>
    <n v="1700893.53"/>
    <n v="4138492.14"/>
  </r>
  <r>
    <x v="7"/>
    <s v="5013 - EDUCACAO SUPERIOR - GRADUACAO, POS-GRADUACAO, ENSINO, PESQUISA E EXTENSAO"/>
    <x v="400"/>
    <n v="54722381.810000002"/>
    <n v="53774088.259999998"/>
    <n v="53774088.259999998"/>
  </r>
  <r>
    <x v="7"/>
    <s v="0151 - PROTECAO DE TERRAS INDIGENAS, GESTAO TERRITORIAL E ETNODESENVOLVIMENTO"/>
    <x v="459"/>
    <n v="72998.990000000005"/>
    <n v="2708.1"/>
    <n v="2708.1"/>
  </r>
  <r>
    <x v="7"/>
    <s v="3006 - TRANSPORTE TERRESTRE E TRANSITO"/>
    <x v="1059"/>
    <n v="0"/>
    <n v="0"/>
    <n v="0"/>
  </r>
  <r>
    <x v="7"/>
    <s v="2220 - MORADIA DIGNA"/>
    <x v="712"/>
    <n v="0"/>
    <n v="0"/>
    <n v="0"/>
  </r>
  <r>
    <x v="7"/>
    <s v="1031 - AGROPECUARIA SUSTENTAVEL"/>
    <x v="93"/>
    <n v="0"/>
    <n v="93335.19"/>
    <n v="93335.19"/>
  </r>
  <r>
    <x v="7"/>
    <s v="1040 - GOVERNANCA FUNDIARIA"/>
    <x v="231"/>
    <n v="664438.5"/>
    <n v="254362.94"/>
    <n v="159816.14000000001"/>
  </r>
  <r>
    <x v="7"/>
    <s v="5034 - PROTECAO A VIDA, FORTALECIMENTO DA FAMILIA, PROMOCAO E DEFESA DOS DIREITOS HUMANOS PARA TODOS"/>
    <x v="393"/>
    <n v="619896"/>
    <n v="232536.37"/>
    <n v="271929.49"/>
  </r>
  <r>
    <x v="7"/>
    <s v="1041 - CONSERVACAO E USO SUSTENTAVEL DA BIODIVERSIDADE E DOS RECURSOS NATURAIS"/>
    <x v="744"/>
    <n v="195408.9"/>
    <n v="212206.59"/>
    <n v="47172.53"/>
  </r>
  <r>
    <x v="7"/>
    <s v="5013 - EDUCACAO SUPERIOR - GRADUACAO, POS-GRADUACAO, ENSINO, PESQUISA E EXTENSAO"/>
    <x v="394"/>
    <n v="278036.3"/>
    <n v="340441.46"/>
    <n v="16428.5"/>
  </r>
  <r>
    <x v="7"/>
    <s v="1041 - CONSERVACAO E USO SUSTENTAVEL DA BIODIVERSIDADE E DOS RECURSOS NATURAIS"/>
    <x v="718"/>
    <n v="10414.879999999999"/>
    <n v="89026.77"/>
    <n v="104124.52"/>
  </r>
  <r>
    <x v="7"/>
    <s v="5019 - ATENCAO PRIMARIA A SAUDE"/>
    <x v="1034"/>
    <n v="290442265"/>
    <n v="721505565.12"/>
    <n v="424127488.06"/>
  </r>
  <r>
    <x v="7"/>
    <s v="1041 - CONSERVACAO E USO SUSTENTAVEL DA BIODIVERSIDADE E DOS RECURSOS NATURAIS"/>
    <x v="470"/>
    <n v="7823.4"/>
    <n v="101777"/>
    <n v="66624.69"/>
  </r>
  <r>
    <x v="7"/>
    <s v="2222 - SANEAMENTO BASICO"/>
    <x v="331"/>
    <n v="0"/>
    <n v="0"/>
    <n v="0"/>
  </r>
  <r>
    <x v="7"/>
    <s v="5016 - SEGURANCA PUBLICA, COMBATE A CORRUPCAO, AO CRIME ORGANIZADO E AO CRIME VIOLENTO"/>
    <x v="79"/>
    <n v="11064685.460000001"/>
    <n v="1021391.87"/>
    <n v="1021707.97"/>
  </r>
  <r>
    <x v="7"/>
    <s v="2207 - PROGRAMA ESPACIAL BRASILEIRO"/>
    <x v="45"/>
    <n v="108617.12"/>
    <n v="79731.289999999994"/>
    <n v="616691.31999999995"/>
  </r>
  <r>
    <x v="7"/>
    <s v="1128 - URBANIZACAO, REGULARIZACAO FUNDIARIA E INTEGRACAO DE ASSENTAMENTOS PRECARIOS"/>
    <x v="924"/>
    <n v="0"/>
    <n v="0"/>
    <n v="0"/>
  </r>
  <r>
    <x v="7"/>
    <s v="2208 - TECNOLOGIAS APLICADAS, INOVACAO E DESENVOLVIMENTO SUSTENTAVEL"/>
    <x v="191"/>
    <n v="583352.85"/>
    <n v="1520709.11"/>
    <n v="1271367.3799999999"/>
  </r>
  <r>
    <x v="7"/>
    <s v="6013 - OCEANOS, ZONA COSTEIRA E ANTARTICA"/>
    <x v="413"/>
    <n v="274296.38"/>
    <n v="298470.42"/>
    <n v="1516284.62"/>
  </r>
  <r>
    <x v="7"/>
    <s v="6011 - COOPERACAO COM O DESENVOLVIMENTO NACIONAL"/>
    <x v="852"/>
    <n v="722666.07"/>
    <n v="443845.93"/>
    <n v="161561.98000000001"/>
  </r>
  <r>
    <x v="7"/>
    <s v="2221 - RECURSOS HIDRICOS"/>
    <x v="204"/>
    <n v="3010000"/>
    <n v="287070.59000000003"/>
    <n v="19401.88"/>
  </r>
  <r>
    <x v="7"/>
    <s v="6012 - DEFESA NACIONAL"/>
    <x v="301"/>
    <n v="250000"/>
    <n v="0"/>
    <n v="0"/>
  </r>
  <r>
    <x v="7"/>
    <s v="5033 - SEGURANCA ALIMENTAR E NUTRICIONAL"/>
    <x v="564"/>
    <n v="2473717.67"/>
    <n v="0"/>
    <n v="0"/>
  </r>
  <r>
    <x v="7"/>
    <s v="2221 - RECURSOS HIDRICOS"/>
    <x v="465"/>
    <n v="8753864.1300000008"/>
    <n v="9290446.4399999995"/>
    <n v="9985257.5800000001"/>
  </r>
  <r>
    <x v="7"/>
    <s v="6012 - DEFESA NACIONAL"/>
    <x v="518"/>
    <n v="292951.92"/>
    <n v="120985.43"/>
    <n v="86075.43"/>
  </r>
  <r>
    <x v="7"/>
    <s v="4003 - GARANTIA DA ESTABILIDADE MONETARIA E FINANCEIRA"/>
    <x v="1169"/>
    <n v="0"/>
    <n v="0"/>
    <n v="0"/>
  </r>
  <r>
    <x v="7"/>
    <s v="5021 - GESTAO E ORGANIZACAO DO SUS"/>
    <x v="165"/>
    <n v="1356172.59"/>
    <n v="1111148.3899999999"/>
    <n v="4604892.18"/>
  </r>
  <r>
    <x v="7"/>
    <s v="2214 - NOVA PREVIDENCIA"/>
    <x v="506"/>
    <n v="60538.879999999997"/>
    <n v="46611.74"/>
    <n v="211099.75"/>
  </r>
  <r>
    <x v="7"/>
    <s v="3006 - TRANSPORTE TERRESTRE E TRANSITO"/>
    <x v="359"/>
    <n v="170276.71"/>
    <n v="751083.59"/>
    <n v="675102.41"/>
  </r>
  <r>
    <x v="7"/>
    <s v="3002 - GEOLOGIA, MINERACAO E TRANSFORMACAO MINERAL"/>
    <x v="710"/>
    <n v="383740.96"/>
    <n v="1100040.58"/>
    <n v="1096369.68"/>
  </r>
  <r>
    <x v="7"/>
    <s v="4002 - SEGURANCA INSTITUCIONAL"/>
    <x v="193"/>
    <n v="129800"/>
    <n v="33923.32"/>
    <n v="33923.32"/>
  </r>
  <r>
    <x v="7"/>
    <s v="5021 - GESTAO E ORGANIZACAO DO SUS"/>
    <x v="211"/>
    <n v="1806542.35"/>
    <n v="1101645.01"/>
    <n v="1474664.98"/>
  </r>
  <r>
    <x v="7"/>
    <s v="6012 - DEFESA NACIONAL"/>
    <x v="378"/>
    <n v="-19804968.329999998"/>
    <n v="1531858.66"/>
    <n v="758165.87"/>
  </r>
  <r>
    <x v="7"/>
    <s v="2216 - POLITICA EXTERNA"/>
    <x v="230"/>
    <n v="312374.64"/>
    <n v="366015.64"/>
    <n v="366015.64"/>
  </r>
  <r>
    <x v="7"/>
    <s v="6012 - DEFESA NACIONAL"/>
    <x v="492"/>
    <n v="0"/>
    <n v="570896.74"/>
    <n v="605126.74"/>
  </r>
  <r>
    <x v="7"/>
    <s v="0032 - PROGRAMA DE GESTAO E MANUTENCAO DO PODER EXECUTIVO"/>
    <x v="143"/>
    <n v="0"/>
    <n v="0"/>
    <n v="0"/>
  </r>
  <r>
    <x v="7"/>
    <s v="0903 - OPERACOES ESPECIAIS: TRANSFERENCIAS CONSTITUCIONAIS E AS DECORRENTES DE LEGISLACAO ESPECIFICA"/>
    <x v="654"/>
    <n v="0"/>
    <n v="-17787.990000000002"/>
    <n v="178566346.71000001"/>
  </r>
  <r>
    <x v="7"/>
    <s v="3006 - TRANSPORTE TERRESTRE E TRANSITO"/>
    <x v="539"/>
    <n v="0"/>
    <n v="35189362.420000002"/>
    <n v="36246818.880000003"/>
  </r>
  <r>
    <x v="7"/>
    <s v="3006 - TRANSPORTE TERRESTRE E TRANSITO"/>
    <x v="673"/>
    <n v="42667111.520000003"/>
    <n v="0"/>
    <n v="0"/>
  </r>
  <r>
    <x v="7"/>
    <s v="2208 - TECNOLOGIAS APLICADAS, INOVACAO E DESENVOLVIMENTO SUSTENTAVEL"/>
    <x v="87"/>
    <n v="0"/>
    <n v="5010876.72"/>
    <n v="4951384.4000000004"/>
  </r>
  <r>
    <x v="7"/>
    <s v="3006 - TRANSPORTE TERRESTRE E TRANSITO"/>
    <x v="392"/>
    <n v="1000000"/>
    <n v="975391.19"/>
    <n v="1055490.32"/>
  </r>
  <r>
    <x v="7"/>
    <s v="0033 - PROGRAMA DE GESTAO E MANUTENCAO DO PODER JUDICIARIO"/>
    <x v="297"/>
    <n v="37909.74"/>
    <n v="209888.23"/>
    <n v="284265.24"/>
  </r>
  <r>
    <x v="7"/>
    <s v="2058 - DEFESA NACIONAL"/>
    <x v="130"/>
    <n v="0"/>
    <n v="0"/>
    <n v="0"/>
  </r>
  <r>
    <x v="7"/>
    <s v="2208 - TECNOLOGIAS APLICADAS, INOVACAO E DESENVOLVIMENTO SUSTENTAVEL"/>
    <x v="658"/>
    <n v="2754004"/>
    <n v="814604"/>
    <n v="0"/>
  </r>
  <r>
    <x v="7"/>
    <s v="2217 - DESENVOLVIMENTO REGIONAL, TERRITORIAL E URBANO"/>
    <x v="196"/>
    <n v="1482510.62"/>
    <n v="24408.17"/>
    <n v="6557.5"/>
  </r>
  <r>
    <x v="7"/>
    <s v="1031 - AGROPECUARIA SUSTENTAVEL"/>
    <x v="713"/>
    <n v="186775239.41999999"/>
    <n v="17386332.710000001"/>
    <n v="16390138.970000001"/>
  </r>
  <r>
    <x v="7"/>
    <s v="0903 - OPERACOES ESPECIAIS: TRANSFERENCIAS CONSTITUCIONAIS E AS DECORRENTES DE LEGISLACAO ESPECIFICA"/>
    <x v="253"/>
    <n v="24239983.800000001"/>
    <n v="1228948610.0599999"/>
    <n v="1105019781.3"/>
  </r>
  <r>
    <x v="7"/>
    <s v="3006 - TRANSPORTE TERRESTRE E TRANSITO"/>
    <x v="418"/>
    <n v="0"/>
    <n v="1280644.06"/>
    <n v="1280644.06"/>
  </r>
  <r>
    <x v="7"/>
    <s v="5025 - CULTURA"/>
    <x v="553"/>
    <n v="104640.06"/>
    <n v="66567"/>
    <n v="92931"/>
  </r>
  <r>
    <x v="7"/>
    <s v="4002 - SEGURANCA INSTITUCIONAL"/>
    <x v="483"/>
    <n v="4859139.16"/>
    <n v="3154326.82"/>
    <n v="3040249.65"/>
  </r>
  <r>
    <x v="7"/>
    <s v="3006 - TRANSPORTE TERRESTRE E TRANSITO"/>
    <x v="832"/>
    <n v="0"/>
    <n v="4450763.26"/>
    <n v="4450763.26"/>
  </r>
  <r>
    <x v="7"/>
    <s v="0034 - PROGRAMA DE GESTAO E MANUTENCAO DO PODER LEGISLATIVO"/>
    <x v="696"/>
    <n v="0"/>
    <n v="39306.879999999997"/>
    <n v="64543.01"/>
  </r>
  <r>
    <x v="7"/>
    <s v="6012 - DEFESA NACIONAL"/>
    <x v="499"/>
    <n v="789210.1"/>
    <n v="61651839.219999999"/>
    <n v="31172648.18"/>
  </r>
  <r>
    <x v="7"/>
    <s v="5021 - GESTAO E ORGANIZACAO DO SUS"/>
    <x v="855"/>
    <n v="50000"/>
    <n v="98184.09"/>
    <n v="848729.57"/>
  </r>
  <r>
    <x v="7"/>
    <s v="6012 - DEFESA NACIONAL"/>
    <x v="580"/>
    <n v="230756"/>
    <n v="286759.36"/>
    <n v="461981.04"/>
  </r>
  <r>
    <x v="7"/>
    <s v="2029 - DESENVOLVIMENTO REGIONAL E TERRITORIAL"/>
    <x v="1055"/>
    <n v="0"/>
    <n v="0"/>
    <n v="0"/>
  </r>
  <r>
    <x v="7"/>
    <s v="2222 - SANEAMENTO BASICO"/>
    <x v="105"/>
    <n v="0"/>
    <n v="0"/>
    <n v="0"/>
  </r>
  <r>
    <x v="7"/>
    <s v="2084 - RECURSOS HIDRICOS"/>
    <x v="167"/>
    <n v="0"/>
    <n v="0"/>
    <n v="0"/>
  </r>
  <r>
    <x v="7"/>
    <s v="0032 - PROGRAMA DE GESTAO E MANUTENCAO DO PODER EXECUTIVO"/>
    <x v="691"/>
    <n v="-2000"/>
    <n v="14989.65"/>
    <n v="14989.65"/>
  </r>
  <r>
    <x v="7"/>
    <s v="6012 - DEFESA NACIONAL"/>
    <x v="471"/>
    <n v="5011.8999999999996"/>
    <n v="146859.9"/>
    <n v="123797.09"/>
  </r>
  <r>
    <x v="7"/>
    <s v="2106 - PROGRAMA DE GESTAO E MANUTENCAO DO MINISTERIO DA CIENCIA, TECNOLOGIA, INOVACOES E COMUNICACOES"/>
    <x v="52"/>
    <n v="0"/>
    <n v="0"/>
    <n v="0"/>
  </r>
  <r>
    <x v="7"/>
    <s v="3006 - TRANSPORTE TERRESTRE E TRANSITO"/>
    <x v="808"/>
    <n v="0"/>
    <n v="136133.5"/>
    <n v="12864.62"/>
  </r>
  <r>
    <x v="7"/>
    <s v="6014 - PREVENCAO E CONTROLE DO DESMATAMENTO E DOS INCENDIOS NOS BIOMAS"/>
    <x v="1048"/>
    <n v="0"/>
    <n v="4000750.64"/>
    <n v="1202482.05"/>
  </r>
  <r>
    <x v="7"/>
    <s v="2052 - PESCA E AQUICULTURA"/>
    <x v="608"/>
    <n v="0"/>
    <n v="0"/>
    <n v="0"/>
  </r>
  <r>
    <x v="7"/>
    <s v="5018 - ATENCAO ESPECIALIZADA A SAUDE"/>
    <x v="76"/>
    <n v="226203"/>
    <n v="0"/>
    <n v="0"/>
  </r>
  <r>
    <x v="7"/>
    <s v="3006 - TRANSPORTE TERRESTRE E TRANSITO"/>
    <x v="453"/>
    <n v="160831.24"/>
    <n v="6961490.7199999997"/>
    <n v="6436747.7400000002"/>
  </r>
  <r>
    <x v="7"/>
    <s v="2220 - MORADIA DIGNA"/>
    <x v="36"/>
    <n v="0"/>
    <n v="0"/>
    <n v="0"/>
  </r>
  <r>
    <x v="7"/>
    <s v="2029 - DESENVOLVIMENTO REGIONAL E TERRITORIAL"/>
    <x v="632"/>
    <n v="0"/>
    <n v="0"/>
    <n v="0"/>
  </r>
  <r>
    <x v="7"/>
    <s v="3006 - TRANSPORTE TERRESTRE E TRANSITO"/>
    <x v="892"/>
    <n v="0"/>
    <n v="0"/>
    <n v="0"/>
  </r>
  <r>
    <x v="7"/>
    <s v="3006 - TRANSPORTE TERRESTRE E TRANSITO"/>
    <x v="133"/>
    <n v="1899933"/>
    <n v="0"/>
    <n v="0"/>
  </r>
  <r>
    <x v="7"/>
    <s v="1041 - CONSERVACAO E USO SUSTENTAVEL DA BIODIVERSIDADE E DOS RECURSOS NATURAIS"/>
    <x v="177"/>
    <n v="176003.13"/>
    <n v="127350.55"/>
    <n v="127388.52"/>
  </r>
  <r>
    <x v="7"/>
    <s v="0903 - OPERACOES ESPECIAIS: TRANSFERENCIAS CONSTITUCIONAIS E AS DECORRENTES DE LEGISLACAO ESPECIFICA"/>
    <x v="457"/>
    <n v="28081880.359999999"/>
    <n v="30491663.18"/>
    <n v="503405974.11000001"/>
  </r>
  <r>
    <x v="7"/>
    <s v="6012 - DEFESA NACIONAL"/>
    <x v="886"/>
    <n v="248180.88"/>
    <n v="344246.34"/>
    <n v="1161723.69"/>
  </r>
  <r>
    <x v="7"/>
    <s v="5016 - SEGURANCA PUBLICA, COMBATE A CORRUPCAO, AO CRIME ORGANIZADO E AO CRIME VIOLENTO"/>
    <x v="754"/>
    <n v="1219606.03"/>
    <n v="1155292.81"/>
    <n v="1155292.81"/>
  </r>
  <r>
    <x v="7"/>
    <s v="2217 - DESENVOLVIMENTO REGIONAL, TERRITORIAL E URBANO"/>
    <x v="116"/>
    <n v="0"/>
    <n v="0"/>
    <n v="0"/>
  </r>
  <r>
    <x v="7"/>
    <s v="6012 - DEFESA NACIONAL"/>
    <x v="254"/>
    <n v="-4042283.4"/>
    <n v="22653571.210000001"/>
    <n v="22664043.210000001"/>
  </r>
  <r>
    <x v="7"/>
    <s v="2206 - POLITICA NUCLEAR"/>
    <x v="429"/>
    <n v="6196503.71"/>
    <n v="12713107.65"/>
    <n v="13000695.189999999"/>
  </r>
  <r>
    <x v="7"/>
    <s v="3006 - TRANSPORTE TERRESTRE E TRANSITO"/>
    <x v="497"/>
    <n v="0"/>
    <n v="3201359.26"/>
    <n v="2937856.54"/>
  </r>
  <r>
    <x v="7"/>
    <s v="5016 - SEGURANCA PUBLICA, COMBATE A CORRUPCAO, AO CRIME ORGANIZADO E AO CRIME VIOLENTO"/>
    <x v="487"/>
    <n v="67357064.060000002"/>
    <n v="6947801.9299999997"/>
    <n v="7279674.5499999998"/>
  </r>
  <r>
    <x v="7"/>
    <s v="0032 - PROGRAMA DE GESTAO E MANUTENCAO DO PODER EXECUTIVO"/>
    <x v="435"/>
    <n v="835.36"/>
    <n v="137039.39000000001"/>
    <n v="137039.39000000001"/>
  </r>
  <r>
    <x v="7"/>
    <s v="5026 - ESPORTE"/>
    <x v="947"/>
    <n v="1367661"/>
    <n v="351906"/>
    <n v="351906"/>
  </r>
  <r>
    <x v="7"/>
    <s v="2219 - MOBILIDADE URBANA"/>
    <x v="925"/>
    <n v="0"/>
    <n v="0"/>
    <n v="0"/>
  </r>
  <r>
    <x v="7"/>
    <s v="0032 - PROGRAMA DE GESTAO E MANUTENCAO DO PODER EXECUTIVO"/>
    <x v="446"/>
    <n v="68800432.5"/>
    <n v="39238783.659999996"/>
    <n v="42652348.039999999"/>
  </r>
  <r>
    <x v="7"/>
    <s v="0911 - OPERACOES ESPECIAIS - REMUNERACAO DE AGENTES FINANCEIROS"/>
    <x v="650"/>
    <n v="99019075.450000003"/>
    <n v="21127175.850000001"/>
    <n v="20871360.370000001"/>
  </r>
  <r>
    <x v="7"/>
    <s v="0903 - OPERACOES ESPECIAIS: TRANSFERENCIAS CONSTITUCIONAIS E AS DECORRENTES DE LEGISLACAO ESPECIFICA"/>
    <x v="135"/>
    <n v="0"/>
    <n v="126215170.53"/>
    <n v="126215170.53"/>
  </r>
  <r>
    <x v="7"/>
    <s v="6011 - COOPERACAO COM O DESENVOLVIMENTO NACIONAL"/>
    <x v="134"/>
    <n v="14472941.1"/>
    <n v="2517471.25"/>
    <n v="3888568.67"/>
  </r>
  <r>
    <x v="7"/>
    <s v="1031 - AGROPECUARIA SUSTENTAVEL"/>
    <x v="387"/>
    <n v="5124068.8499999996"/>
    <n v="60216.12"/>
    <n v="54451.11"/>
  </r>
  <r>
    <x v="7"/>
    <s v="5015 - JUSTICA"/>
    <x v="714"/>
    <n v="1858381.75"/>
    <n v="2178889.62"/>
    <n v="2190846.5099999998"/>
  </r>
  <r>
    <x v="7"/>
    <s v="1031 - AGROPECUARIA SUSTENTAVEL"/>
    <x v="474"/>
    <n v="358122.55"/>
    <n v="54897.87"/>
    <n v="26528.25"/>
  </r>
  <r>
    <x v="7"/>
    <s v="2206 - POLITICA NUCLEAR"/>
    <x v="687"/>
    <n v="-330892.61"/>
    <n v="146577.60999999999"/>
    <n v="140801.70000000001"/>
  </r>
  <r>
    <x v="7"/>
    <s v="3006 - TRANSPORTE TERRESTRE E TRANSITO"/>
    <x v="309"/>
    <n v="0"/>
    <n v="0"/>
    <n v="0"/>
  </r>
  <r>
    <x v="7"/>
    <s v="3006 - TRANSPORTE TERRESTRE E TRANSITO"/>
    <x v="274"/>
    <n v="441030.52"/>
    <n v="166460.06"/>
    <n v="139783.51"/>
  </r>
  <r>
    <x v="7"/>
    <s v="2214 - NOVA PREVIDENCIA"/>
    <x v="592"/>
    <n v="2144615.33"/>
    <n v="4628634.17"/>
    <n v="4748047.1900000004"/>
  </r>
  <r>
    <x v="7"/>
    <s v="0909 - OPERACOES ESPECIAIS: OUTROS ENCARGOS ESPECIAIS"/>
    <x v="846"/>
    <n v="35000000"/>
    <n v="0"/>
    <n v="13299671.82"/>
  </r>
  <r>
    <x v="7"/>
    <s v="0032 - PROGRAMA DE GESTAO E MANUTENCAO DO PODER EXECUTIVO"/>
    <x v="349"/>
    <n v="-1362.7"/>
    <n v="390919.16"/>
    <n v="381041.38"/>
  </r>
  <r>
    <x v="7"/>
    <s v="2115 - PROGRAMA DE GESTAO E MANUTENCAO DO MINISTERIO DA SAUDE"/>
    <x v="699"/>
    <n v="0"/>
    <n v="0"/>
    <n v="0"/>
  </r>
  <r>
    <x v="7"/>
    <s v="5020 - DESENVOLVIMENTO CIENTIFICO, TECNOLOGICO E PRODUTIVO EM SAUDE"/>
    <x v="576"/>
    <n v="3706572.66"/>
    <n v="2856199.59"/>
    <n v="3553478.21"/>
  </r>
  <r>
    <x v="7"/>
    <s v="0032 - PROGRAMA DE GESTAO E MANUTENCAO DO PODER EXECUTIVO"/>
    <x v="348"/>
    <n v="-507006.69"/>
    <n v="755093.03"/>
    <n v="836160.33"/>
  </r>
  <r>
    <x v="7"/>
    <s v="0032 - PROGRAMA DE GESTAO E MANUTENCAO DO PODER EXECUTIVO"/>
    <x v="1001"/>
    <n v="0"/>
    <n v="0"/>
    <n v="0"/>
  </r>
  <r>
    <x v="7"/>
    <s v="3006 - TRANSPORTE TERRESTRE E TRANSITO"/>
    <x v="967"/>
    <n v="2250000"/>
    <n v="1509909.69"/>
    <n v="1509909.69"/>
  </r>
  <r>
    <x v="7"/>
    <s v="2218 - GESTAO DE RISCOS E DE DESASTRES"/>
    <x v="536"/>
    <n v="116000"/>
    <n v="1596055.37"/>
    <n v="1715481.02"/>
  </r>
  <r>
    <x v="7"/>
    <s v="6012 - DEFESA NACIONAL"/>
    <x v="683"/>
    <n v="327703.90999999997"/>
    <n v="367551.24"/>
    <n v="347071.24"/>
  </r>
  <r>
    <x v="7"/>
    <s v="2207 - PROGRAMA ESPACIAL BRASILEIRO"/>
    <x v="190"/>
    <n v="0"/>
    <n v="0"/>
    <n v="235220"/>
  </r>
  <r>
    <x v="7"/>
    <s v="5021 - GESTAO E ORGANIZACAO DO SUS"/>
    <x v="46"/>
    <n v="2176627.06"/>
    <n v="943513.25"/>
    <n v="1166186.77"/>
  </r>
  <r>
    <x v="7"/>
    <s v="0032 - PROGRAMA DE GESTAO E MANUTENCAO DO PODER EXECUTIVO"/>
    <x v="481"/>
    <n v="9174514.6699999999"/>
    <n v="14452893.66"/>
    <n v="14929285.65"/>
  </r>
  <r>
    <x v="7"/>
    <s v="5012 - EDUCACAO PROFISSIONAL E TECNOLOGICA"/>
    <x v="657"/>
    <n v="35357.089999999997"/>
    <n v="2038469.69"/>
    <n v="850448"/>
  </r>
  <r>
    <x v="7"/>
    <s v="5020 - DESENVOLVIMENTO CIENTIFICO, TECNOLOGICO E PRODUTIVO EM SAUDE"/>
    <x v="612"/>
    <n v="0"/>
    <n v="0"/>
    <n v="0"/>
  </r>
  <r>
    <x v="7"/>
    <s v="2214 - NOVA PREVIDENCIA"/>
    <x v="372"/>
    <n v="-407835.92"/>
    <n v="611929.9"/>
    <n v="620178.4"/>
  </r>
  <r>
    <x v="7"/>
    <s v="0032 - PROGRAMA DE GESTAO E MANUTENCAO DO PODER EXECUTIVO"/>
    <x v="422"/>
    <n v="152547.42000000001"/>
    <n v="50739.92"/>
    <n v="56511.89"/>
  </r>
  <r>
    <x v="7"/>
    <s v="0461 - PROMOCAO DA PESQUISA E DO DESENVOLVIMENTO CIENTIFICO E TECNOLOGICO"/>
    <x v="71"/>
    <n v="1113149.1100000001"/>
    <n v="1117652.1100000001"/>
    <n v="1117652.1100000001"/>
  </r>
  <r>
    <x v="7"/>
    <s v="5023 - VIGILANCIA EM SAUDE"/>
    <x v="207"/>
    <n v="102643011.73"/>
    <n v="113665848.87"/>
    <n v="182238970.91"/>
  </r>
  <r>
    <x v="7"/>
    <s v="5023 - VIGILANCIA EM SAUDE"/>
    <x v="494"/>
    <n v="1386712.14"/>
    <n v="166165.44"/>
    <n v="186171.34"/>
  </r>
  <r>
    <x v="7"/>
    <s v="0903 - OPERACOES ESPECIAIS: TRANSFERENCIAS CONSTITUCIONAIS E AS DECORRENTES DE LEGISLACAO ESPECIFICA"/>
    <x v="380"/>
    <n v="0"/>
    <n v="2872510.95"/>
    <n v="2872510.95"/>
  </r>
  <r>
    <x v="7"/>
    <s v="0909 - OPERACOES ESPECIAIS: OUTROS ENCARGOS ESPECIAIS"/>
    <x v="600"/>
    <n v="2642481"/>
    <n v="0"/>
    <n v="19848099.559999999"/>
  </r>
  <r>
    <x v="7"/>
    <s v="2221 - RECURSOS HIDRICOS"/>
    <x v="645"/>
    <n v="-162558.94"/>
    <n v="49473.8"/>
    <n v="29401.64"/>
  </r>
  <r>
    <x v="7"/>
    <s v="2208 - TECNOLOGIAS APLICADAS, INOVACAO E DESENVOLVIMENTO SUSTENTAVEL"/>
    <x v="1170"/>
    <n v="0"/>
    <n v="0"/>
    <n v="0"/>
  </r>
  <r>
    <x v="7"/>
    <s v="5033 - SEGURANCA ALIMENTAR E NUTRICIONAL"/>
    <x v="901"/>
    <n v="610000000"/>
    <n v="568675698"/>
    <n v="568675698"/>
  </r>
  <r>
    <x v="7"/>
    <s v="4003 - GARANTIA DA ESTABILIDADE MONETARIA E FINANCEIRA"/>
    <x v="358"/>
    <n v="19678.16"/>
    <n v="405126.92"/>
    <n v="250315.17"/>
  </r>
  <r>
    <x v="7"/>
    <s v="3005 - TRANSPORTE AQUAVIARIO"/>
    <x v="443"/>
    <n v="-1649181.18"/>
    <n v="2235558.1800000002"/>
    <n v="2078450.8"/>
  </r>
  <r>
    <x v="7"/>
    <s v="2027 - CULTURA: DIMENSAO ESSENCIAL DO DESENVOLVIMENTO"/>
    <x v="118"/>
    <n v="0"/>
    <n v="0"/>
    <n v="0"/>
  </r>
  <r>
    <x v="7"/>
    <s v="0910 - OPERACOES ESPECIAIS: GESTAO DA PARTICIPACAO EM ORGANISMOS E ENTIDADES NACIONAIS E INTERNACIONAIS"/>
    <x v="1100"/>
    <n v="0"/>
    <n v="0"/>
    <n v="0"/>
  </r>
  <r>
    <x v="7"/>
    <s v="2218 - GESTAO DE RISCOS E DE DESASTRES"/>
    <x v="912"/>
    <n v="42660"/>
    <n v="564082.56000000006"/>
    <n v="2857.98"/>
  </r>
  <r>
    <x v="7"/>
    <s v="1031 - AGROPECUARIA SUSTENTAVEL"/>
    <x v="614"/>
    <n v="0"/>
    <n v="623755.29"/>
    <n v="528092.93999999994"/>
  </r>
  <r>
    <x v="7"/>
    <s v="0910 - OPERACOES ESPECIAIS: GESTAO DA PARTICIPACAO EM ORGANISMOS E ENTIDADES NACIONAIS E INTERNACIONAIS"/>
    <x v="119"/>
    <n v="53000"/>
    <n v="52301"/>
    <n v="52301"/>
  </r>
  <r>
    <x v="7"/>
    <s v="0903 - OPERACOES ESPECIAIS: TRANSFERENCIAS CONSTITUCIONAIS E AS DECORRENTES DE LEGISLACAO ESPECIFICA"/>
    <x v="64"/>
    <n v="0"/>
    <n v="6646643756.5500002"/>
    <n v="6646643756.5500002"/>
  </r>
  <r>
    <x v="7"/>
    <s v="0901 - OPERACOES ESPECIAIS: CUMPRIMENTO DE SENTENCAS JUDICIAIS"/>
    <x v="244"/>
    <n v="360000"/>
    <n v="51254794.219999999"/>
    <n v="0"/>
  </r>
  <r>
    <x v="7"/>
    <s v="5019 - ATENCAO PRIMARIA A SAUDE"/>
    <x v="261"/>
    <n v="1636015590.4100001"/>
    <n v="1543852664.52"/>
    <n v="1543848029.49"/>
  </r>
  <r>
    <x v="7"/>
    <s v="2221 - RECURSOS HIDRICOS"/>
    <x v="194"/>
    <n v="399749.6"/>
    <n v="9341.5400000000009"/>
    <n v="5233"/>
  </r>
  <r>
    <x v="7"/>
    <s v="2208 - TECNOLOGIAS APLICADAS, INOVACAO E DESENVOLVIMENTO SUSTENTAVEL"/>
    <x v="239"/>
    <n v="0"/>
    <n v="35041.919999999998"/>
    <n v="35041.919999999998"/>
  </r>
  <r>
    <x v="7"/>
    <s v="2015 - FORTALECIMENTO DO SISTEMA UNICO DE SAUDE (SUS)"/>
    <x v="437"/>
    <n v="0"/>
    <n v="0"/>
    <n v="0"/>
  </r>
  <r>
    <x v="7"/>
    <s v="2201 - BRASIL MODERNIZA"/>
    <x v="451"/>
    <n v="41760.25"/>
    <n v="1310861.8799999999"/>
    <n v="1318390"/>
  </r>
  <r>
    <x v="7"/>
    <s v="0905 - OPERACOES ESPECIAIS: SERVICO DA DIVIDA INTERNA (JUROS EAMORTIZACOES)"/>
    <x v="347"/>
    <n v="-0.01"/>
    <n v="7107500.5"/>
    <n v="5617013.7000000002"/>
  </r>
  <r>
    <x v="7"/>
    <s v="0903 - OPERACOES ESPECIAIS: TRANSFERENCIAS CONSTITUCIONAIS E AS DECORRENTES DE LEGISLACAO ESPECIFICA"/>
    <x v="578"/>
    <n v="159769.01"/>
    <n v="216813.95"/>
    <n v="39034675.659999996"/>
  </r>
  <r>
    <x v="7"/>
    <s v="2221 - RECURSOS HIDRICOS"/>
    <x v="615"/>
    <n v="548265.46"/>
    <n v="189651.55"/>
    <n v="14350.08"/>
  </r>
  <r>
    <x v="7"/>
    <s v="2216 - POLITICA EXTERNA"/>
    <x v="362"/>
    <n v="2833270.18"/>
    <n v="3985708.96"/>
    <n v="2764329.66"/>
  </r>
  <r>
    <x v="7"/>
    <s v="0903 - OPERACOES ESPECIAIS: TRANSFERENCIAS CONSTITUCIONAIS E AS DECORRENTES DE LEGISLACAO ESPECIFICA"/>
    <x v="368"/>
    <n v="40171565.030000001"/>
    <n v="38299164.640000001"/>
    <n v="38061802.950000003"/>
  </r>
  <r>
    <x v="7"/>
    <s v="2081 - JUSTICA, CIDADANIA E SEGURANCA PUBLICA"/>
    <x v="308"/>
    <n v="0"/>
    <n v="0"/>
    <n v="0"/>
  </r>
  <r>
    <x v="7"/>
    <s v="0032 - PROGRAMA DE GESTAO E MANUTENCAO DO PODER EXECUTIVO"/>
    <x v="722"/>
    <n v="651877.18000000005"/>
    <n v="1942546.61"/>
    <n v="2544314.73"/>
  </r>
  <r>
    <x v="7"/>
    <s v="6012 - DEFESA NACIONAL"/>
    <x v="551"/>
    <n v="2359049.06"/>
    <n v="404442.67"/>
    <n v="426975.89"/>
  </r>
  <r>
    <x v="7"/>
    <s v="6012 - DEFESA NACIONAL"/>
    <x v="978"/>
    <n v="0"/>
    <n v="967.84"/>
    <n v="0"/>
  </r>
  <r>
    <x v="7"/>
    <s v="0032 - PROGRAMA DE GESTAO E MANUTENCAO DO PODER EXECUTIVO"/>
    <x v="984"/>
    <n v="3815660.47"/>
    <n v="1651441.78"/>
    <n v="3404564.73"/>
  </r>
  <r>
    <x v="7"/>
    <s v="0902 - OPERACOES ESPECIAIS: FINANCIAMENTOS COM RETORNO"/>
    <x v="146"/>
    <n v="0"/>
    <n v="347789498.81"/>
    <n v="347789498.81"/>
  </r>
  <r>
    <x v="7"/>
    <s v="3006 - TRANSPORTE TERRESTRE E TRANSITO"/>
    <x v="1031"/>
    <n v="0"/>
    <n v="0"/>
    <n v="0"/>
  </r>
  <r>
    <x v="7"/>
    <s v="0902 - OPERACOES ESPECIAIS: FINANCIAMENTOS COM RETORNO"/>
    <x v="44"/>
    <n v="1312944321.6600001"/>
    <n v="1312944321.6600001"/>
    <n v="1312944321.6600001"/>
  </r>
  <r>
    <x v="7"/>
    <s v="5031 - PROTECAO SOCIAL NO AMBITO DO SISTEMA UNICO DE ASSISTENCIA SOCIAL (SUAS)"/>
    <x v="251"/>
    <n v="156709.32"/>
    <n v="179052.33"/>
    <n v="196342.83"/>
  </r>
  <r>
    <x v="7"/>
    <s v="0032 - PROGRAMA DE GESTAO E MANUTENCAO DO PODER EXECUTIVO"/>
    <x v="575"/>
    <n v="0"/>
    <n v="0"/>
    <n v="0"/>
  </r>
  <r>
    <x v="7"/>
    <s v="0902 - OPERACOES ESPECIAIS: FINANCIAMENTOS COM RETORNO"/>
    <x v="161"/>
    <n v="0"/>
    <n v="5180908.1100000003"/>
    <n v="5180908.1100000003"/>
  </r>
  <r>
    <x v="7"/>
    <s v="6012 - DEFESA NACIONAL"/>
    <x v="542"/>
    <n v="0"/>
    <n v="0"/>
    <n v="0"/>
  </r>
  <r>
    <x v="7"/>
    <s v="0032 - PROGRAMA DE GESTAO E MANUTENCAO DO PODER EXECUTIVO"/>
    <x v="224"/>
    <n v="0"/>
    <n v="10624399.960000001"/>
    <n v="6485156.4299999997"/>
  </r>
  <r>
    <x v="7"/>
    <s v="3002 - GEOLOGIA, MINERACAO E TRANSFORMACAO MINERAL"/>
    <x v="748"/>
    <n v="93381.06"/>
    <n v="98486.21"/>
    <n v="118421.21"/>
  </r>
  <r>
    <x v="7"/>
    <s v="5020 - DESENVOLVIMENTO CIENTIFICO, TECNOLOGICO E PRODUTIVO EM SAUDE"/>
    <x v="672"/>
    <n v="8080338.1200000001"/>
    <n v="8133564"/>
    <n v="3026497.78"/>
  </r>
  <r>
    <x v="7"/>
    <s v="2213 - MODERNIZACAO TRABALHISTA E TRABALHO DIGNO"/>
    <x v="1171"/>
    <n v="30000"/>
    <n v="4000.26"/>
    <n v="1523.42"/>
  </r>
  <r>
    <x v="7"/>
    <s v="1031 - AGROPECUARIA SUSTENTAVEL"/>
    <x v="180"/>
    <n v="0"/>
    <n v="0"/>
    <n v="0"/>
  </r>
  <r>
    <x v="7"/>
    <s v="1214 - ATENCAO BASICA EM SAUDE"/>
    <x v="1108"/>
    <n v="0"/>
    <n v="0"/>
    <n v="0"/>
  </r>
  <r>
    <x v="7"/>
    <s v="6012 - DEFESA NACIONAL"/>
    <x v="521"/>
    <n v="19370970.52"/>
    <n v="8990548.4499999993"/>
    <n v="2611867.85"/>
  </r>
  <r>
    <x v="7"/>
    <s v="2015 - FORTALECIMENTO DO SISTEMA UNICO DE SAUDE (SUS)"/>
    <x v="771"/>
    <n v="0"/>
    <n v="0"/>
    <n v="0"/>
  </r>
  <r>
    <x v="7"/>
    <s v="2215 - POLITICA ECONOMICA E EQUILIBRIO FISCAL"/>
    <x v="364"/>
    <n v="97950.68"/>
    <n v="92426.81"/>
    <n v="431130.37"/>
  </r>
  <r>
    <x v="7"/>
    <s v="2068 - SANEAMENTO BASICO"/>
    <x v="936"/>
    <n v="0"/>
    <n v="0"/>
    <n v="0"/>
  </r>
  <r>
    <x v="7"/>
    <s v="2134 - PROGRAMA DE GESTAO E MANUTENCAO DO MINISTERIO DA MULHER, DA FAMILIA E DOS DIREITOS HUMANOS"/>
    <x v="52"/>
    <n v="0"/>
    <n v="0"/>
    <n v="0"/>
  </r>
  <r>
    <x v="7"/>
    <s v="3002 - GEOLOGIA, MINERACAO E TRANSFORMACAO MINERAL"/>
    <x v="790"/>
    <n v="33590.19"/>
    <n v="15148.61"/>
    <n v="16545.27"/>
  </r>
  <r>
    <x v="7"/>
    <s v="2217 - DESENVOLVIMENTO REGIONAL, TERRITORIAL E URBANO"/>
    <x v="222"/>
    <n v="67.3"/>
    <n v="1817"/>
    <n v="33304.769999999997"/>
  </r>
  <r>
    <x v="7"/>
    <s v="1040 - GOVERNANCA FUNDIARIA"/>
    <x v="180"/>
    <n v="169285.75"/>
    <n v="79465.81"/>
    <n v="25134.73"/>
  </r>
  <r>
    <x v="7"/>
    <s v="0032 - PROGRAMA DE GESTAO E MANUTENCAO DO PODER EXECUTIVO"/>
    <x v="653"/>
    <n v="0"/>
    <n v="-7.97"/>
    <n v="42798935.689999998"/>
  </r>
  <r>
    <x v="7"/>
    <s v="5020 - DESENVOLVIMENTO CIENTIFICO, TECNOLOGICO E PRODUTIVO EM SAUDE"/>
    <x v="136"/>
    <n v="26848067.780000001"/>
    <n v="17986333.379999999"/>
    <n v="31446382.859999999"/>
  </r>
  <r>
    <x v="7"/>
    <s v="2217 - DESENVOLVIMENTO REGIONAL, TERRITORIAL E URBANO"/>
    <x v="30"/>
    <n v="336966.13"/>
    <n v="443031.56"/>
    <n v="824294.83"/>
  </r>
  <r>
    <x v="7"/>
    <s v="6012 - DEFESA NACIONAL"/>
    <x v="566"/>
    <n v="7847264.5499999998"/>
    <n v="4070217.73"/>
    <n v="2455041.33"/>
  </r>
  <r>
    <x v="7"/>
    <s v="0032 - PROGRAMA DE GESTAO E MANUTENCAO DO PODER EXECUTIVO"/>
    <x v="897"/>
    <n v="0"/>
    <n v="4460"/>
    <n v="4460"/>
  </r>
  <r>
    <x v="7"/>
    <s v="3001 - ENERGIA ELETRICA"/>
    <x v="915"/>
    <n v="65000"/>
    <n v="7312.21"/>
    <n v="7312.21"/>
  </r>
  <r>
    <x v="7"/>
    <s v="0033 - PROGRAMA DE GESTAO E MANUTENCAO DO PODER JUDICIARIO"/>
    <x v="1172"/>
    <n v="6330"/>
    <n v="0"/>
    <n v="0"/>
  </r>
  <r>
    <x v="7"/>
    <s v="2203 - PESQUISA E INOVACAO AGROPECUARIA"/>
    <x v="780"/>
    <n v="729729.98"/>
    <n v="301748.46000000002"/>
    <n v="284942.62"/>
  </r>
  <r>
    <x v="7"/>
    <s v="1031 - AGROPECUARIA SUSTENTAVEL"/>
    <x v="461"/>
    <n v="63048.41"/>
    <n v="12125.3"/>
    <n v="14356.49"/>
  </r>
  <r>
    <x v="7"/>
    <s v="5034 - PROTECAO A VIDA, FORTALECIMENTO DA FAMILIA, PROMOCAO E DEFESA DOS DIREITOS HUMANOS PARA TODOS"/>
    <x v="700"/>
    <n v="9074801.2799999993"/>
    <n v="1660500.7"/>
    <n v="1148631.05"/>
  </r>
  <r>
    <x v="7"/>
    <s v="2214 - NOVA PREVIDENCIA"/>
    <x v="740"/>
    <n v="5988300.0099999998"/>
    <n v="1796995.99"/>
    <n v="2178999.1800000002"/>
  </r>
  <r>
    <x v="7"/>
    <s v="5013 - EDUCACAO SUPERIOR - GRADUACAO, POS-GRADUACAO, ENSINO, PESQUISA E EXTENSAO"/>
    <x v="95"/>
    <n v="0"/>
    <n v="22500"/>
    <n v="22500"/>
  </r>
  <r>
    <x v="7"/>
    <s v="1040 - GOVERNANCA FUNDIARIA"/>
    <x v="737"/>
    <n v="331279.19"/>
    <n v="590394.26"/>
    <n v="463128.86"/>
  </r>
  <r>
    <x v="7"/>
    <s v="2212 - MELHORIA DO AMBIENTE DE NEGOCIOS E DA PRODUTIVIDADE"/>
    <x v="903"/>
    <n v="0"/>
    <n v="68093.81"/>
    <n v="9959.83"/>
  </r>
  <r>
    <x v="7"/>
    <s v="1031 - AGROPECUARIA SUSTENTAVEL"/>
    <x v="562"/>
    <n v="859302.81"/>
    <n v="910401.54"/>
    <n v="930973.95"/>
  </r>
  <r>
    <x v="7"/>
    <s v="5023 - VIGILANCIA EM SAUDE"/>
    <x v="324"/>
    <n v="2274079.4300000002"/>
    <n v="1435463.51"/>
    <n v="1015750.72"/>
  </r>
  <r>
    <x v="7"/>
    <s v="0032 - PROGRAMA DE GESTAO E MANUTENCAO DO PODER EXECUTIVO"/>
    <x v="649"/>
    <n v="-187659.53"/>
    <n v="287435.07"/>
    <n v="290145.88"/>
  </r>
  <r>
    <x v="7"/>
    <s v="5019 - ATENCAO PRIMARIA A SAUDE"/>
    <x v="423"/>
    <n v="4422303.22"/>
    <n v="0"/>
    <n v="2368000"/>
  </r>
  <r>
    <x v="7"/>
    <s v="6014 - PREVENCAO E CONTROLE DO DESMATAMENTO E DOS INCENDIOS NOS BIOMAS"/>
    <x v="624"/>
    <n v="2507995.16"/>
    <n v="2176135.2200000002"/>
    <n v="10848235.34"/>
  </r>
  <r>
    <x v="7"/>
    <s v="1031 - AGROPECUARIA SUSTENTAVEL"/>
    <x v="294"/>
    <n v="233488136.12"/>
    <n v="126764963.59"/>
    <n v="35856520.219999999"/>
  </r>
  <r>
    <x v="7"/>
    <s v="0032 - PROGRAMA DE GESTAO E MANUTENCAO DO PODER EXECUTIVO"/>
    <x v="472"/>
    <n v="0"/>
    <n v="0"/>
    <n v="76311000"/>
  </r>
  <r>
    <x v="7"/>
    <s v="6012 - DEFESA NACIONAL"/>
    <x v="466"/>
    <n v="8518455.1999999993"/>
    <n v="906297.09"/>
    <n v="316442.05"/>
  </r>
  <r>
    <x v="7"/>
    <s v="1031 - AGROPECUARIA SUSTENTAVEL"/>
    <x v="512"/>
    <n v="40809.879999999997"/>
    <n v="1841025.42"/>
    <n v="2279792.4700000002"/>
  </r>
  <r>
    <x v="7"/>
    <s v="5017 - ASSISTENCIA FARMACEUTICA NO SUS"/>
    <x v="388"/>
    <n v="60632795.240000002"/>
    <n v="47386025.57"/>
    <n v="89496439.620000005"/>
  </r>
  <r>
    <x v="7"/>
    <s v="6012 - DEFESA NACIONAL"/>
    <x v="920"/>
    <n v="0"/>
    <n v="174632.56"/>
    <n v="174632.56"/>
  </r>
  <r>
    <x v="7"/>
    <s v="3004 - AVIACAO CIVIL"/>
    <x v="31"/>
    <n v="159696"/>
    <n v="129976.84"/>
    <n v="226657.41"/>
  </r>
  <r>
    <x v="7"/>
    <s v="0032 - PROGRAMA DE GESTAO E MANUTENCAO DO PODER EXECUTIVO"/>
    <x v="681"/>
    <n v="87450"/>
    <n v="119925073.06999999"/>
    <n v="120052166.97"/>
  </r>
  <r>
    <x v="7"/>
    <s v="0901 - OPERACOES ESPECIAIS: CUMPRIMENTO DE SENTENCAS JUDICIAIS"/>
    <x v="684"/>
    <n v="19458951.41"/>
    <n v="137653145.18000001"/>
    <n v="133909155.8"/>
  </r>
  <r>
    <x v="7"/>
    <s v="2217 - DESENVOLVIMENTO REGIONAL, TERRITORIAL E URBANO"/>
    <x v="545"/>
    <n v="0"/>
    <n v="0"/>
    <n v="0"/>
  </r>
  <r>
    <x v="7"/>
    <s v="5015 - JUSTICA"/>
    <x v="317"/>
    <n v="245738.47"/>
    <n v="940312.09"/>
    <n v="1203832.29"/>
  </r>
  <r>
    <x v="7"/>
    <s v="2080 - EDUCACAO DE QUALIDADE PARA TODOS"/>
    <x v="769"/>
    <n v="0"/>
    <n v="0"/>
    <n v="0"/>
  </r>
  <r>
    <x v="7"/>
    <s v="1031 - AGROPECUARIA SUSTENTAVEL"/>
    <x v="569"/>
    <n v="4333668"/>
    <n v="377734.54"/>
    <n v="186538.49"/>
  </r>
  <r>
    <x v="7"/>
    <s v="6014 - PREVENCAO E CONTROLE DO DESMATAMENTO E DOS INCENDIOS NOS BIOMAS"/>
    <x v="620"/>
    <n v="48205.18"/>
    <n v="15249.8"/>
    <n v="255.66"/>
  </r>
  <r>
    <x v="7"/>
    <s v="2217 - DESENVOLVIMENTO REGIONAL, TERRITORIAL E URBANO"/>
    <x v="610"/>
    <n v="322442.15999999997"/>
    <n v="17059.919999999998"/>
    <n v="17059.919999999998"/>
  </r>
  <r>
    <x v="7"/>
    <s v="6012 - DEFESA NACIONAL"/>
    <x v="881"/>
    <n v="49242.26"/>
    <n v="513154"/>
    <n v="263254"/>
  </r>
  <r>
    <x v="7"/>
    <s v="5026 - ESPORTE"/>
    <x v="57"/>
    <n v="14863157"/>
    <n v="0"/>
    <n v="0"/>
  </r>
  <r>
    <x v="7"/>
    <s v="2207 - PROGRAMA ESPACIAL BRASILEIRO"/>
    <x v="381"/>
    <n v="2143955.59"/>
    <n v="2287327.16"/>
    <n v="1846502.3"/>
  </r>
  <r>
    <x v="7"/>
    <s v="2222 - SANEAMENTO BASICO"/>
    <x v="1035"/>
    <n v="0"/>
    <n v="0"/>
    <n v="0"/>
  </r>
  <r>
    <x v="7"/>
    <s v="5020 - DESENVOLVIMENTO CIENTIFICO, TECNOLOGICO E PRODUTIVO EM SAUDE"/>
    <x v="268"/>
    <n v="2311685.73"/>
    <n v="125521.56"/>
    <n v="107112.06"/>
  </r>
  <r>
    <x v="7"/>
    <s v="4002 - SEGURANCA INSTITUCIONAL"/>
    <x v="438"/>
    <n v="9508609.8399999999"/>
    <n v="13289462.93"/>
    <n v="10385294.33"/>
  </r>
  <r>
    <x v="7"/>
    <s v="2216 - POLITICA EXTERNA"/>
    <x v="694"/>
    <n v="383908.68"/>
    <n v="416068.12"/>
    <n v="416068.12"/>
  </r>
  <r>
    <x v="7"/>
    <s v="2207 - PROGRAMA ESPACIAL BRASILEIRO"/>
    <x v="719"/>
    <n v="707349.15"/>
    <n v="348852.55"/>
    <n v="976417.9"/>
  </r>
  <r>
    <x v="7"/>
    <s v="1031 - AGROPECUARIA SUSTENTAVEL"/>
    <x v="756"/>
    <n v="223045.52"/>
    <n v="295642.92"/>
    <n v="271404.06"/>
  </r>
  <r>
    <x v="7"/>
    <s v="2205 - CONECTA BRASIL"/>
    <x v="686"/>
    <n v="1707610.51"/>
    <n v="1827817.78"/>
    <n v="1910129.47"/>
  </r>
  <r>
    <x v="7"/>
    <s v="5016 - SEGURANCA PUBLICA, COMBATE A CORRUPCAO, AO CRIME ORGANIZADO E AO CRIME VIOLENTO"/>
    <x v="516"/>
    <n v="353439.48"/>
    <n v="3031828.13"/>
    <n v="3431280.71"/>
  </r>
  <r>
    <x v="7"/>
    <s v="6013 - OCEANOS, ZONA COSTEIRA E ANTARTICA"/>
    <x v="764"/>
    <n v="391958.91"/>
    <n v="56932.31"/>
    <n v="64681.45"/>
  </r>
  <r>
    <x v="7"/>
    <s v="5018 - ATENCAO ESPECIALIZADA A SAUDE"/>
    <x v="502"/>
    <n v="151433044.38999999"/>
    <n v="16801061.600000001"/>
    <n v="17536106.93"/>
  </r>
  <r>
    <x v="7"/>
    <s v="2216 - POLITICA EXTERNA"/>
    <x v="732"/>
    <n v="2130096.9700000002"/>
    <n v="2638424.04"/>
    <n v="2815961.87"/>
  </r>
  <r>
    <x v="7"/>
    <s v="4005 - PROTECAO JURIDICA DA UNIAO"/>
    <x v="647"/>
    <n v="-174781.86"/>
    <n v="26160051.789999999"/>
    <n v="30444041.309999999"/>
  </r>
  <r>
    <x v="7"/>
    <s v="0910 - OPERACOES ESPECIAIS: GESTAO DA PARTICIPACAO EM ORGANISMOS E ENTIDADES NACIONAIS E INTERNACIONAIS"/>
    <x v="1173"/>
    <n v="316000"/>
    <n v="315024.53999999998"/>
    <n v="315024.53999999998"/>
  </r>
  <r>
    <x v="7"/>
    <s v="0032 - PROGRAMA DE GESTAO E MANUTENCAO DO PODER EXECUTIVO"/>
    <x v="677"/>
    <n v="4745056.99"/>
    <n v="3368564.73"/>
    <n v="3414613.47"/>
  </r>
  <r>
    <x v="7"/>
    <s v="2217 - DESENVOLVIMENTO REGIONAL, TERRITORIAL E URBANO"/>
    <x v="944"/>
    <n v="28026787"/>
    <n v="0"/>
    <n v="0"/>
  </r>
  <r>
    <x v="7"/>
    <s v="2214 - NOVA PREVIDENCIA"/>
    <x v="667"/>
    <n v="36926697058"/>
    <n v="3775379003.6199999"/>
    <n v="87395112568.619995"/>
  </r>
  <r>
    <x v="7"/>
    <s v="0909 - OPERACOES ESPECIAIS: OUTROS ENCARGOS ESPECIAIS"/>
    <x v="440"/>
    <n v="26866149.32"/>
    <n v="-53347.68"/>
    <n v="220851411.44"/>
  </r>
  <r>
    <x v="7"/>
    <s v="2206 - POLITICA NUCLEAR"/>
    <x v="664"/>
    <n v="89547.85"/>
    <n v="121036.55"/>
    <n v="66375.259999999995"/>
  </r>
  <r>
    <x v="7"/>
    <s v="0032 - PROGRAMA DE GESTAO E MANUTENCAO DO PODER EXECUTIVO"/>
    <x v="729"/>
    <n v="380497657.39999998"/>
    <n v="496467324.75999999"/>
    <n v="3930236118.0700002"/>
  </r>
  <r>
    <x v="7"/>
    <s v="3006 - TRANSPORTE TERRESTRE E TRANSITO"/>
    <x v="277"/>
    <n v="351011.03"/>
    <n v="189451.48"/>
    <n v="370849.28000000003"/>
  </r>
  <r>
    <x v="7"/>
    <s v="0903 - OPERACOES ESPECIAIS: TRANSFERENCIAS CONSTITUCIONAIS E AS DECORRENTES DE LEGISLACAO ESPECIFICA"/>
    <x v="1127"/>
    <n v="0"/>
    <n v="0"/>
    <n v="0"/>
  </r>
  <r>
    <x v="7"/>
    <s v="6012 - DEFESA NACIONAL"/>
    <x v="561"/>
    <n v="8892743.2100000009"/>
    <n v="2984656.66"/>
    <n v="2798976.57"/>
  </r>
  <r>
    <x v="7"/>
    <s v="2208 - TECNOLOGIAS APLICADAS, INOVACAO E DESENVOLVIMENTO SUSTENTAVEL"/>
    <x v="675"/>
    <n v="217531.99"/>
    <n v="582479.38"/>
    <n v="551588.80000000005"/>
  </r>
  <r>
    <x v="7"/>
    <s v="0909 - OPERACOES ESPECIAIS: OUTROS ENCARGOS ESPECIAIS"/>
    <x v="306"/>
    <n v="1000200996"/>
    <n v="326202719"/>
    <n v="326202719"/>
  </r>
  <r>
    <x v="7"/>
    <s v="5021 - GESTAO E ORGANIZACAO DO SUS"/>
    <x v="480"/>
    <n v="169470.63"/>
    <n v="1123929.56"/>
    <n v="176698.28"/>
  </r>
  <r>
    <x v="7"/>
    <s v="2206 - POLITICA NUCLEAR"/>
    <x v="659"/>
    <n v="585.62"/>
    <n v="358970.81"/>
    <n v="389514.1"/>
  </r>
  <r>
    <x v="7"/>
    <s v="0032 - PROGRAMA DE GESTAO E MANUTENCAO DO PODER EXECUTIVO"/>
    <x v="588"/>
    <n v="150000"/>
    <n v="464726.89"/>
    <n v="315803.21999999997"/>
  </r>
  <r>
    <x v="7"/>
    <s v="6012 - DEFESA NACIONAL"/>
    <x v="442"/>
    <n v="96747.89"/>
    <n v="39766.29"/>
    <n v="23829.95"/>
  </r>
  <r>
    <x v="7"/>
    <s v="5012 - EDUCACAO PROFISSIONAL E TECNOLOGICA"/>
    <x v="634"/>
    <n v="300054.46999999997"/>
    <n v="853976.06"/>
    <n v="1314241.79"/>
  </r>
  <r>
    <x v="7"/>
    <s v="6012 - DEFESA NACIONAL"/>
    <x v="777"/>
    <n v="170969.45"/>
    <n v="620466.91"/>
    <n v="703318.34"/>
  </r>
  <r>
    <x v="7"/>
    <s v="5011 - EDUCACAO BASICA DE QUALIDADE"/>
    <x v="432"/>
    <n v="794600559"/>
    <n v="200066655"/>
    <n v="200083455"/>
  </r>
  <r>
    <x v="7"/>
    <s v="5022 - PROTECAO, PROMOCAO E RECUPERACAO DA SAUDE INDIGENA"/>
    <x v="742"/>
    <n v="10775522.630000001"/>
    <n v="5638793.3200000003"/>
    <n v="3350842.96"/>
  </r>
  <r>
    <x v="7"/>
    <s v="0032 - PROGRAMA DE GESTAO E MANUTENCAO DO PODER EXECUTIVO"/>
    <x v="599"/>
    <n v="-5970559.1399999997"/>
    <n v="3232317.78"/>
    <n v="3247629.91"/>
  </r>
  <r>
    <x v="7"/>
    <s v="0032 - PROGRAMA DE GESTAO E MANUTENCAO DO PODER EXECUTIVO"/>
    <x v="341"/>
    <n v="193467.34"/>
    <n v="155949.57999999999"/>
    <n v="327289.46000000002"/>
  </r>
  <r>
    <x v="7"/>
    <s v="2202 - DEFESA AGROPECUARIA"/>
    <x v="720"/>
    <n v="399325.5"/>
    <n v="551214.62"/>
    <n v="605286.82999999996"/>
  </r>
  <r>
    <x v="7"/>
    <s v="0032 - PROGRAMA DE GESTAO E MANUTENCAO DO PODER EXECUTIVO"/>
    <x v="517"/>
    <n v="96773.23"/>
    <n v="444933.3"/>
    <n v="446095.55"/>
  </r>
  <r>
    <x v="7"/>
    <s v="2202 - DEFESA AGROPECUARIA"/>
    <x v="789"/>
    <n v="12201615.109999999"/>
    <n v="12862513.869999999"/>
    <n v="11849734.52"/>
  </r>
  <r>
    <x v="7"/>
    <s v="3003 - PETROLEO, GAS, DERIVADOS E BIOCOMBUSTIVEIS"/>
    <x v="688"/>
    <n v="1068578.3500000001"/>
    <n v="3369141.54"/>
    <n v="4717001.71"/>
  </r>
  <r>
    <x v="7"/>
    <s v="2216 - POLITICA EXTERNA"/>
    <x v="289"/>
    <n v="1788697.36"/>
    <n v="357789.48"/>
    <n v="374970.74"/>
  </r>
  <r>
    <x v="7"/>
    <s v="5021 - GESTAO E ORGANIZACAO DO SUS"/>
    <x v="245"/>
    <n v="0"/>
    <n v="40951.65"/>
    <n v="1640951.65"/>
  </r>
  <r>
    <x v="7"/>
    <s v="6012 - DEFESA NACIONAL"/>
    <x v="172"/>
    <n v="1791851.45"/>
    <n v="876928.31"/>
    <n v="708276.86"/>
  </r>
  <r>
    <x v="7"/>
    <s v="5018 - ATENCAO ESPECIALIZADA A SAUDE"/>
    <x v="366"/>
    <n v="44185771.740000002"/>
    <n v="68947046.790000007"/>
    <n v="74442011.299999997"/>
  </r>
  <r>
    <x v="7"/>
    <s v="3006 - TRANSPORTE TERRESTRE E TRANSITO"/>
    <x v="111"/>
    <n v="0"/>
    <n v="106806.88"/>
    <n v="106806.88"/>
  </r>
  <r>
    <x v="7"/>
    <s v="5013 - EDUCACAO SUPERIOR - GRADUACAO, POS-GRADUACAO, ENSINO, PESQUISA E EXTENSAO"/>
    <x v="408"/>
    <n v="62200.17"/>
    <n v="45226.18"/>
    <n v="52837.41"/>
  </r>
  <r>
    <x v="7"/>
    <s v="0903 - OPERACOES ESPECIAIS: TRANSFERENCIAS CONSTITUCIONAIS E AS DECORRENTES DE LEGISLACAO ESPECIFICA"/>
    <x v="623"/>
    <n v="0"/>
    <n v="0"/>
    <n v="112153854.09999999"/>
  </r>
  <r>
    <x v="7"/>
    <s v="2214 - NOVA PREVIDENCIA"/>
    <x v="546"/>
    <n v="0"/>
    <n v="0"/>
    <n v="0"/>
  </r>
  <r>
    <x v="7"/>
    <s v="0032 - PROGRAMA DE GESTAO E MANUTENCAO DO PODER EXECUTIVO"/>
    <x v="410"/>
    <n v="0"/>
    <n v="0"/>
    <n v="0"/>
  </r>
  <r>
    <x v="7"/>
    <s v="5025 - CULTURA"/>
    <x v="549"/>
    <n v="956932.56"/>
    <n v="4892050.67"/>
    <n v="6622916.75"/>
  </r>
  <r>
    <x v="7"/>
    <s v="1040 - GOVERNANCA FUNDIARIA"/>
    <x v="605"/>
    <n v="27339897.57"/>
    <n v="10521092.939999999"/>
    <n v="10424926.6"/>
  </r>
  <r>
    <x v="7"/>
    <s v="0032 - PROGRAMA DE GESTAO E MANUTENCAO DO PODER EXECUTIVO"/>
    <x v="357"/>
    <n v="604202096.27999997"/>
    <n v="667384393.73000002"/>
    <n v="3868998525.5500002"/>
  </r>
  <r>
    <x v="7"/>
    <s v="2212 - MELHORIA DO AMBIENTE DE NEGOCIOS E DA PRODUTIVIDADE"/>
    <x v="887"/>
    <n v="30000"/>
    <n v="11013.35"/>
    <n v="2938.67"/>
  </r>
  <r>
    <x v="7"/>
    <s v="5016 - SEGURANCA PUBLICA, COMBATE A CORRUPCAO, AO CRIME ORGANIZADO E AO CRIME VIOLENTO"/>
    <x v="469"/>
    <n v="505067.97"/>
    <n v="5640976.5"/>
    <n v="5698170.6699999999"/>
  </r>
  <r>
    <x v="7"/>
    <s v="4001 - COMUNICACAO PUBLICA E DIVULGACAO DE ATOS E MATERIAS DO GOVERNO FEDERAL"/>
    <x v="35"/>
    <n v="6595888.4100000001"/>
    <n v="7026102.0499999998"/>
    <n v="10735234.439999999"/>
  </r>
  <r>
    <x v="7"/>
    <s v="5013 - EDUCACAO SUPERIOR - GRADUACAO, POS-GRADUACAO, ENSINO, PESQUISA E EXTENSAO"/>
    <x v="258"/>
    <n v="28661"/>
    <n v="20963"/>
    <n v="0"/>
  </r>
  <r>
    <x v="7"/>
    <s v="6012 - DEFESA NACIONAL"/>
    <x v="276"/>
    <n v="354015.84"/>
    <n v="456076.68"/>
    <n v="276711.48"/>
  </r>
  <r>
    <x v="7"/>
    <s v="6012 - DEFESA NACIONAL"/>
    <x v="751"/>
    <n v="857808.07"/>
    <n v="400717.89"/>
    <n v="376974.18"/>
  </r>
  <r>
    <x v="7"/>
    <s v="0032 - PROGRAMA DE GESTAO E MANUTENCAO DO PODER EXECUTIVO"/>
    <x v="609"/>
    <n v="3772892.66"/>
    <n v="7470245.3200000003"/>
    <n v="22377763.649999999"/>
  </r>
  <r>
    <x v="7"/>
    <s v="3002 - GEOLOGIA, MINERACAO E TRANSFORMACAO MINERAL"/>
    <x v="641"/>
    <n v="474762.62"/>
    <n v="338319.11"/>
    <n v="359188.83"/>
  </r>
  <r>
    <x v="7"/>
    <s v="6011 - COOPERACAO COM O DESENVOLVIMENTO NACIONAL"/>
    <x v="656"/>
    <n v="2315158.58"/>
    <n v="1403859.91"/>
    <n v="1853720.23"/>
  </r>
  <r>
    <x v="7"/>
    <s v="6012 - DEFESA NACIONAL"/>
    <x v="243"/>
    <n v="4191372.45"/>
    <n v="3452353.34"/>
    <n v="4287957.99"/>
  </r>
  <r>
    <x v="7"/>
    <s v="6012 - DEFESA NACIONAL"/>
    <x v="391"/>
    <n v="-14346660.789999999"/>
    <n v="8047450.3099999996"/>
    <n v="9733546.6600000001"/>
  </r>
  <r>
    <x v="7"/>
    <s v="5016 - SEGURANCA PUBLICA, COMBATE A CORRUPCAO, AO CRIME ORGANIZADO E AO CRIME VIOLENTO"/>
    <x v="642"/>
    <n v="2919985"/>
    <n v="13051772.49"/>
    <n v="12925293.220000001"/>
  </r>
  <r>
    <x v="7"/>
    <s v="2206 - POLITICA NUCLEAR"/>
    <x v="496"/>
    <n v="1500"/>
    <n v="20749.34"/>
    <n v="20749.34"/>
  </r>
  <r>
    <x v="7"/>
    <s v="0032 - PROGRAMA DE GESTAO E MANUTENCAO DO PODER EXECUTIVO"/>
    <x v="356"/>
    <n v="26111967.199999999"/>
    <n v="19749392.030000001"/>
    <n v="19732936.629999999"/>
  </r>
  <r>
    <x v="7"/>
    <s v="5016 - SEGURANCA PUBLICA, COMBATE A CORRUPCAO, AO CRIME ORGANIZADO E AO CRIME VIOLENTO"/>
    <x v="574"/>
    <n v="33295572.629999999"/>
    <n v="13735259.470000001"/>
    <n v="28360131.440000001"/>
  </r>
  <r>
    <x v="7"/>
    <s v="2216 - POLITICA EXTERNA"/>
    <x v="775"/>
    <n v="1258042.2"/>
    <n v="1252720.96"/>
    <n v="1240051.3899999999"/>
  </r>
  <r>
    <x v="7"/>
    <s v="3003 - PETROLEO, GAS, DERIVADOS E BIOCOMBUSTIVEIS"/>
    <x v="122"/>
    <n v="0"/>
    <n v="3612.5"/>
    <n v="3612.5"/>
  </r>
  <r>
    <x v="7"/>
    <s v="6014 - PREVENCAO E CONTROLE DO DESMATAMENTO E DOS INCENDIOS NOS BIOMAS"/>
    <x v="698"/>
    <n v="3339322.54"/>
    <n v="10669354.1"/>
    <n v="5752924.3899999997"/>
  </r>
  <r>
    <x v="7"/>
    <s v="5021 - GESTAO E ORGANIZACAO DO SUS"/>
    <x v="724"/>
    <n v="19000"/>
    <n v="195361.07"/>
    <n v="171573.69"/>
  </r>
  <r>
    <x v="7"/>
    <s v="5011 - EDUCACAO BASICA DE QUALIDADE"/>
    <x v="747"/>
    <n v="3816013.94"/>
    <n v="3590367.69"/>
    <n v="4081073.26"/>
  </r>
  <r>
    <x v="7"/>
    <s v="1041 - CONSERVACAO E USO SUSTENTAVEL DA BIODIVERSIDADE E DOS RECURSOS NATURAIS"/>
    <x v="702"/>
    <n v="125154.94"/>
    <n v="1049834.99"/>
    <n v="816664.37"/>
  </r>
  <r>
    <x v="7"/>
    <s v="6012 - DEFESA NACIONAL"/>
    <x v="337"/>
    <n v="148780.65"/>
    <n v="16848.96"/>
    <n v="15575.96"/>
  </r>
  <r>
    <x v="7"/>
    <s v="5029 - PRODUCAO DE DADOS E CONHECIMENTO PARA O APRIMORAMENTO DE POLITICAS PUBLICAS"/>
    <x v="265"/>
    <n v="45853382.710000001"/>
    <n v="13158742.65"/>
    <n v="10239742.83"/>
  </r>
  <r>
    <x v="7"/>
    <s v="2221 - RECURSOS HIDRICOS"/>
    <x v="327"/>
    <n v="0"/>
    <n v="0"/>
    <n v="0"/>
  </r>
  <r>
    <x v="7"/>
    <s v="2208 - TECNOLOGIAS APLICADAS, INOVACAO E DESENVOLVIMENTO SUSTENTAVEL"/>
    <x v="900"/>
    <n v="0"/>
    <n v="0"/>
    <n v="0"/>
  </r>
  <r>
    <x v="7"/>
    <s v="2218 - GESTAO DE RISCOS E DE DESASTRES"/>
    <x v="643"/>
    <n v="238778.21"/>
    <n v="298282.32"/>
    <n v="325995.96999999997"/>
  </r>
  <r>
    <x v="7"/>
    <s v="6012 - DEFESA NACIONAL"/>
    <x v="340"/>
    <n v="114600.46"/>
    <n v="146986.97"/>
    <n v="149499.44"/>
  </r>
  <r>
    <x v="7"/>
    <s v="5017 - ASSISTENCIA FARMACEUTICA NO SUS"/>
    <x v="374"/>
    <n v="613131535.16999996"/>
    <n v="936020895.98000002"/>
    <n v="1050242581.35"/>
  </r>
  <r>
    <x v="7"/>
    <s v="0032 - PROGRAMA DE GESTAO E MANUTENCAO DO PODER EXECUTIVO"/>
    <x v="73"/>
    <n v="2051419.55"/>
    <n v="76405.179999999993"/>
    <n v="76405.179999999993"/>
  </r>
  <r>
    <x v="7"/>
    <s v="2206 - POLITICA NUCLEAR"/>
    <x v="774"/>
    <n v="1991848.57"/>
    <n v="3493661.23"/>
    <n v="3674858.82"/>
  </r>
  <r>
    <x v="7"/>
    <s v="0032 - PROGRAMA DE GESTAO E MANUTENCAO DO PODER EXECUTIVO"/>
    <x v="699"/>
    <n v="6268712.6100000003"/>
    <n v="20972627.260000002"/>
    <n v="23016772.940000001"/>
  </r>
  <r>
    <x v="7"/>
    <s v="3006 - TRANSPORTE TERRESTRE E TRANSITO"/>
    <x v="367"/>
    <n v="521530554.29000002"/>
    <n v="734777024.58000004"/>
    <n v="561763332.22000003"/>
  </r>
  <r>
    <x v="7"/>
    <s v="2212 - MELHORIA DO AMBIENTE DE NEGOCIOS E DA PRODUTIVIDADE"/>
    <x v="50"/>
    <n v="6489427"/>
    <n v="0"/>
    <n v="0"/>
  </r>
  <r>
    <x v="7"/>
    <s v="5025 - CULTURA"/>
    <x v="488"/>
    <n v="2380846.92"/>
    <n v="2892304.94"/>
    <n v="2421675.7999999998"/>
  </r>
  <r>
    <x v="7"/>
    <s v="2203 - PESQUISA E INOVACAO AGROPECUARIA"/>
    <x v="618"/>
    <n v="545646.18000000005"/>
    <n v="297252.71999999997"/>
    <n v="386177.83"/>
  </r>
  <r>
    <x v="7"/>
    <s v="2223 - A HORA DO TURISMO"/>
    <x v="13"/>
    <n v="0"/>
    <n v="191185.39"/>
    <n v="191185.39"/>
  </r>
  <r>
    <x v="7"/>
    <s v="1041 - CONSERVACAO E USO SUSTENTAVEL DA BIODIVERSIDADE E DOS RECURSOS NATURAIS"/>
    <x v="711"/>
    <n v="45581069.270000003"/>
    <n v="11847580.050000001"/>
    <n v="11362591.380000001"/>
  </r>
  <r>
    <x v="7"/>
    <s v="6012 - DEFESA NACIONAL"/>
    <x v="736"/>
    <n v="2586981.52"/>
    <n v="2267572.04"/>
    <n v="2380421.85"/>
  </r>
  <r>
    <x v="7"/>
    <s v="5011 - EDUCACAO BASICA DE QUALIDADE"/>
    <x v="436"/>
    <n v="478207.56"/>
    <n v="495551.34"/>
    <n v="989814.63"/>
  </r>
  <r>
    <x v="7"/>
    <s v="2202 - DEFESA AGROPECUARIA"/>
    <x v="697"/>
    <n v="2899880.66"/>
    <n v="1716560.7"/>
    <n v="1764943.21"/>
  </r>
  <r>
    <x v="7"/>
    <s v="2217 - DESENVOLVIMENTO REGIONAL, TERRITORIAL E URBANO"/>
    <x v="527"/>
    <n v="687085.61"/>
    <n v="2546001.7200000002"/>
    <n v="3336346.53"/>
  </r>
  <r>
    <x v="7"/>
    <s v="3006 - TRANSPORTE TERRESTRE E TRANSITO"/>
    <x v="241"/>
    <n v="0"/>
    <n v="16628559.91"/>
    <n v="16628559.91"/>
  </r>
  <r>
    <x v="7"/>
    <s v="0032 - PROGRAMA DE GESTAO E MANUTENCAO DO PODER EXECUTIVO"/>
    <x v="570"/>
    <n v="5633588.21"/>
    <n v="7075997.2800000003"/>
    <n v="6834500.2999999998"/>
  </r>
  <r>
    <x v="7"/>
    <s v="5021 - GESTAO E ORGANIZACAO DO SUS"/>
    <x v="94"/>
    <n v="0"/>
    <n v="487723.4"/>
    <n v="199880.81"/>
  </r>
  <r>
    <x v="7"/>
    <s v="2080 - EDUCACAO DE QUALIDADE PARA TODOS"/>
    <x v="365"/>
    <n v="0"/>
    <n v="0"/>
    <n v="0"/>
  </r>
  <r>
    <x v="7"/>
    <s v="5025 - CULTURA"/>
    <x v="753"/>
    <n v="79364678.980000004"/>
    <n v="384678.84"/>
    <n v="4719320.17"/>
  </r>
  <r>
    <x v="7"/>
    <s v="1040 - GOVERNANCA FUNDIARIA"/>
    <x v="905"/>
    <n v="527826.63"/>
    <n v="69416.479999999996"/>
    <n v="63442.080000000002"/>
  </r>
  <r>
    <x v="7"/>
    <s v="5013 - EDUCACAO SUPERIOR - GRADUACAO, POS-GRADUACAO, ENSINO, PESQUISA E EXTENSAO"/>
    <x v="793"/>
    <n v="6222952.3899999997"/>
    <n v="585978.24"/>
    <n v="119903583.90000001"/>
  </r>
  <r>
    <x v="7"/>
    <s v="2202 - DEFESA AGROPECUARIA"/>
    <x v="103"/>
    <n v="-2283.4899999999998"/>
    <n v="16016.49"/>
    <n v="15453.55"/>
  </r>
  <r>
    <x v="7"/>
    <s v="1040 - GOVERNANCA FUNDIARIA"/>
    <x v="281"/>
    <n v="249897.69"/>
    <n v="197114.77"/>
    <n v="35727.47"/>
  </r>
  <r>
    <x v="7"/>
    <s v="6011 - COOPERACAO COM O DESENVOLVIMENTO NACIONAL"/>
    <x v="721"/>
    <n v="152.46"/>
    <n v="98445.24"/>
    <n v="150071.64000000001"/>
  </r>
  <r>
    <x v="7"/>
    <s v="5011 - EDUCACAO BASICA DE QUALIDADE"/>
    <x v="407"/>
    <n v="5500000"/>
    <n v="69449508.040000007"/>
    <n v="69802290.640000001"/>
  </r>
  <r>
    <x v="7"/>
    <s v="5023 - VIGILANCIA EM SAUDE"/>
    <x v="234"/>
    <n v="22421626.84"/>
    <n v="2448839.5499999998"/>
    <n v="1484363.35"/>
  </r>
  <r>
    <x v="7"/>
    <s v="6012 - DEFESA NACIONAL"/>
    <x v="278"/>
    <n v="144282.18"/>
    <n v="116410.43"/>
    <n v="92057.56"/>
  </r>
  <r>
    <x v="7"/>
    <s v="2204 - BRASIL NA FRONTEIRA DO CONHECIMENTO"/>
    <x v="540"/>
    <n v="1644654"/>
    <n v="125519.36"/>
    <n v="125519.36"/>
  </r>
  <r>
    <x v="7"/>
    <s v="6011 - COOPERACAO COM O DESENVOLVIMENTO NACIONAL"/>
    <x v="733"/>
    <n v="19766343.75"/>
    <n v="36354268.460000001"/>
    <n v="41614302.409999996"/>
  </r>
  <r>
    <x v="7"/>
    <s v="3002 - GEOLOGIA, MINERACAO E TRANSFORMACAO MINERAL"/>
    <x v="607"/>
    <n v="747894.58"/>
    <n v="1156620.23"/>
    <n v="1104249.78"/>
  </r>
  <r>
    <x v="7"/>
    <s v="2212 - MELHORIA DO AMBIENTE DE NEGOCIOS E DA PRODUTIVIDADE"/>
    <x v="979"/>
    <n v="35000"/>
    <n v="1261.92"/>
    <n v="281.83"/>
  </r>
  <r>
    <x v="7"/>
    <s v="2217 - DESENVOLVIMENTO REGIONAL, TERRITORIAL E URBANO"/>
    <x v="757"/>
    <n v="742036893.83000004"/>
    <n v="9680985.6199999992"/>
    <n v="8889903.5299999993"/>
  </r>
  <r>
    <x v="7"/>
    <s v="0617 - PROTECAO E PROMOCAO DOS DIREITOS DOS POVOS INDIGENAS"/>
    <x v="776"/>
    <n v="3974065.74"/>
    <n v="2317756.63"/>
    <n v="2253513.14"/>
  </r>
  <r>
    <x v="7"/>
    <s v="5015 - JUSTICA"/>
    <x v="308"/>
    <n v="8919592.8200000003"/>
    <n v="2427806.48"/>
    <n v="2246172.34"/>
  </r>
  <r>
    <x v="7"/>
    <s v="6012 - DEFESA NACIONAL"/>
    <x v="500"/>
    <n v="-88121887.819999993"/>
    <n v="19187962.579999998"/>
    <n v="18517576.469999999"/>
  </r>
  <r>
    <x v="7"/>
    <s v="0032 - PROGRAMA DE GESTAO E MANUTENCAO DO PODER EXECUTIVO"/>
    <x v="495"/>
    <n v="13457003.960000001"/>
    <n v="24820325.690000001"/>
    <n v="25939646.18"/>
  </r>
  <r>
    <x v="7"/>
    <s v="2204 - BRASIL NA FRONTEIRA DO CONHECIMENTO"/>
    <x v="598"/>
    <n v="2673084.59"/>
    <n v="46870146.270000003"/>
    <n v="50197821.119999997"/>
  </r>
  <r>
    <x v="7"/>
    <s v="1058 - MUDANCA DO CLIMA"/>
    <x v="567"/>
    <n v="2640986.19"/>
    <n v="1171865.55"/>
    <n v="1060177.6000000001"/>
  </r>
  <r>
    <x v="7"/>
    <s v="0032 - PROGRAMA DE GESTAO E MANUTENCAO DO PODER EXECUTIVO"/>
    <x v="628"/>
    <n v="76757086.310000002"/>
    <n v="10188915.630000001"/>
    <n v="46653656.619999997"/>
  </r>
  <r>
    <x v="7"/>
    <s v="0032 - PROGRAMA DE GESTAO E MANUTENCAO DO PODER EXECUTIVO"/>
    <x v="493"/>
    <n v="10150000"/>
    <n v="0"/>
    <n v="138236463.08000001"/>
  </r>
  <r>
    <x v="7"/>
    <s v="5026 - ESPORTE"/>
    <x v="92"/>
    <n v="0"/>
    <n v="11754428"/>
    <n v="11754428"/>
  </r>
  <r>
    <x v="7"/>
    <s v="1040 - GOVERNANCA FUNDIARIA"/>
    <x v="585"/>
    <n v="392969.45"/>
    <n v="340873.7"/>
    <n v="284100.09000000003"/>
  </r>
  <r>
    <x v="7"/>
    <s v="2214 - NOVA PREVIDENCIA"/>
    <x v="523"/>
    <n v="18652.75"/>
    <n v="40557.599999999999"/>
    <n v="37690.239999999998"/>
  </r>
  <r>
    <x v="7"/>
    <s v="2209 - BRASIL, NOSSO PROPOSITO"/>
    <x v="137"/>
    <n v="101000"/>
    <n v="40016.83"/>
    <n v="3597.53"/>
  </r>
  <r>
    <x v="7"/>
    <s v="5016 - SEGURANCA PUBLICA, COMBATE A CORRUPCAO, AO CRIME ORGANIZADO E AO CRIME VIOLENTO"/>
    <x v="439"/>
    <n v="2339520.2599999998"/>
    <n v="286507.17"/>
    <n v="299744.05"/>
  </r>
  <r>
    <x v="7"/>
    <s v="2222 - SANEAMENTO BASICO"/>
    <x v="150"/>
    <n v="25255637.649999999"/>
    <n v="2503681.39"/>
    <n v="2503681.39"/>
  </r>
  <r>
    <x v="7"/>
    <s v="3006 - TRANSPORTE TERRESTRE E TRANSITO"/>
    <x v="421"/>
    <n v="22820586.800000001"/>
    <n v="6105682.6799999997"/>
    <n v="5763508.1799999997"/>
  </r>
  <r>
    <x v="7"/>
    <s v="3006 - TRANSPORTE TERRESTRE E TRANSITO"/>
    <x v="835"/>
    <n v="0"/>
    <n v="68538.11"/>
    <n v="8533"/>
  </r>
  <r>
    <x v="7"/>
    <s v="0032 - PROGRAMA DE GESTAO E MANUTENCAO DO PODER EXECUTIVO"/>
    <x v="383"/>
    <n v="543680684.51999998"/>
    <n v="545443220.57000005"/>
    <n v="2590915167.6599998"/>
  </r>
  <r>
    <x v="7"/>
    <s v="2216 - POLITICA EXTERNA"/>
    <x v="583"/>
    <n v="1213068.27"/>
    <n v="4570847.8"/>
    <n v="4266188.46"/>
  </r>
  <r>
    <x v="7"/>
    <s v="5026 - ESPORTE"/>
    <x v="533"/>
    <n v="10429924.82"/>
    <n v="6289766.2000000002"/>
    <n v="3541622.4"/>
  </r>
  <r>
    <x v="7"/>
    <s v="5025 - CULTURA"/>
    <x v="271"/>
    <n v="1381147.81"/>
    <n v="40709.99"/>
    <n v="21359.919999999998"/>
  </r>
  <r>
    <x v="7"/>
    <s v="5013 - EDUCACAO SUPERIOR - GRADUACAO, POS-GRADUACAO, ENSINO, PESQUISA E EXTENSAO"/>
    <x v="850"/>
    <n v="0"/>
    <n v="0"/>
    <n v="0"/>
  </r>
  <r>
    <x v="7"/>
    <s v="5031 - PROTECAO SOCIAL NO AMBITO DO SISTEMA UNICO DE ASSISTENCIA SOCIAL (SUAS)"/>
    <x v="197"/>
    <n v="0"/>
    <n v="246808.62"/>
    <n v="242848.09"/>
  </r>
  <r>
    <x v="7"/>
    <s v="6012 - DEFESA NACIONAL"/>
    <x v="639"/>
    <n v="34394506.25"/>
    <n v="108388976.03"/>
    <n v="106196262.45999999"/>
  </r>
  <r>
    <x v="7"/>
    <s v="5031 - PROTECAO SOCIAL NO AMBITO DO SISTEMA UNICO DE ASSISTENCIA SOCIAL (SUAS)"/>
    <x v="572"/>
    <n v="1100000"/>
    <n v="401727379.30000001"/>
    <n v="2978581719.5799999"/>
  </r>
  <r>
    <x v="7"/>
    <s v="5033 - SEGURANCA ALIMENTAR E NUTRICIONAL"/>
    <x v="557"/>
    <n v="-607575.03"/>
    <n v="2075738.67"/>
    <n v="575231.99"/>
  </r>
  <r>
    <x v="7"/>
    <s v="2221 - RECURSOS HIDRICOS"/>
    <x v="424"/>
    <n v="229647.3"/>
    <n v="226234.55"/>
    <n v="201826.04"/>
  </r>
  <r>
    <x v="7"/>
    <s v="1040 - GOVERNANCA FUNDIARIA"/>
    <x v="81"/>
    <n v="149534.18"/>
    <n v="59120.65"/>
    <n v="63281.42"/>
  </r>
  <r>
    <x v="7"/>
    <s v="5026 - ESPORTE"/>
    <x v="794"/>
    <n v="450000"/>
    <n v="350000"/>
    <n v="350000"/>
  </r>
  <r>
    <x v="7"/>
    <s v="6011 - COOPERACAO COM O DESENVOLVIMENTO NACIONAL"/>
    <x v="1063"/>
    <n v="3474587.72"/>
    <n v="8847952.1300000008"/>
    <n v="14700181.48"/>
  </r>
  <r>
    <x v="7"/>
    <s v="2027 - CULTURA: DIMENSAO ESSENCIAL DO DESENVOLVIMENTO"/>
    <x v="753"/>
    <n v="0"/>
    <n v="0"/>
    <n v="0"/>
  </r>
  <r>
    <x v="7"/>
    <s v="0617 - PROTECAO E PROMOCAO DOS DIREITOS DOS POVOS INDIGENAS"/>
    <x v="725"/>
    <n v="814843.84"/>
    <n v="5124877.32"/>
    <n v="8606640.9299999997"/>
  </r>
  <r>
    <x v="7"/>
    <s v="2208 - TECNOLOGIAS APLICADAS, INOVACAO E DESENVOLVIMENTO SUSTENTAVEL"/>
    <x v="823"/>
    <n v="0"/>
    <n v="0"/>
    <n v="0"/>
  </r>
  <r>
    <x v="7"/>
    <s v="2212 - MELHORIA DO AMBIENTE DE NEGOCIOS E DA PRODUTIVIDADE"/>
    <x v="99"/>
    <n v="65000"/>
    <n v="32659.21"/>
    <n v="15551.11"/>
  </r>
  <r>
    <x v="7"/>
    <s v="5015 - JUSTICA"/>
    <x v="690"/>
    <n v="9211876.5500000007"/>
    <n v="286397.83"/>
    <n v="1073142.78"/>
  </r>
  <r>
    <x v="7"/>
    <s v="2080 - EDUCACAO DE QUALIDADE PARA TODOS"/>
    <x v="184"/>
    <n v="0"/>
    <n v="0"/>
    <n v="0"/>
  </r>
  <r>
    <x v="7"/>
    <s v="0032 - PROGRAMA DE GESTAO E MANUTENCAO DO PODER EXECUTIVO"/>
    <x v="552"/>
    <n v="105985.1"/>
    <n v="124614.65"/>
    <n v="54844.21"/>
  </r>
  <r>
    <x v="7"/>
    <s v="6012 - DEFESA NACIONAL"/>
    <x v="870"/>
    <n v="5224999.33"/>
    <n v="578488.49"/>
    <n v="215831.31"/>
  </r>
  <r>
    <x v="7"/>
    <s v="2216 - POLITICA EXTERNA"/>
    <x v="781"/>
    <n v="25588094.260000002"/>
    <n v="49321568.619999997"/>
    <n v="49897442.840000004"/>
  </r>
  <r>
    <x v="7"/>
    <s v="5013 - EDUCACAO SUPERIOR - GRADUACAO, POS-GRADUACAO, ENSINO, PESQUISA E EXTENSAO"/>
    <x v="129"/>
    <n v="62339486"/>
    <n v="24048622.300000001"/>
    <n v="24262270.27"/>
  </r>
  <r>
    <x v="7"/>
    <s v="0910 - OPERACOES ESPECIAIS: GESTAO DA PARTICIPACAO EM ORGANISMOS E ENTIDADES NACIONAIS E INTERNACIONAIS"/>
    <x v="369"/>
    <n v="1410243.86"/>
    <n v="2038047.09"/>
    <n v="2138327.13"/>
  </r>
  <r>
    <x v="7"/>
    <s v="2206 - POLITICA NUCLEAR"/>
    <x v="627"/>
    <n v="139552.75"/>
    <n v="13118"/>
    <n v="19758"/>
  </r>
  <r>
    <x v="7"/>
    <s v="2217 - DESENVOLVIMENTO REGIONAL, TERRITORIAL E URBANO"/>
    <x v="632"/>
    <n v="0"/>
    <n v="0"/>
    <n v="0"/>
  </r>
  <r>
    <x v="7"/>
    <s v="6012 - DEFESA NACIONAL"/>
    <x v="717"/>
    <n v="377719.08"/>
    <n v="406863.11"/>
    <n v="321866.57"/>
  </r>
  <r>
    <x v="7"/>
    <s v="1031 - AGROPECUARIA SUSTENTAVEL"/>
    <x v="291"/>
    <n v="6659974.5999999996"/>
    <n v="1683063.52"/>
    <n v="604375.41"/>
  </r>
  <r>
    <x v="7"/>
    <s v="3005 - TRANSPORTE AQUAVIARIO"/>
    <x v="212"/>
    <n v="12936661.48"/>
    <n v="3204107.38"/>
    <n v="3134582.31"/>
  </r>
  <r>
    <x v="7"/>
    <s v="6012 - DEFESA NACIONAL"/>
    <x v="596"/>
    <n v="61178.98"/>
    <n v="865724.42"/>
    <n v="807749.53"/>
  </r>
  <r>
    <x v="7"/>
    <s v="2203 - PESQUISA E INOVACAO AGROPECUARIA"/>
    <x v="270"/>
    <n v="35639920.32"/>
    <n v="14548221.83"/>
    <n v="12648502.23"/>
  </r>
  <r>
    <x v="7"/>
    <s v="0909 - OPERACOES ESPECIAIS: OUTROS ENCARGOS ESPECIAIS"/>
    <x v="616"/>
    <n v="219747"/>
    <n v="2981.7"/>
    <n v="31771911.079999998"/>
  </r>
  <r>
    <x v="7"/>
    <s v="0032 - PROGRAMA DE GESTAO E MANUTENCAO DO PODER EXECUTIVO"/>
    <x v="795"/>
    <n v="14798453.43"/>
    <n v="5380344.9199999999"/>
    <n v="5877771.3600000003"/>
  </r>
  <r>
    <x v="7"/>
    <s v="2218 - GESTAO DE RISCOS E DE DESASTRES"/>
    <x v="716"/>
    <n v="106456.51"/>
    <n v="110284.47"/>
    <n v="133291.72"/>
  </r>
  <r>
    <x v="7"/>
    <s v="5013 - EDUCACAO SUPERIOR - GRADUACAO, POS-GRADUACAO, ENSINO, PESQUISA E EXTENSAO"/>
    <x v="504"/>
    <n v="19031768.399999999"/>
    <n v="13655991.609999999"/>
    <n v="25679994.07"/>
  </r>
  <r>
    <x v="7"/>
    <s v="0032 - PROGRAMA DE GESTAO E MANUTENCAO DO PODER EXECUTIVO"/>
    <x v="489"/>
    <n v="16499990.23"/>
    <n v="45144499.539999999"/>
    <n v="104936795.66"/>
  </r>
  <r>
    <x v="7"/>
    <s v="2204 - BRASIL NA FRONTEIRA DO CONHECIMENTO"/>
    <x v="680"/>
    <n v="2538748.5499999998"/>
    <n v="1849949.85"/>
    <n v="1816040.28"/>
  </r>
  <r>
    <x v="7"/>
    <s v="6012 - DEFESA NACIONAL"/>
    <x v="746"/>
    <n v="2497328.5699999998"/>
    <n v="1132479.31"/>
    <n v="551299.13"/>
  </r>
  <r>
    <x v="7"/>
    <s v="5020 - DESENVOLVIMENTO CIENTIFICO, TECNOLOGICO E PRODUTIVO EM SAUDE"/>
    <x v="579"/>
    <n v="28973535.890000001"/>
    <n v="51988585.649999999"/>
    <n v="32354854.920000002"/>
  </r>
  <r>
    <x v="7"/>
    <s v="6012 - DEFESA NACIONAL"/>
    <x v="773"/>
    <n v="2379613.67"/>
    <n v="8444816.2300000004"/>
    <n v="6961914.9400000004"/>
  </r>
  <r>
    <x v="7"/>
    <s v="2215 - POLITICA ECONOMICA E EQUILIBRIO FISCAL"/>
    <x v="661"/>
    <n v="748.17"/>
    <n v="13816674.6"/>
    <n v="13111100.73"/>
  </r>
  <r>
    <x v="7"/>
    <s v="6012 - DEFESA NACIONAL"/>
    <x v="525"/>
    <n v="1927842.62"/>
    <n v="2174053.17"/>
    <n v="1891193.18"/>
  </r>
  <r>
    <x v="7"/>
    <s v="2204 - BRASIL NA FRONTEIRA DO CONHECIMENTO"/>
    <x v="11"/>
    <n v="3586716.8"/>
    <n v="1621797.88"/>
    <n v="1502080.54"/>
  </r>
  <r>
    <x v="7"/>
    <s v="2209 - BRASIL, NOSSO PROPOSITO"/>
    <x v="428"/>
    <n v="104406.92"/>
    <n v="141766.43"/>
    <n v="133984.46"/>
  </r>
  <r>
    <x v="7"/>
    <s v="1031 - AGROPECUARIA SUSTENTAVEL"/>
    <x v="452"/>
    <n v="3071661.72"/>
    <n v="939058.14"/>
    <n v="1201124.1200000001"/>
  </r>
  <r>
    <x v="7"/>
    <s v="0901 - OPERACOES ESPECIAIS: CUMPRIMENTO DE SENTENCAS JUDICIAIS"/>
    <x v="629"/>
    <n v="28228337.59"/>
    <n v="19113811.23"/>
    <n v="18258104.75"/>
  </r>
  <r>
    <x v="7"/>
    <s v="0032 - PROGRAMA DE GESTAO E MANUTENCAO DO PODER EXECUTIVO"/>
    <x v="644"/>
    <n v="9512315.0700000003"/>
    <n v="2790106.62"/>
    <n v="3399836.32"/>
  </r>
  <r>
    <x v="7"/>
    <s v="5021 - GESTAO E ORGANIZACAO DO SUS"/>
    <x v="507"/>
    <n v="28598327.280000001"/>
    <n v="148133597.59"/>
    <n v="150326259.97"/>
  </r>
  <r>
    <x v="7"/>
    <s v="5011 - EDUCACAO BASICA DE QUALIDADE"/>
    <x v="875"/>
    <n v="6180535.04"/>
    <n v="2107460.04"/>
    <n v="213443.05"/>
  </r>
  <r>
    <x v="7"/>
    <s v="2217 - DESENVOLVIMENTO REGIONAL, TERRITORIAL E URBANO"/>
    <x v="322"/>
    <n v="985000"/>
    <n v="19741.599999999999"/>
    <n v="18779.5"/>
  </r>
  <r>
    <x v="7"/>
    <s v="0032 - PROGRAMA DE GESTAO E MANUTENCAO DO PODER EXECUTIVO"/>
    <x v="791"/>
    <n v="483975606.82999998"/>
    <n v="9790532.4800000004"/>
    <n v="10822818528.629999"/>
  </r>
  <r>
    <x v="7"/>
    <s v="6012 - DEFESA NACIONAL"/>
    <x v="726"/>
    <n v="-18736218.010000002"/>
    <n v="5701206.6799999997"/>
    <n v="19332943.789999999"/>
  </r>
  <r>
    <x v="7"/>
    <s v="0032 - PROGRAMA DE GESTAO E MANUTENCAO DO PODER EXECUTIVO"/>
    <x v="779"/>
    <n v="573887.73"/>
    <n v="433783.99"/>
    <n v="791701.8"/>
  </r>
  <r>
    <x v="7"/>
    <s v="6012 - DEFESA NACIONAL"/>
    <x v="98"/>
    <n v="755816.45"/>
    <n v="417909.88"/>
    <n v="30059.08"/>
  </r>
  <r>
    <x v="7"/>
    <s v="2080 - EDUCACAO DE QUALIDADE PARA TODOS"/>
    <x v="436"/>
    <n v="0"/>
    <n v="0"/>
    <n v="0"/>
  </r>
  <r>
    <x v="7"/>
    <s v="5033 - SEGURANCA ALIMENTAR E NUTRICIONAL"/>
    <x v="792"/>
    <n v="8212880.9100000001"/>
    <n v="1656570.43"/>
    <n v="1025918.34"/>
  </r>
  <r>
    <x v="7"/>
    <s v="2218 - GESTAO DE RISCOS E DE DESASTRES"/>
    <x v="786"/>
    <n v="71625836.689999998"/>
    <n v="73417691.150000006"/>
    <n v="98586996.359999999"/>
  </r>
  <r>
    <x v="7"/>
    <s v="0032 - PROGRAMA DE GESTAO E MANUTENCAO DO PODER EXECUTIVO"/>
    <x v="40"/>
    <n v="5535538.5700000003"/>
    <n v="2958742.84"/>
    <n v="5198455.99"/>
  </r>
  <r>
    <x v="7"/>
    <s v="1031 - AGROPECUARIA SUSTENTAVEL"/>
    <x v="608"/>
    <n v="542036.52"/>
    <n v="1263438.6000000001"/>
    <n v="1364225.6"/>
  </r>
  <r>
    <x v="7"/>
    <s v="5016 - SEGURANCA PUBLICA, COMBATE A CORRUPCAO, AO CRIME ORGANIZADO E AO CRIME VIOLENTO"/>
    <x v="785"/>
    <n v="32319062.670000002"/>
    <n v="28351247.239999998"/>
    <n v="35114728.729999997"/>
  </r>
  <r>
    <x v="7"/>
    <s v="6011 - COOPERACAO COM O DESENVOLVIMENTO NACIONAL"/>
    <x v="55"/>
    <n v="480515.3"/>
    <n v="12544.85"/>
    <n v="5600"/>
  </r>
  <r>
    <x v="7"/>
    <s v="6012 - DEFESA NACIONAL"/>
    <x v="768"/>
    <n v="20095910.91"/>
    <n v="8301602.1699999999"/>
    <n v="7557537.9500000002"/>
  </r>
  <r>
    <x v="7"/>
    <s v="2201 - BRASIL MODERNIZA"/>
    <x v="209"/>
    <n v="2360234.2599999998"/>
    <n v="8676055.0099999998"/>
    <n v="3187489.23"/>
  </r>
  <r>
    <x v="7"/>
    <s v="6012 - DEFESA NACIONAL"/>
    <x v="676"/>
    <n v="2256452"/>
    <n v="2648921.7999999998"/>
    <n v="2099192.4900000002"/>
  </r>
  <r>
    <x v="7"/>
    <s v="2221 - RECURSOS HIDRICOS"/>
    <x v="669"/>
    <n v="2085960.36"/>
    <n v="3885237.06"/>
    <n v="3701916.7"/>
  </r>
  <r>
    <x v="7"/>
    <s v="2218 - GESTAO DE RISCOS E DE DESASTRES"/>
    <x v="1075"/>
    <n v="0"/>
    <n v="0"/>
    <n v="0"/>
  </r>
  <r>
    <x v="7"/>
    <s v="3002 - GEOLOGIA, MINERACAO E TRANSFORMACAO MINERAL"/>
    <x v="743"/>
    <n v="517327.66"/>
    <n v="634257.38"/>
    <n v="625123.43999999994"/>
  </r>
  <r>
    <x v="7"/>
    <s v="6012 - DEFESA NACIONAL"/>
    <x v="739"/>
    <n v="11135544.01"/>
    <n v="9084763.9199999999"/>
    <n v="6695717.8200000003"/>
  </r>
  <r>
    <x v="7"/>
    <s v="2204 - BRASIL NA FRONTEIRA DO CONHECIMENTO"/>
    <x v="37"/>
    <n v="148000"/>
    <n v="0"/>
    <n v="0"/>
  </r>
  <r>
    <x v="7"/>
    <s v="6012 - DEFESA NACIONAL"/>
    <x v="589"/>
    <n v="2542140.29"/>
    <n v="685560.44"/>
    <n v="587095.98"/>
  </r>
  <r>
    <x v="7"/>
    <s v="5013 - EDUCACAO SUPERIOR - GRADUACAO, POS-GRADUACAO, ENSINO, PESQUISA E EXTENSAO"/>
    <x v="762"/>
    <n v="30323793.789999999"/>
    <n v="32371616.32"/>
    <n v="49421123.340000004"/>
  </r>
  <r>
    <x v="7"/>
    <s v="2209 - BRASIL, NOSSO PROPOSITO"/>
    <x v="750"/>
    <n v="4279441.8600000003"/>
    <n v="2236751.9900000002"/>
    <n v="4071128.42"/>
  </r>
  <r>
    <x v="7"/>
    <s v="5022 - PROTECAO, PROMOCAO E RECUPERACAO DA SAUDE INDIGENA"/>
    <x v="692"/>
    <n v="22138890.920000002"/>
    <n v="126065267"/>
    <n v="122753839.29000001"/>
  </r>
  <r>
    <x v="7"/>
    <s v="0033 - PROGRAMA DE GESTAO E MANUTENCAO DO PODER JUDICIARIO"/>
    <x v="547"/>
    <n v="0"/>
    <n v="0"/>
    <n v="0"/>
  </r>
  <r>
    <x v="7"/>
    <s v="1031 - AGROPECUARIA SUSTENTAVEL"/>
    <x v="723"/>
    <n v="25345126.93"/>
    <n v="15970709.48"/>
    <n v="11192896.43"/>
  </r>
  <r>
    <x v="7"/>
    <s v="5013 - EDUCACAO SUPERIOR - GRADUACAO, POS-GRADUACAO, ENSINO, PESQUISA E EXTENSAO"/>
    <x v="798"/>
    <n v="39601584.729999997"/>
    <n v="38812292.829999998"/>
    <n v="64599672.140000001"/>
  </r>
  <r>
    <x v="7"/>
    <s v="5021 - GESTAO E ORGANIZACAO DO SUS"/>
    <x v="157"/>
    <n v="1504.5"/>
    <n v="20828.13"/>
    <n v="16251.32"/>
  </r>
  <r>
    <x v="7"/>
    <s v="1043 - QUALIDADE AMBIENTAL URBANA"/>
    <x v="72"/>
    <n v="2111945.25"/>
    <n v="146547.5"/>
    <n v="146265.67000000001"/>
  </r>
  <r>
    <x v="7"/>
    <s v="5013 - EDUCACAO SUPERIOR - GRADUACAO, POS-GRADUACAO, ENSINO, PESQUISA E EXTENSAO"/>
    <x v="184"/>
    <n v="2195224.89"/>
    <n v="838691.74"/>
    <n v="1237192.3"/>
  </r>
  <r>
    <x v="7"/>
    <s v="2204 - BRASIL NA FRONTEIRA DO CONHECIMENTO"/>
    <x v="674"/>
    <n v="486593"/>
    <n v="0"/>
    <n v="0"/>
  </r>
  <r>
    <x v="7"/>
    <s v="6012 - DEFESA NACIONAL"/>
    <x v="655"/>
    <n v="215540.39"/>
    <n v="143288.57999999999"/>
    <n v="143047.67000000001"/>
  </r>
  <r>
    <x v="7"/>
    <s v="6012 - DEFESA NACIONAL"/>
    <x v="273"/>
    <n v="51102.99"/>
    <n v="1528294.88"/>
    <n v="1631949.73"/>
  </r>
  <r>
    <x v="7"/>
    <s v="6012 - DEFESA NACIONAL"/>
    <x v="741"/>
    <n v="10341765.92"/>
    <n v="10390259.359999999"/>
    <n v="7838539.04"/>
  </r>
  <r>
    <x v="7"/>
    <s v="6012 - DEFESA NACIONAL"/>
    <x v="788"/>
    <n v="110808407.70999999"/>
    <n v="78736088.340000004"/>
    <n v="102455684.37"/>
  </r>
  <r>
    <x v="7"/>
    <s v="5019 - ATENCAO PRIMARIA A SAUDE"/>
    <x v="730"/>
    <n v="43000000"/>
    <n v="42812483.009999998"/>
    <n v="317238021.87"/>
  </r>
  <r>
    <x v="7"/>
    <s v="5012 - EDUCACAO PROFISSIONAL E TECNOLOGICA"/>
    <x v="682"/>
    <n v="34304529.539999999"/>
    <n v="13226587.92"/>
    <n v="14795288.859999999"/>
  </r>
  <r>
    <x v="7"/>
    <s v="5011 - EDUCACAO BASICA DE QUALIDADE"/>
    <x v="752"/>
    <n v="5240433.28"/>
    <n v="3752287.81"/>
    <n v="3989647.99"/>
  </r>
  <r>
    <x v="7"/>
    <s v="5032 - REDE DE SUPORTE SOCIAL AO DEPENDENTE QUIMICO: CUIDADOS,PREVENCAO E REINSERCAO SOCIAL"/>
    <x v="631"/>
    <n v="4330146.8499999996"/>
    <n v="15729648.470000001"/>
    <n v="14392299.48"/>
  </r>
  <r>
    <x v="7"/>
    <s v="5013 - EDUCACAO SUPERIOR - GRADUACAO, POS-GRADUACAO, ENSINO, PESQUISA E EXTENSAO"/>
    <x v="784"/>
    <n v="53832627.399999999"/>
    <n v="53669757.579999998"/>
    <n v="120635574.7"/>
  </r>
  <r>
    <x v="7"/>
    <s v="6012 - DEFESA NACIONAL"/>
    <x v="637"/>
    <n v="227098.51"/>
    <n v="854973.26"/>
    <n v="800769.15"/>
  </r>
  <r>
    <x v="7"/>
    <s v="6011 - COOPERACAO COM O DESENVOLVIMENTO NACIONAL"/>
    <x v="662"/>
    <n v="2078874.21"/>
    <n v="3304795.46"/>
    <n v="2502535.33"/>
  </r>
  <r>
    <x v="7"/>
    <s v="6012 - DEFESA NACIONAL"/>
    <x v="761"/>
    <n v="2299948.81"/>
    <n v="2345133.71"/>
    <n v="2466242.29"/>
  </r>
  <r>
    <x v="7"/>
    <s v="6012 - DEFESA NACIONAL"/>
    <x v="758"/>
    <n v="7943679.1500000004"/>
    <n v="12216966.18"/>
    <n v="9657508.1400000006"/>
  </r>
  <r>
    <x v="7"/>
    <s v="6012 - DEFESA NACIONAL"/>
    <x v="279"/>
    <n v="105496.68"/>
    <n v="1419.58"/>
    <n v="8028.03"/>
  </r>
  <r>
    <x v="7"/>
    <s v="6011 - COOPERACAO COM O DESENVOLVIMENTO NACIONAL"/>
    <x v="701"/>
    <n v="374769.63"/>
    <n v="261069.51"/>
    <n v="234184.37"/>
  </r>
  <r>
    <x v="7"/>
    <s v="0032 - PROGRAMA DE GESTAO E MANUTENCAO DO PODER EXECUTIVO"/>
    <x v="770"/>
    <n v="42920537.100000001"/>
    <n v="33763063.159999996"/>
    <n v="48456040.350000001"/>
  </r>
  <r>
    <x v="7"/>
    <s v="2213 - MODERNIZACAO TRABALHISTA E TRABALHO DIGNO"/>
    <x v="534"/>
    <n v="981912.11"/>
    <n v="1967507.9"/>
    <n v="2125943.9500000002"/>
  </r>
  <r>
    <x v="7"/>
    <s v="3006 - TRANSPORTE TERRESTRE E TRANSITO"/>
    <x v="510"/>
    <n v="0"/>
    <n v="0"/>
    <n v="0"/>
  </r>
  <r>
    <x v="7"/>
    <s v="5018 - ATENCAO ESPECIALIZADA A SAUDE"/>
    <x v="437"/>
    <n v="896412016.25"/>
    <n v="9041373488.4599991"/>
    <n v="8908578591.4500008"/>
  </r>
  <r>
    <x v="7"/>
    <s v="0032 - PROGRAMA DE GESTAO E MANUTENCAO DO PODER EXECUTIVO"/>
    <x v="679"/>
    <n v="1187.54"/>
    <n v="363708.56"/>
    <n v="361652.36"/>
  </r>
  <r>
    <x v="7"/>
    <s v="5013 - EDUCACAO SUPERIOR - GRADUACAO, POS-GRADUACAO, ENSINO, PESQUISA E EXTENSAO"/>
    <x v="769"/>
    <n v="313652731.24000001"/>
    <n v="278541924.85000002"/>
    <n v="380880505.93000001"/>
  </r>
  <r>
    <x v="7"/>
    <s v="5011 - EDUCACAO BASICA DE QUALIDADE"/>
    <x v="188"/>
    <n v="327442781.55000001"/>
    <n v="613258835.51999998"/>
    <n v="613041432.30999994"/>
  </r>
  <r>
    <x v="7"/>
    <s v="3002 - GEOLOGIA, MINERACAO E TRANSFORMACAO MINERAL"/>
    <x v="665"/>
    <n v="1150646.52"/>
    <n v="1401589.1"/>
    <n v="1165697.21"/>
  </r>
  <r>
    <x v="7"/>
    <s v="0910 - OPERACOES ESPECIAIS: GESTAO DA PARTICIPACAO EM ORGANISMOS E ENTIDADES NACIONAIS E INTERNACIONAIS"/>
    <x v="693"/>
    <n v="433307.45"/>
    <n v="423868.59"/>
    <n v="388666.93"/>
  </r>
  <r>
    <x v="7"/>
    <s v="2222 - SANEAMENTO BASICO"/>
    <x v="904"/>
    <n v="42100"/>
    <n v="22637.9"/>
    <n v="26575.75"/>
  </r>
  <r>
    <x v="7"/>
    <s v="5012 - EDUCACAO PROFISSIONAL E TECNOLOGICA"/>
    <x v="759"/>
    <n v="3790355.43"/>
    <n v="2731951.85"/>
    <n v="3761425.77"/>
  </r>
  <r>
    <x v="7"/>
    <s v="1041 - CONSERVACAO E USO SUSTENTAVEL DA BIODIVERSIDADE E DOS RECURSOS NATURAIS"/>
    <x v="568"/>
    <n v="-5380.33"/>
    <n v="491909.27"/>
    <n v="433445.01"/>
  </r>
  <r>
    <x v="7"/>
    <s v="5012 - EDUCACAO PROFISSIONAL E TECNOLOGICA"/>
    <x v="526"/>
    <n v="33600526.079999998"/>
    <n v="2813568.66"/>
    <n v="4554573.3899999997"/>
  </r>
  <r>
    <x v="7"/>
    <s v="4004 - TRANSPARENCIA, INTEGRIDADE E COMBATE A CORRUPCAO"/>
    <x v="715"/>
    <n v="14197020.07"/>
    <n v="7616274.8799999999"/>
    <n v="6995352.5499999998"/>
  </r>
  <r>
    <x v="7"/>
    <s v="5016 - SEGURANCA PUBLICA, COMBATE A CORRUPCAO, AO CRIME ORGANIZADO E AO CRIME VIOLENTO"/>
    <x v="703"/>
    <n v="21913128.289999999"/>
    <n v="28690561.260000002"/>
    <n v="29078872.460000001"/>
  </r>
  <r>
    <x v="7"/>
    <s v="6012 - DEFESA NACIONAL"/>
    <x v="130"/>
    <n v="11750725.619999999"/>
    <n v="3986918.58"/>
    <n v="2412599.5099999998"/>
  </r>
  <r>
    <x v="7"/>
    <s v="1031 - AGROPECUARIA SUSTENTAVEL"/>
    <x v="824"/>
    <n v="20030"/>
    <n v="322808.07"/>
    <n v="322808.07"/>
  </r>
  <r>
    <x v="7"/>
    <s v="0909 - OPERACOES ESPECIAIS: OUTROS ENCARGOS ESPECIAIS"/>
    <x v="766"/>
    <n v="-687554.54"/>
    <n v="1139544.23"/>
    <n v="112985010.37"/>
  </r>
  <r>
    <x v="7"/>
    <s v="5012 - EDUCACAO PROFISSIONAL E TECNOLOGICA"/>
    <x v="454"/>
    <n v="33671361.399999999"/>
    <n v="35263006.740000002"/>
    <n v="49474176.409999996"/>
  </r>
  <r>
    <x v="7"/>
    <s v="6012 - DEFESA NACIONAL"/>
    <x v="25"/>
    <n v="32520696.129999999"/>
    <n v="10013152.73"/>
    <n v="8925617.2100000009"/>
  </r>
  <r>
    <x v="7"/>
    <s v="1031 - AGROPECUARIA SUSTENTAVEL"/>
    <x v="660"/>
    <n v="360545.54"/>
    <n v="1511246.99"/>
    <n v="1197821.55"/>
  </r>
  <r>
    <x v="7"/>
    <s v="5012 - EDUCACAO PROFISSIONAL E TECNOLOGICA"/>
    <x v="365"/>
    <n v="90383338.099999994"/>
    <n v="123214886.44"/>
    <n v="151354868.36000001"/>
  </r>
  <r>
    <x v="7"/>
    <s v="0032 - PROGRAMA DE GESTAO E MANUTENCAO DO PODER EXECUTIVO"/>
    <x v="709"/>
    <n v="92408292.599999994"/>
    <n v="5549733.7000000002"/>
    <n v="6010878.5099999998"/>
  </r>
  <r>
    <x v="7"/>
    <s v="0032 - PROGRAMA DE GESTAO E MANUTENCAO DO PODER EXECUTIVO"/>
    <x v="782"/>
    <n v="1193061684.3900001"/>
    <n v="438742651.83999997"/>
    <n v="11891579453.190001"/>
  </r>
  <r>
    <x v="7"/>
    <s v="0032 - PROGRAMA DE GESTAO E MANUTENCAO DO PODER EXECUTIVO"/>
    <x v="52"/>
    <n v="754514333.5"/>
    <n v="664990956.08000004"/>
    <n v="643542648.17999995"/>
  </r>
  <r>
    <x v="7"/>
    <s v="5013 - EDUCACAO SUPERIOR - GRADUACAO, POS-GRADUACAO, ENSINO, PESQUISA E EXTENSAO"/>
    <x v="396"/>
    <n v="-85405996.290000007"/>
    <n v="37751584.75"/>
    <n v="478686912.52999997"/>
  </r>
  <r>
    <x v="7"/>
    <s v="0032 - PROGRAMA DE GESTAO E MANUTENCAO DO PODER EXECUTIVO"/>
    <x v="760"/>
    <n v="14059876.52"/>
    <n v="12326695.83"/>
    <n v="12608179.6"/>
  </r>
  <r>
    <x v="7"/>
    <s v="6012 - DEFESA NACIONAL"/>
    <x v="787"/>
    <n v="124141700.58"/>
    <n v="70273078.060000002"/>
    <n v="65406436.049999997"/>
  </r>
  <r>
    <x v="7"/>
    <s v="0032 - PROGRAMA DE GESTAO E MANUTENCAO DO PODER EXECUTIVO"/>
    <x v="114"/>
    <n v="265078685.27000001"/>
    <n v="306613659.08999997"/>
    <n v="557829316.04999995"/>
  </r>
  <r>
    <x v="7"/>
    <s v="0032 - PROGRAMA DE GESTAO E MANUTENCAO DO PODER EXECUTIVO"/>
    <x v="796"/>
    <n v="241301962.06999999"/>
    <n v="212441070.91999999"/>
    <n v="1199600933.93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E71B36-E68D-427B-B57D-1794A0DCF609}" name="Tabela dinâ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J1180" firstHeaderRow="1" firstDataRow="3" firstDataCol="1"/>
  <pivotFields count="7">
    <pivotField axis="axisCol" numFmtId="17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175">
        <item x="882"/>
        <item x="119"/>
        <item x="705"/>
        <item x="77"/>
        <item x="1026"/>
        <item x="1065"/>
        <item x="629"/>
        <item x="18"/>
        <item x="1140"/>
        <item x="60"/>
        <item x="24"/>
        <item x="146"/>
        <item x="619"/>
        <item x="64"/>
        <item x="43"/>
        <item x="28"/>
        <item x="401"/>
        <item x="9"/>
        <item x="1080"/>
        <item x="1011"/>
        <item x="990"/>
        <item x="298"/>
        <item x="993"/>
        <item x="1093"/>
        <item x="1047"/>
        <item x="1086"/>
        <item x="1037"/>
        <item x="1101"/>
        <item x="1155"/>
        <item x="962"/>
        <item x="253"/>
        <item x="371"/>
        <item x="822"/>
        <item x="1030"/>
        <item x="344"/>
        <item x="987"/>
        <item x="1009"/>
        <item x="1096"/>
        <item x="849"/>
        <item x="889"/>
        <item x="1110"/>
        <item x="928"/>
        <item x="1128"/>
        <item x="1173"/>
        <item x="1137"/>
        <item x="1106"/>
        <item x="368"/>
        <item x="982"/>
        <item x="614"/>
        <item x="161"/>
        <item x="214"/>
        <item x="572"/>
        <item x="380"/>
        <item x="21"/>
        <item x="555"/>
        <item x="514"/>
        <item x="1002"/>
        <item x="390"/>
        <item x="1098"/>
        <item x="183"/>
        <item x="88"/>
        <item x="181"/>
        <item x="490"/>
        <item x="650"/>
        <item x="731"/>
        <item x="264"/>
        <item x="244"/>
        <item x="1094"/>
        <item x="1104"/>
        <item x="457"/>
        <item x="128"/>
        <item x="578"/>
        <item x="135"/>
        <item x="432"/>
        <item x="821"/>
        <item x="600"/>
        <item x="1018"/>
        <item x="369"/>
        <item x="983"/>
        <item x="793"/>
        <item x="464"/>
        <item x="188"/>
        <item x="91"/>
        <item x="246"/>
        <item x="693"/>
        <item x="1014"/>
        <item x="670"/>
        <item x="765"/>
        <item x="409"/>
        <item x="505"/>
        <item x="1147"/>
        <item x="175"/>
        <item x="163"/>
        <item x="654"/>
        <item x="288"/>
        <item x="1067"/>
        <item x="606"/>
        <item x="63"/>
        <item x="447"/>
        <item x="1052"/>
        <item x="1120"/>
        <item x="179"/>
        <item x="1100"/>
        <item x="1071"/>
        <item x="1022"/>
        <item x="623"/>
        <item x="93"/>
        <item x="228"/>
        <item x="616"/>
        <item x="745"/>
        <item x="82"/>
        <item x="152"/>
        <item x="227"/>
        <item x="667"/>
        <item x="57"/>
        <item x="988"/>
        <item x="1156"/>
        <item x="1151"/>
        <item x="1056"/>
        <item x="923"/>
        <item x="112"/>
        <item x="757"/>
        <item x="944"/>
        <item x="427"/>
        <item x="712"/>
        <item x="456"/>
        <item x="1146"/>
        <item x="1006"/>
        <item x="1007"/>
        <item x="949"/>
        <item x="807"/>
        <item x="845"/>
        <item x="222"/>
        <item x="107"/>
        <item x="969"/>
        <item x="1165"/>
        <item x="1103"/>
        <item x="1075"/>
        <item x="361"/>
        <item x="126"/>
        <item x="150"/>
        <item x="1102"/>
        <item x="861"/>
        <item x="963"/>
        <item x="772"/>
        <item x="950"/>
        <item x="636"/>
        <item x="1033"/>
        <item x="145"/>
        <item x="402"/>
        <item x="846"/>
        <item x="314"/>
        <item x="351"/>
        <item x="904"/>
        <item x="1109"/>
        <item x="346"/>
        <item x="1127"/>
        <item x="1132"/>
        <item x="1159"/>
        <item x="1083"/>
        <item x="890"/>
        <item x="940"/>
        <item x="1038"/>
        <item x="1131"/>
        <item x="1138"/>
        <item x="44"/>
        <item x="729"/>
        <item x="791"/>
        <item x="1115"/>
        <item x="1012"/>
        <item x="966"/>
        <item x="215"/>
        <item x="491"/>
        <item x="306"/>
        <item x="158"/>
        <item x="70"/>
        <item x="323"/>
        <item x="347"/>
        <item x="1062"/>
        <item x="138"/>
        <item x="888"/>
        <item x="399"/>
        <item x="1167"/>
        <item x="48"/>
        <item x="15"/>
        <item x="448"/>
        <item x="942"/>
        <item x="802"/>
        <item x="783"/>
        <item x="1070"/>
        <item x="328"/>
        <item x="233"/>
        <item x="939"/>
        <item x="127"/>
        <item x="236"/>
        <item x="854"/>
        <item x="0"/>
        <item x="943"/>
        <item x="896"/>
        <item x="548"/>
        <item x="396"/>
        <item x="1105"/>
        <item x="436"/>
        <item x="1049"/>
        <item x="290"/>
        <item x="766"/>
        <item x="587"/>
        <item x="375"/>
        <item x="59"/>
        <item x="201"/>
        <item x="458"/>
        <item x="259"/>
        <item x="104"/>
        <item x="684"/>
        <item x="973"/>
        <item x="440"/>
        <item x="5"/>
        <item x="749"/>
        <item x="1003"/>
        <item x="113"/>
        <item x="976"/>
        <item x="937"/>
        <item x="1013"/>
        <item x="968"/>
        <item x="929"/>
        <item x="174"/>
        <item x="294"/>
        <item x="628"/>
        <item x="92"/>
        <item x="123"/>
        <item x="218"/>
        <item x="156"/>
        <item x="434"/>
        <item x="56"/>
        <item x="941"/>
        <item x="932"/>
        <item x="952"/>
        <item x="972"/>
        <item x="989"/>
        <item x="556"/>
        <item x="2"/>
        <item x="1166"/>
        <item x="865"/>
        <item x="36"/>
        <item x="959"/>
        <item x="305"/>
        <item x="960"/>
        <item x="860"/>
        <item x="420"/>
        <item x="262"/>
        <item x="280"/>
        <item x="1021"/>
        <item x="395"/>
        <item x="343"/>
        <item x="936"/>
        <item x="1028"/>
        <item x="844"/>
        <item x="360"/>
        <item x="416"/>
        <item x="980"/>
        <item x="635"/>
        <item x="392"/>
        <item x="133"/>
        <item x="1091"/>
        <item x="266"/>
        <item x="924"/>
        <item x="543"/>
        <item x="319"/>
        <item x="267"/>
        <item x="467"/>
        <item x="999"/>
        <item x="476"/>
        <item x="925"/>
        <item x="382"/>
        <item x="992"/>
        <item x="13"/>
        <item x="414"/>
        <item x="125"/>
        <item x="68"/>
        <item x="336"/>
        <item x="864"/>
        <item x="272"/>
        <item x="964"/>
        <item x="167"/>
        <item x="350"/>
        <item x="169"/>
        <item x="975"/>
        <item x="997"/>
        <item x="216"/>
        <item x="871"/>
        <item x="134"/>
        <item x="883"/>
        <item x="473"/>
        <item x="1024"/>
        <item x="499"/>
        <item x="391"/>
        <item x="500"/>
        <item x="638"/>
        <item x="863"/>
        <item x="241"/>
        <item x="485"/>
        <item x="359"/>
        <item x="348"/>
        <item x="1154"/>
        <item x="1079"/>
        <item x="155"/>
        <item x="178"/>
        <item x="232"/>
        <item x="287"/>
        <item x="1019"/>
        <item x="838"/>
        <item x="310"/>
        <item x="162"/>
        <item x="859"/>
        <item x="1039"/>
        <item x="1087"/>
        <item x="1152"/>
        <item x="1108"/>
        <item x="986"/>
        <item x="116"/>
        <item x="687"/>
        <item x="198"/>
        <item x="1029"/>
        <item x="851"/>
        <item x="881"/>
        <item x="1074"/>
        <item x="54"/>
        <item x="354"/>
        <item x="497"/>
        <item x="405"/>
        <item x="277"/>
        <item x="140"/>
        <item x="274"/>
        <item x="906"/>
        <item x="27"/>
        <item x="561"/>
        <item x="1054"/>
        <item x="1169"/>
        <item x="837"/>
        <item x="590"/>
        <item x="967"/>
        <item x="378"/>
        <item x="417"/>
        <item x="1123"/>
        <item x="22"/>
        <item x="53"/>
        <item x="254"/>
        <item x="566"/>
        <item x="130"/>
        <item x="726"/>
        <item x="1112"/>
        <item x="985"/>
        <item x="271"/>
        <item x="379"/>
        <item x="139"/>
        <item x="833"/>
        <item x="513"/>
        <item x="810"/>
        <item x="257"/>
        <item x="478"/>
        <item x="1066"/>
        <item x="809"/>
        <item x="886"/>
        <item x="149"/>
        <item x="385"/>
        <item x="850"/>
        <item x="62"/>
        <item x="23"/>
        <item x="516"/>
        <item x="389"/>
        <item x="819"/>
        <item x="934"/>
        <item x="768"/>
        <item x="38"/>
        <item x="1097"/>
        <item x="544"/>
        <item x="252"/>
        <item x="66"/>
        <item x="1001"/>
        <item x="927"/>
        <item x="433"/>
        <item x="439"/>
        <item x="832"/>
        <item x="920"/>
        <item x="1035"/>
        <item x="956"/>
        <item x="14"/>
        <item x="117"/>
        <item x="541"/>
        <item x="926"/>
        <item x="184"/>
        <item x="526"/>
        <item x="811"/>
        <item x="148"/>
        <item x="34"/>
        <item x="955"/>
        <item x="85"/>
        <item x="813"/>
        <item x="31"/>
        <item x="355"/>
        <item x="61"/>
        <item x="503"/>
        <item x="1032"/>
        <item x="4"/>
        <item x="869"/>
        <item x="857"/>
        <item x="1085"/>
        <item x="492"/>
        <item x="948"/>
        <item x="1072"/>
        <item x="1119"/>
        <item x="689"/>
        <item x="1036"/>
        <item x="73"/>
        <item x="339"/>
        <item x="913"/>
        <item x="876"/>
        <item x="210"/>
        <item x="1134"/>
        <item x="1117"/>
        <item x="877"/>
        <item x="946"/>
        <item x="1010"/>
        <item x="327"/>
        <item x="459"/>
        <item x="1060"/>
        <item x="1005"/>
        <item x="558"/>
        <item x="1164"/>
        <item x="1069"/>
        <item x="919"/>
        <item x="1126"/>
        <item x="255"/>
        <item x="1008"/>
        <item x="1016"/>
        <item x="195"/>
        <item x="545"/>
        <item x="143"/>
        <item x="170"/>
        <item x="172"/>
        <item x="870"/>
        <item x="1077"/>
        <item x="282"/>
        <item x="1057"/>
        <item x="52"/>
        <item x="114"/>
        <item x="1015"/>
        <item x="312"/>
        <item x="446"/>
        <item x="69"/>
        <item x="652"/>
        <item x="273"/>
        <item x="691"/>
        <item x="349"/>
        <item x="598"/>
        <item x="917"/>
        <item x="219"/>
        <item x="706"/>
        <item x="611"/>
        <item x="836"/>
        <item x="86"/>
        <item x="115"/>
        <item x="908"/>
        <item x="1025"/>
        <item x="35"/>
        <item x="1111"/>
        <item x="527"/>
        <item x="1172"/>
        <item x="825"/>
        <item x="536"/>
        <item x="325"/>
        <item x="895"/>
        <item x="798"/>
        <item x="523"/>
        <item x="415"/>
        <item x="260"/>
        <item x="775"/>
        <item x="584"/>
        <item x="958"/>
        <item x="754"/>
        <item x="55"/>
        <item x="301"/>
        <item x="794"/>
        <item x="533"/>
        <item x="1095"/>
        <item x="907"/>
        <item x="268"/>
        <item x="441"/>
        <item x="612"/>
        <item x="847"/>
        <item x="817"/>
        <item x="816"/>
        <item x="716"/>
        <item x="643"/>
        <item x="764"/>
        <item x="613"/>
        <item x="6"/>
        <item x="212"/>
        <item x="443"/>
        <item x="630"/>
        <item x="918"/>
        <item x="615"/>
        <item x="1129"/>
        <item x="1027"/>
        <item x="829"/>
        <item x="46"/>
        <item x="727"/>
        <item x="576"/>
        <item x="477"/>
        <item x="370"/>
        <item x="1043"/>
        <item x="1163"/>
        <item x="182"/>
        <item x="970"/>
        <item x="631"/>
        <item x="682"/>
        <item x="644"/>
        <item x="747"/>
        <item x="752"/>
        <item x="769"/>
        <item x="365"/>
        <item x="755"/>
        <item x="707"/>
        <item x="386"/>
        <item x="407"/>
        <item x="501"/>
        <item x="129"/>
        <item x="58"/>
        <item x="683"/>
        <item x="1084"/>
        <item x="283"/>
        <item x="996"/>
        <item x="442"/>
        <item x="284"/>
        <item x="782"/>
        <item x="979"/>
        <item x="352"/>
        <item x="588"/>
        <item x="750"/>
        <item x="408"/>
        <item x="677"/>
        <item x="609"/>
        <item x="779"/>
        <item x="565"/>
        <item x="938"/>
        <item x="599"/>
        <item x="1041"/>
        <item x="725"/>
        <item x="189"/>
        <item x="674"/>
        <item x="900"/>
        <item x="1168"/>
        <item x="594"/>
        <item x="774"/>
        <item x="659"/>
        <item x="10"/>
        <item x="658"/>
        <item x="680"/>
        <item x="398"/>
        <item x="620"/>
        <item x="738"/>
        <item x="45"/>
        <item x="575"/>
        <item x="681"/>
        <item x="96"/>
        <item x="1090"/>
        <item x="977"/>
        <item x="203"/>
        <item x="1045"/>
        <item x="176"/>
        <item x="1044"/>
        <item x="1161"/>
        <item x="293"/>
        <item x="718"/>
        <item x="109"/>
        <item x="465"/>
        <item x="744"/>
        <item x="711"/>
        <item x="604"/>
        <item x="839"/>
        <item x="781"/>
        <item x="583"/>
        <item x="732"/>
        <item x="694"/>
        <item x="362"/>
        <item x="589"/>
        <item x="278"/>
        <item x="656"/>
        <item x="563"/>
        <item x="676"/>
        <item x="741"/>
        <item x="75"/>
        <item x="525"/>
        <item x="508"/>
        <item x="739"/>
        <item x="276"/>
        <item x="746"/>
        <item x="445"/>
        <item x="722"/>
        <item x="1142"/>
        <item x="337"/>
        <item x="736"/>
        <item x="435"/>
        <item x="17"/>
        <item x="639"/>
        <item x="843"/>
        <item x="291"/>
        <item x="608"/>
        <item x="452"/>
        <item x="419"/>
        <item x="800"/>
        <item x="270"/>
        <item x="756"/>
        <item x="535"/>
        <item x="971"/>
        <item x="507"/>
        <item x="207"/>
        <item x="771"/>
        <item x="234"/>
        <item x="1020"/>
        <item x="560"/>
        <item x="692"/>
        <item x="593"/>
        <item x="121"/>
        <item x="124"/>
        <item x="534"/>
        <item x="1141"/>
        <item x="159"/>
        <item x="1046"/>
        <item x="1061"/>
        <item x="831"/>
        <item x="597"/>
        <item x="661"/>
        <item x="815"/>
        <item x="1136"/>
        <item x="625"/>
        <item x="250"/>
        <item x="753"/>
        <item x="303"/>
        <item x="488"/>
        <item x="1042"/>
        <item x="74"/>
        <item x="553"/>
        <item x="1125"/>
        <item x="147"/>
        <item x="953"/>
        <item x="660"/>
        <item x="824"/>
        <item x="713"/>
        <item x="562"/>
        <item x="1113"/>
        <item x="50"/>
        <item x="903"/>
        <item x="887"/>
        <item x="151"/>
        <item x="101"/>
        <item x="168"/>
        <item x="1148"/>
        <item x="1050"/>
        <item x="81"/>
        <item x="231"/>
        <item x="498"/>
        <item x="569"/>
        <item x="1058"/>
        <item x="281"/>
        <item x="285"/>
        <item x="804"/>
        <item x="737"/>
        <item x="585"/>
        <item x="605"/>
        <item x="65"/>
        <item x="549"/>
        <item x="1064"/>
        <item x="300"/>
        <item x="796"/>
        <item x="37"/>
        <item x="688"/>
        <item x="704"/>
        <item x="403"/>
        <item x="788"/>
        <item x="187"/>
        <item x="974"/>
        <item x="723"/>
        <item x="468"/>
        <item x="685"/>
        <item x="641"/>
        <item x="357"/>
        <item x="767"/>
        <item x="329"/>
        <item x="624"/>
        <item x="698"/>
        <item x="702"/>
        <item x="185"/>
        <item x="196"/>
        <item x="484"/>
        <item x="875"/>
        <item x="789"/>
        <item x="720"/>
        <item x="697"/>
        <item x="622"/>
        <item x="461"/>
        <item x="618"/>
        <item x="311"/>
        <item x="564"/>
        <item x="1135"/>
        <item x="11"/>
        <item x="627"/>
        <item x="710"/>
        <item x="512"/>
        <item x="1081"/>
        <item x="78"/>
        <item x="770"/>
        <item x="295"/>
        <item x="532"/>
        <item x="633"/>
        <item x="567"/>
        <item x="552"/>
        <item x="29"/>
        <item x="998"/>
        <item x="412"/>
        <item x="1076"/>
        <item x="451"/>
        <item x="916"/>
        <item x="524"/>
        <item x="898"/>
        <item x="496"/>
        <item x="248"/>
        <item x="275"/>
        <item x="269"/>
        <item x="678"/>
        <item x="237"/>
        <item x="493"/>
        <item x="470"/>
        <item x="224"/>
        <item x="481"/>
        <item x="20"/>
        <item x="8"/>
        <item x="517"/>
        <item x="820"/>
        <item x="261"/>
        <item x="733"/>
        <item x="25"/>
        <item x="377"/>
        <item x="307"/>
        <item x="463"/>
        <item x="296"/>
        <item x="164"/>
        <item x="933"/>
        <item x="431"/>
        <item x="905"/>
        <item x="797"/>
        <item x="1"/>
        <item x="657"/>
        <item x="394"/>
        <item x="199"/>
        <item x="367"/>
        <item x="787"/>
        <item x="177"/>
        <item x="72"/>
        <item x="528"/>
        <item x="154"/>
        <item x="823"/>
        <item x="675"/>
        <item x="160"/>
        <item x="719"/>
        <item x="1073"/>
        <item x="381"/>
        <item x="981"/>
        <item x="193"/>
        <item x="911"/>
        <item x="700"/>
        <item x="455"/>
        <item x="393"/>
        <item x="338"/>
        <item x="649"/>
        <item x="358"/>
        <item x="648"/>
        <item x="99"/>
        <item x="728"/>
        <item x="238"/>
        <item x="759"/>
        <item x="634"/>
        <item x="387"/>
        <item x="180"/>
        <item x="474"/>
        <item x="899"/>
        <item x="915"/>
        <item x="790"/>
        <item x="122"/>
        <item x="397"/>
        <item x="240"/>
        <item x="579"/>
        <item x="730"/>
        <item x="335"/>
        <item x="340"/>
        <item x="430"/>
        <item x="596"/>
        <item x="79"/>
        <item x="814"/>
        <item x="776"/>
        <item x="487"/>
        <item x="574"/>
        <item x="690"/>
        <item x="313"/>
        <item x="957"/>
        <item x="653"/>
        <item x="472"/>
        <item x="655"/>
        <item x="758"/>
        <item x="373"/>
        <item x="828"/>
        <item x="954"/>
        <item x="80"/>
        <item x="449"/>
        <item x="12"/>
        <item x="646"/>
        <item x="840"/>
        <item x="76"/>
        <item x="423"/>
        <item x="326"/>
        <item x="102"/>
        <item x="331"/>
        <item x="742"/>
        <item x="947"/>
        <item x="466"/>
        <item x="321"/>
        <item x="249"/>
        <item x="462"/>
        <item x="209"/>
        <item x="897"/>
        <item x="131"/>
        <item x="795"/>
        <item x="279"/>
        <item x="521"/>
        <item x="591"/>
        <item x="995"/>
        <item x="520"/>
        <item x="144"/>
        <item x="404"/>
        <item x="95"/>
        <item x="848"/>
        <item x="672"/>
        <item x="100"/>
        <item x="645"/>
        <item x="204"/>
        <item x="1082"/>
        <item x="573"/>
        <item x="444"/>
        <item x="406"/>
        <item x="460"/>
        <item x="621"/>
        <item x="554"/>
        <item x="256"/>
        <item x="666"/>
        <item x="550"/>
        <item x="299"/>
        <item x="921"/>
        <item x="901"/>
        <item x="200"/>
        <item x="668"/>
        <item x="247"/>
        <item x="931"/>
        <item x="98"/>
        <item x="856"/>
        <item x="341"/>
        <item x="1118"/>
        <item x="978"/>
        <item x="873"/>
        <item x="1107"/>
        <item x="1048"/>
        <item x="1063"/>
        <item x="1017"/>
        <item x="801"/>
        <item x="171"/>
        <item x="760"/>
        <item x="425"/>
        <item x="495"/>
        <item x="1139"/>
        <item x="1124"/>
        <item x="345"/>
        <item x="617"/>
        <item x="786"/>
        <item x="400"/>
        <item x="421"/>
        <item x="317"/>
        <item x="413"/>
        <item x="190"/>
        <item x="289"/>
        <item x="669"/>
        <item x="424"/>
        <item x="665"/>
        <item x="686"/>
        <item x="580"/>
        <item x="429"/>
        <item x="239"/>
        <item x="662"/>
        <item x="778"/>
        <item x="945"/>
        <item x="1092"/>
        <item x="734"/>
        <item x="51"/>
        <item x="384"/>
        <item x="1150"/>
        <item x="372"/>
        <item x="546"/>
        <item x="302"/>
        <item x="740"/>
        <item x="642"/>
        <item x="251"/>
        <item x="592"/>
        <item x="506"/>
        <item x="489"/>
        <item x="647"/>
        <item x="438"/>
        <item x="703"/>
        <item x="785"/>
        <item x="557"/>
        <item x="792"/>
        <item x="84"/>
        <item x="221"/>
        <item x="714"/>
        <item x="30"/>
        <item x="356"/>
        <item x="709"/>
        <item x="777"/>
        <item x="383"/>
        <item x="220"/>
        <item x="577"/>
        <item x="637"/>
        <item x="717"/>
        <item x="806"/>
        <item x="542"/>
        <item x="595"/>
        <item x="751"/>
        <item x="761"/>
        <item x="581"/>
        <item x="454"/>
        <item x="87"/>
        <item x="763"/>
        <item x="469"/>
        <item x="803"/>
        <item x="664"/>
        <item x="471"/>
        <item x="1068"/>
        <item x="41"/>
        <item x="708"/>
        <item x="607"/>
        <item x="157"/>
        <item x="743"/>
        <item x="47"/>
        <item x="217"/>
        <item x="410"/>
        <item x="16"/>
        <item x="1171"/>
        <item x="538"/>
        <item x="142"/>
        <item x="551"/>
        <item x="715"/>
        <item x="748"/>
        <item x="984"/>
        <item x="173"/>
        <item x="19"/>
        <item x="1034"/>
        <item x="1053"/>
        <item x="1170"/>
        <item x="805"/>
        <item x="965"/>
        <item x="878"/>
        <item x="226"/>
        <item x="132"/>
        <item x="784"/>
        <item x="32"/>
        <item x="696"/>
        <item x="559"/>
        <item x="879"/>
        <item x="922"/>
        <item x="834"/>
        <item x="504"/>
        <item x="333"/>
        <item x="33"/>
        <item x="626"/>
        <item x="71"/>
        <item x="205"/>
        <item x="858"/>
        <item x="1130"/>
        <item x="315"/>
        <item x="376"/>
        <item x="297"/>
        <item x="799"/>
        <item x="67"/>
        <item x="547"/>
        <item x="735"/>
        <item x="316"/>
        <item x="211"/>
        <item x="229"/>
        <item x="388"/>
        <item x="3"/>
        <item x="1023"/>
        <item x="885"/>
        <item x="243"/>
        <item x="826"/>
        <item x="40"/>
        <item x="529"/>
        <item x="867"/>
        <item x="699"/>
        <item x="483"/>
        <item x="304"/>
        <item x="97"/>
        <item x="374"/>
        <item x="586"/>
        <item x="353"/>
        <item x="137"/>
        <item x="110"/>
        <item x="570"/>
        <item x="106"/>
        <item x="830"/>
        <item x="874"/>
        <item x="868"/>
        <item x="90"/>
        <item x="571"/>
        <item x="320"/>
        <item x="486"/>
        <item x="208"/>
        <item x="213"/>
        <item x="235"/>
        <item x="322"/>
        <item x="223"/>
        <item x="695"/>
        <item x="118"/>
        <item x="663"/>
        <item x="1099"/>
        <item x="894"/>
        <item x="308"/>
        <item x="991"/>
        <item x="866"/>
        <item x="519"/>
        <item x="186"/>
        <item x="482"/>
        <item x="324"/>
        <item x="475"/>
        <item x="94"/>
        <item x="366"/>
        <item x="640"/>
        <item x="89"/>
        <item x="153"/>
        <item x="265"/>
        <item x="191"/>
        <item x="422"/>
        <item x="511"/>
        <item x="292"/>
        <item x="701"/>
        <item x="1143"/>
        <item x="540"/>
        <item x="49"/>
        <item x="42"/>
        <item x="568"/>
        <item x="530"/>
        <item x="539"/>
        <item x="531"/>
        <item x="105"/>
        <item x="206"/>
        <item x="515"/>
        <item x="842"/>
        <item x="479"/>
        <item x="582"/>
        <item x="39"/>
        <item x="334"/>
        <item x="522"/>
        <item x="818"/>
        <item x="632"/>
        <item x="453"/>
        <item x="601"/>
        <item x="835"/>
        <item x="411"/>
        <item x="510"/>
        <item x="1059"/>
        <item x="1040"/>
        <item x="537"/>
        <item x="111"/>
        <item x="108"/>
        <item x="418"/>
        <item x="1088"/>
        <item x="892"/>
        <item x="671"/>
        <item x="651"/>
        <item x="1078"/>
        <item x="673"/>
        <item x="808"/>
        <item x="853"/>
        <item x="935"/>
        <item x="1133"/>
        <item x="141"/>
        <item x="841"/>
        <item x="1114"/>
        <item x="263"/>
        <item x="1153"/>
        <item x="332"/>
        <item x="120"/>
        <item x="914"/>
        <item x="166"/>
        <item x="827"/>
        <item x="242"/>
        <item x="225"/>
        <item x="194"/>
        <item x="930"/>
        <item x="994"/>
        <item x="258"/>
        <item x="1162"/>
        <item x="450"/>
        <item x="7"/>
        <item x="893"/>
        <item x="872"/>
        <item x="1121"/>
        <item x="1160"/>
        <item x="1157"/>
        <item x="1122"/>
        <item x="1031"/>
        <item x="961"/>
        <item x="309"/>
        <item x="852"/>
        <item x="518"/>
        <item x="951"/>
        <item x="1144"/>
        <item x="812"/>
        <item x="1145"/>
        <item x="912"/>
        <item x="197"/>
        <item x="762"/>
        <item x="480"/>
        <item x="136"/>
        <item x="902"/>
        <item x="494"/>
        <item x="610"/>
        <item x="1089"/>
        <item x="721"/>
        <item x="1149"/>
        <item x="884"/>
        <item x="230"/>
        <item x="502"/>
        <item x="891"/>
        <item x="363"/>
        <item x="286"/>
        <item x="437"/>
        <item x="602"/>
        <item x="103"/>
        <item x="192"/>
        <item x="909"/>
        <item x="245"/>
        <item x="1004"/>
        <item x="428"/>
        <item x="880"/>
        <item x="679"/>
        <item x="724"/>
        <item x="26"/>
        <item x="509"/>
        <item x="165"/>
        <item x="862"/>
        <item x="855"/>
        <item x="202"/>
        <item x="83"/>
        <item x="330"/>
        <item x="1000"/>
        <item x="1116"/>
        <item x="364"/>
        <item x="342"/>
        <item x="1051"/>
        <item x="426"/>
        <item x="1158"/>
        <item x="603"/>
        <item x="1055"/>
        <item x="780"/>
        <item x="318"/>
        <item x="910"/>
        <item x="773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117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 t="grand">
      <x/>
    </i>
  </rowItems>
  <colFields count="2">
    <field x="6"/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Média de Valor Empenhado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FC044-E300-4751-B52B-0E9D320BB349}">
  <dimension ref="A3:J1180"/>
  <sheetViews>
    <sheetView zoomScale="65" zoomScaleNormal="65" workbookViewId="0">
      <selection activeCell="C36" sqref="C36"/>
    </sheetView>
  </sheetViews>
  <sheetFormatPr defaultRowHeight="15" x14ac:dyDescent="0.25"/>
  <cols>
    <col min="1" max="1" width="255.7109375" bestFit="1" customWidth="1"/>
    <col min="2" max="2" width="27.85546875" bestFit="1" customWidth="1"/>
    <col min="3" max="5" width="19" bestFit="1" customWidth="1"/>
    <col min="6" max="8" width="17" bestFit="1" customWidth="1"/>
    <col min="9" max="10" width="19" bestFit="1" customWidth="1"/>
    <col min="11" max="15" width="17" bestFit="1" customWidth="1"/>
    <col min="16" max="18" width="19" bestFit="1" customWidth="1"/>
  </cols>
  <sheetData>
    <row r="3" spans="1:10" x14ac:dyDescent="0.25">
      <c r="A3" s="3" t="s">
        <v>1337</v>
      </c>
      <c r="B3" s="3" t="s">
        <v>1338</v>
      </c>
    </row>
    <row r="4" spans="1:10" x14ac:dyDescent="0.25">
      <c r="B4" t="s">
        <v>1339</v>
      </c>
      <c r="C4" t="s">
        <v>1340</v>
      </c>
      <c r="D4" t="s">
        <v>1341</v>
      </c>
      <c r="E4" t="s">
        <v>1342</v>
      </c>
      <c r="F4" t="s">
        <v>1343</v>
      </c>
      <c r="G4" t="s">
        <v>1344</v>
      </c>
      <c r="H4" t="s">
        <v>1345</v>
      </c>
      <c r="I4" t="s">
        <v>1346</v>
      </c>
      <c r="J4" t="s">
        <v>1336</v>
      </c>
    </row>
    <row r="5" spans="1:10" x14ac:dyDescent="0.25">
      <c r="A5" s="3" t="s">
        <v>1335</v>
      </c>
    </row>
    <row r="6" spans="1:10" x14ac:dyDescent="0.25">
      <c r="A6" s="4" t="s">
        <v>1016</v>
      </c>
      <c r="B6" s="5"/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</row>
    <row r="7" spans="1:10" x14ac:dyDescent="0.25">
      <c r="A7" s="4" t="s">
        <v>183</v>
      </c>
      <c r="B7" s="5">
        <v>0</v>
      </c>
      <c r="C7" s="5"/>
      <c r="D7" s="5"/>
      <c r="E7" s="5"/>
      <c r="F7" s="5"/>
      <c r="G7" s="5"/>
      <c r="H7" s="5"/>
      <c r="I7" s="5">
        <v>53000</v>
      </c>
      <c r="J7" s="5">
        <v>26500</v>
      </c>
    </row>
    <row r="8" spans="1:10" x14ac:dyDescent="0.25">
      <c r="A8" s="4" t="s">
        <v>832</v>
      </c>
      <c r="B8" s="5">
        <v>364752248</v>
      </c>
      <c r="C8" s="5"/>
      <c r="D8" s="5"/>
      <c r="E8" s="5">
        <v>28073916</v>
      </c>
      <c r="F8" s="5">
        <v>-18900000</v>
      </c>
      <c r="G8" s="5"/>
      <c r="H8" s="5">
        <v>-23118991.989999998</v>
      </c>
      <c r="I8" s="5">
        <v>0</v>
      </c>
      <c r="J8" s="5">
        <v>70161434.401999995</v>
      </c>
    </row>
    <row r="9" spans="1:10" x14ac:dyDescent="0.25">
      <c r="A9" s="4" t="s">
        <v>134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6375469000</v>
      </c>
      <c r="I9" s="5">
        <v>0</v>
      </c>
      <c r="J9" s="5">
        <v>796933625</v>
      </c>
    </row>
    <row r="10" spans="1:10" x14ac:dyDescent="0.25">
      <c r="A10" s="4" t="s">
        <v>1167</v>
      </c>
      <c r="B10" s="5"/>
      <c r="C10" s="5"/>
      <c r="D10" s="5"/>
      <c r="E10" s="5">
        <v>2582836.9500000002</v>
      </c>
      <c r="F10" s="5"/>
      <c r="G10" s="5"/>
      <c r="H10" s="5"/>
      <c r="I10" s="5"/>
      <c r="J10" s="5">
        <v>2582836.9500000002</v>
      </c>
    </row>
    <row r="11" spans="1:10" x14ac:dyDescent="0.25">
      <c r="A11" s="4" t="s">
        <v>1207</v>
      </c>
      <c r="B11" s="5"/>
      <c r="C11" s="5"/>
      <c r="D11" s="5"/>
      <c r="E11" s="5">
        <v>100000000</v>
      </c>
      <c r="F11" s="5">
        <v>0</v>
      </c>
      <c r="G11" s="5">
        <v>0</v>
      </c>
      <c r="H11" s="5">
        <v>0</v>
      </c>
      <c r="I11" s="5">
        <v>90000000</v>
      </c>
      <c r="J11" s="5">
        <v>38000000</v>
      </c>
    </row>
    <row r="12" spans="1:10" x14ac:dyDescent="0.25">
      <c r="A12" s="4" t="s">
        <v>750</v>
      </c>
      <c r="B12" s="5">
        <v>31255772.739999998</v>
      </c>
      <c r="C12" s="5">
        <v>19644975.68</v>
      </c>
      <c r="D12" s="5">
        <v>33387687.289999999</v>
      </c>
      <c r="E12" s="5">
        <v>116647207.63</v>
      </c>
      <c r="F12" s="5">
        <v>35392293.18</v>
      </c>
      <c r="G12" s="5">
        <v>15782316.33</v>
      </c>
      <c r="H12" s="5">
        <v>44278390.079999998</v>
      </c>
      <c r="I12" s="5">
        <v>28228337.59</v>
      </c>
      <c r="J12" s="5">
        <v>40577122.564999998</v>
      </c>
    </row>
    <row r="13" spans="1:10" x14ac:dyDescent="0.25">
      <c r="A13" s="4" t="s">
        <v>43</v>
      </c>
      <c r="B13" s="5">
        <v>18583810.469999999</v>
      </c>
      <c r="C13" s="5">
        <v>17576207.960000001</v>
      </c>
      <c r="D13" s="5">
        <v>23683607.129999999</v>
      </c>
      <c r="E13" s="5"/>
      <c r="F13" s="5">
        <v>24529299.300000001</v>
      </c>
      <c r="G13" s="5">
        <v>25566533.850000001</v>
      </c>
      <c r="H13" s="5"/>
      <c r="I13" s="5"/>
      <c r="J13" s="5">
        <v>21987891.742000002</v>
      </c>
    </row>
    <row r="14" spans="1:10" x14ac:dyDescent="0.25">
      <c r="A14" s="4" t="s">
        <v>1293</v>
      </c>
      <c r="B14" s="5"/>
      <c r="C14" s="5"/>
      <c r="D14" s="5"/>
      <c r="E14" s="5"/>
      <c r="F14" s="5"/>
      <c r="G14" s="5"/>
      <c r="H14" s="5">
        <v>19000000</v>
      </c>
      <c r="I14" s="5"/>
      <c r="J14" s="5">
        <v>19000000</v>
      </c>
    </row>
    <row r="15" spans="1:10" x14ac:dyDescent="0.25">
      <c r="A15" s="4" t="s">
        <v>110</v>
      </c>
      <c r="B15" s="5">
        <v>0</v>
      </c>
      <c r="C15" s="5">
        <v>9690191.2699999996</v>
      </c>
      <c r="D15" s="5">
        <v>41694598.590000004</v>
      </c>
      <c r="E15" s="5">
        <v>42977020.439999998</v>
      </c>
      <c r="F15" s="5">
        <v>11016681.640000001</v>
      </c>
      <c r="G15" s="5">
        <v>349333802.97000003</v>
      </c>
      <c r="H15" s="5">
        <v>7711510.8799999999</v>
      </c>
      <c r="I15" s="5">
        <v>32617429.960000001</v>
      </c>
      <c r="J15" s="5">
        <v>61880154.46875</v>
      </c>
    </row>
    <row r="16" spans="1:10" x14ac:dyDescent="0.25">
      <c r="A16" s="4" t="s">
        <v>54</v>
      </c>
      <c r="B16" s="5">
        <v>4413485665</v>
      </c>
      <c r="C16" s="5">
        <v>0</v>
      </c>
      <c r="D16" s="5"/>
      <c r="E16" s="5"/>
      <c r="F16" s="5">
        <v>-1436803433.72</v>
      </c>
      <c r="G16" s="5">
        <v>0</v>
      </c>
      <c r="H16" s="5">
        <v>0</v>
      </c>
      <c r="I16" s="5">
        <v>0</v>
      </c>
      <c r="J16" s="5">
        <v>496113705.21333331</v>
      </c>
    </row>
    <row r="17" spans="1:10" x14ac:dyDescent="0.25">
      <c r="A17" s="4" t="s">
        <v>219</v>
      </c>
      <c r="B17" s="5">
        <v>6620228494</v>
      </c>
      <c r="C17" s="5">
        <v>0</v>
      </c>
      <c r="D17" s="5"/>
      <c r="E17" s="5"/>
      <c r="F17" s="5">
        <v>164775096</v>
      </c>
      <c r="G17" s="5">
        <v>0</v>
      </c>
      <c r="H17" s="5">
        <v>0</v>
      </c>
      <c r="I17" s="5">
        <v>0</v>
      </c>
      <c r="J17" s="5">
        <v>1130833931.6666667</v>
      </c>
    </row>
    <row r="18" spans="1:10" x14ac:dyDescent="0.25">
      <c r="A18" s="4" t="s">
        <v>739</v>
      </c>
      <c r="B18" s="5">
        <v>6620228494</v>
      </c>
      <c r="C18" s="5">
        <v>0</v>
      </c>
      <c r="D18" s="5"/>
      <c r="E18" s="5"/>
      <c r="F18" s="5">
        <v>164775096</v>
      </c>
      <c r="G18" s="5">
        <v>0</v>
      </c>
      <c r="H18" s="5">
        <v>0</v>
      </c>
      <c r="I18" s="5">
        <v>0</v>
      </c>
      <c r="J18" s="5">
        <v>1130833931.6666667</v>
      </c>
    </row>
    <row r="19" spans="1:10" x14ac:dyDescent="0.25">
      <c r="A19" s="4" t="s">
        <v>116</v>
      </c>
      <c r="B19" s="5">
        <v>126519922358</v>
      </c>
      <c r="C19" s="5">
        <v>0</v>
      </c>
      <c r="D19" s="5">
        <v>0</v>
      </c>
      <c r="E19" s="5">
        <v>0</v>
      </c>
      <c r="F19" s="5">
        <v>3149035203</v>
      </c>
      <c r="G19" s="5">
        <v>0</v>
      </c>
      <c r="H19" s="5">
        <v>0</v>
      </c>
      <c r="I19" s="5">
        <v>0</v>
      </c>
      <c r="J19" s="5">
        <v>16208619695.125</v>
      </c>
    </row>
    <row r="20" spans="1:10" x14ac:dyDescent="0.25">
      <c r="A20" s="4" t="s">
        <v>83</v>
      </c>
      <c r="B20" s="5">
        <v>148955141146</v>
      </c>
      <c r="C20" s="5">
        <v>0</v>
      </c>
      <c r="D20" s="5">
        <v>0</v>
      </c>
      <c r="E20" s="5">
        <v>0</v>
      </c>
      <c r="F20" s="5">
        <v>8490233436</v>
      </c>
      <c r="G20" s="5">
        <v>0</v>
      </c>
      <c r="H20" s="5">
        <v>0</v>
      </c>
      <c r="I20" s="5">
        <v>0</v>
      </c>
      <c r="J20" s="5">
        <v>19680671822.75</v>
      </c>
    </row>
    <row r="21" spans="1:10" x14ac:dyDescent="0.25">
      <c r="A21" s="4" t="s">
        <v>59</v>
      </c>
      <c r="B21" s="5">
        <v>4880613987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610076748.375</v>
      </c>
    </row>
    <row r="22" spans="1:10" x14ac:dyDescent="0.25">
      <c r="A22" s="4" t="s">
        <v>506</v>
      </c>
      <c r="B22" s="5">
        <v>0</v>
      </c>
      <c r="C22" s="5"/>
      <c r="D22" s="5">
        <v>0</v>
      </c>
      <c r="E22" s="5">
        <v>0</v>
      </c>
      <c r="F22" s="5">
        <v>707302</v>
      </c>
      <c r="G22" s="5">
        <v>146064.5</v>
      </c>
      <c r="H22" s="5">
        <v>605000</v>
      </c>
      <c r="I22" s="5"/>
      <c r="J22" s="5">
        <v>265157.54545454547</v>
      </c>
    </row>
    <row r="23" spans="1:10" x14ac:dyDescent="0.25">
      <c r="A23" s="4" t="s">
        <v>26</v>
      </c>
      <c r="B23" s="5">
        <v>0</v>
      </c>
      <c r="C23" s="5"/>
      <c r="D23" s="5"/>
      <c r="E23" s="5"/>
      <c r="F23" s="5"/>
      <c r="G23" s="5"/>
      <c r="H23" s="5">
        <v>126410742.25</v>
      </c>
      <c r="I23" s="5">
        <v>133000000</v>
      </c>
      <c r="J23" s="5">
        <v>86470247.416666672</v>
      </c>
    </row>
    <row r="24" spans="1:10" x14ac:dyDescent="0.25">
      <c r="A24" s="4" t="s">
        <v>1226</v>
      </c>
      <c r="B24" s="5"/>
      <c r="C24" s="5"/>
      <c r="D24" s="5"/>
      <c r="E24" s="5"/>
      <c r="F24" s="5">
        <v>0</v>
      </c>
      <c r="G24" s="5"/>
      <c r="H24" s="5"/>
      <c r="I24" s="5"/>
      <c r="J24" s="5">
        <v>0</v>
      </c>
    </row>
    <row r="25" spans="1:10" x14ac:dyDescent="0.25">
      <c r="A25" s="4" t="s">
        <v>1151</v>
      </c>
      <c r="B25" s="5"/>
      <c r="C25" s="5"/>
      <c r="D25" s="5">
        <v>0</v>
      </c>
      <c r="E25" s="5">
        <v>0</v>
      </c>
      <c r="F25" s="5">
        <v>0</v>
      </c>
      <c r="G25" s="5">
        <v>49533938</v>
      </c>
      <c r="H25" s="5">
        <v>1025656062</v>
      </c>
      <c r="I25" s="5">
        <v>0</v>
      </c>
      <c r="J25" s="5">
        <v>179198333.33333334</v>
      </c>
    </row>
    <row r="26" spans="1:10" x14ac:dyDescent="0.25">
      <c r="A26" s="4" t="s">
        <v>1129</v>
      </c>
      <c r="B26" s="5"/>
      <c r="C26" s="5"/>
      <c r="D26" s="5">
        <v>0</v>
      </c>
      <c r="E26" s="5"/>
      <c r="F26" s="5"/>
      <c r="G26" s="5">
        <v>150000000</v>
      </c>
      <c r="H26" s="5">
        <v>0</v>
      </c>
      <c r="I26" s="5"/>
      <c r="J26" s="5">
        <v>50000000</v>
      </c>
    </row>
    <row r="27" spans="1:10" x14ac:dyDescent="0.25">
      <c r="A27" s="4" t="s">
        <v>391</v>
      </c>
      <c r="B27" s="5">
        <v>2410958176</v>
      </c>
      <c r="C27" s="5">
        <v>0</v>
      </c>
      <c r="D27" s="5">
        <v>0</v>
      </c>
      <c r="E27" s="5">
        <v>-44130578</v>
      </c>
      <c r="F27" s="5">
        <v>229291406</v>
      </c>
      <c r="G27" s="5">
        <v>0</v>
      </c>
      <c r="H27" s="5">
        <v>0</v>
      </c>
      <c r="I27" s="5">
        <v>0</v>
      </c>
      <c r="J27" s="5">
        <v>324514875.5</v>
      </c>
    </row>
    <row r="28" spans="1:10" x14ac:dyDescent="0.25">
      <c r="A28" s="4" t="s">
        <v>1132</v>
      </c>
      <c r="B28" s="5"/>
      <c r="C28" s="5"/>
      <c r="D28" s="5">
        <v>0</v>
      </c>
      <c r="E28" s="5"/>
      <c r="F28" s="5">
        <v>17795431.469999999</v>
      </c>
      <c r="G28" s="5"/>
      <c r="H28" s="5"/>
      <c r="I28" s="5"/>
      <c r="J28" s="5">
        <v>8897715.7349999994</v>
      </c>
    </row>
    <row r="29" spans="1:10" x14ac:dyDescent="0.25">
      <c r="A29" s="4" t="s">
        <v>1240</v>
      </c>
      <c r="B29" s="5"/>
      <c r="C29" s="5"/>
      <c r="D29" s="5"/>
      <c r="E29" s="5"/>
      <c r="F29" s="5">
        <v>25000</v>
      </c>
      <c r="G29" s="5"/>
      <c r="H29" s="5"/>
      <c r="I29" s="5"/>
      <c r="J29" s="5">
        <v>25000</v>
      </c>
    </row>
    <row r="30" spans="1:10" x14ac:dyDescent="0.25">
      <c r="A30" s="4" t="s">
        <v>1188</v>
      </c>
      <c r="B30" s="5"/>
      <c r="C30" s="5"/>
      <c r="D30" s="5"/>
      <c r="E30" s="5">
        <v>3000000</v>
      </c>
      <c r="F30" s="5"/>
      <c r="G30" s="5"/>
      <c r="H30" s="5"/>
      <c r="I30" s="5"/>
      <c r="J30" s="5">
        <v>3000000</v>
      </c>
    </row>
    <row r="31" spans="1:10" x14ac:dyDescent="0.25">
      <c r="A31" s="4" t="s">
        <v>1232</v>
      </c>
      <c r="B31" s="5"/>
      <c r="C31" s="5"/>
      <c r="D31" s="5"/>
      <c r="E31" s="5"/>
      <c r="F31" s="5">
        <v>0</v>
      </c>
      <c r="G31" s="5"/>
      <c r="H31" s="5"/>
      <c r="I31" s="5"/>
      <c r="J31" s="5">
        <v>0</v>
      </c>
    </row>
    <row r="32" spans="1:10" x14ac:dyDescent="0.25">
      <c r="A32" s="4" t="s">
        <v>1178</v>
      </c>
      <c r="B32" s="5"/>
      <c r="C32" s="5"/>
      <c r="D32" s="5"/>
      <c r="E32" s="5">
        <v>5387667</v>
      </c>
      <c r="F32" s="5">
        <v>0</v>
      </c>
      <c r="G32" s="5"/>
      <c r="H32" s="5"/>
      <c r="I32" s="5"/>
      <c r="J32" s="5">
        <v>2693833.5</v>
      </c>
    </row>
    <row r="33" spans="1:10" x14ac:dyDescent="0.25">
      <c r="A33" s="4" t="s">
        <v>1248</v>
      </c>
      <c r="B33" s="5"/>
      <c r="C33" s="5"/>
      <c r="D33" s="5"/>
      <c r="E33" s="5"/>
      <c r="F33" s="5">
        <v>2900117</v>
      </c>
      <c r="G33" s="5">
        <v>0</v>
      </c>
      <c r="H33" s="5"/>
      <c r="I33" s="5"/>
      <c r="J33" s="5">
        <v>1450058.5</v>
      </c>
    </row>
    <row r="34" spans="1:10" x14ac:dyDescent="0.25">
      <c r="A34" s="4" t="s">
        <v>1310</v>
      </c>
      <c r="B34" s="5"/>
      <c r="C34" s="5"/>
      <c r="D34" s="5"/>
      <c r="E34" s="5"/>
      <c r="F34" s="5"/>
      <c r="G34" s="5"/>
      <c r="H34" s="5">
        <v>0</v>
      </c>
      <c r="I34" s="5"/>
      <c r="J34" s="5">
        <v>0</v>
      </c>
    </row>
    <row r="35" spans="1:10" x14ac:dyDescent="0.25">
      <c r="A35" s="4" t="s">
        <v>1100</v>
      </c>
      <c r="B35" s="5"/>
      <c r="C35" s="5"/>
      <c r="D35" s="5">
        <v>0</v>
      </c>
      <c r="E35" s="5">
        <v>0</v>
      </c>
      <c r="F35" s="5">
        <v>0</v>
      </c>
      <c r="G35" s="5"/>
      <c r="H35" s="5"/>
      <c r="I35" s="5"/>
      <c r="J35" s="5">
        <v>0</v>
      </c>
    </row>
    <row r="36" spans="1:10" x14ac:dyDescent="0.25">
      <c r="A36" s="4" t="s">
        <v>342</v>
      </c>
      <c r="B36" s="5">
        <v>802703769.20000005</v>
      </c>
      <c r="C36" s="5">
        <v>687157138.78999996</v>
      </c>
      <c r="D36" s="5">
        <v>559968449.40999997</v>
      </c>
      <c r="E36" s="5">
        <v>592009984.90999997</v>
      </c>
      <c r="F36" s="5">
        <v>660580571.12</v>
      </c>
      <c r="G36" s="5">
        <v>550911768.84000003</v>
      </c>
      <c r="H36" s="5">
        <v>736151503.03999996</v>
      </c>
      <c r="I36" s="5">
        <v>24239983.800000001</v>
      </c>
      <c r="J36" s="5">
        <v>576715396.13874996</v>
      </c>
    </row>
    <row r="37" spans="1:10" x14ac:dyDescent="0.25">
      <c r="A37" s="4" t="s">
        <v>474</v>
      </c>
      <c r="B37" s="5">
        <v>0</v>
      </c>
      <c r="C37" s="5">
        <v>4421445660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552680707.5</v>
      </c>
    </row>
    <row r="38" spans="1:10" x14ac:dyDescent="0.25">
      <c r="A38" s="4" t="s">
        <v>953</v>
      </c>
      <c r="B38" s="5"/>
      <c r="C38" s="5">
        <v>0</v>
      </c>
      <c r="D38" s="5">
        <v>203524935.21000001</v>
      </c>
      <c r="E38" s="5"/>
      <c r="F38" s="5">
        <v>659184385</v>
      </c>
      <c r="G38" s="5">
        <v>6000000000</v>
      </c>
      <c r="H38" s="5">
        <v>0</v>
      </c>
      <c r="I38" s="5"/>
      <c r="J38" s="5">
        <v>1372541864.0420001</v>
      </c>
    </row>
    <row r="39" spans="1:10" x14ac:dyDescent="0.25">
      <c r="A39" s="4" t="s">
        <v>1171</v>
      </c>
      <c r="B39" s="5"/>
      <c r="C39" s="5"/>
      <c r="D39" s="5"/>
      <c r="E39" s="5">
        <v>0</v>
      </c>
      <c r="F39" s="5"/>
      <c r="G39" s="5"/>
      <c r="H39" s="5"/>
      <c r="I39" s="5"/>
      <c r="J39" s="5">
        <v>0</v>
      </c>
    </row>
    <row r="40" spans="1:10" x14ac:dyDescent="0.25">
      <c r="A40" s="4" t="s">
        <v>445</v>
      </c>
      <c r="B40" s="5">
        <v>0</v>
      </c>
      <c r="C40" s="5"/>
      <c r="D40" s="5"/>
      <c r="E40" s="5"/>
      <c r="F40" s="5"/>
      <c r="G40" s="5"/>
      <c r="H40" s="5"/>
      <c r="I40" s="5"/>
      <c r="J40" s="5">
        <v>0</v>
      </c>
    </row>
    <row r="41" spans="1:10" x14ac:dyDescent="0.25">
      <c r="A41" s="4" t="s">
        <v>1126</v>
      </c>
      <c r="B41" s="5"/>
      <c r="C41" s="5"/>
      <c r="D41" s="5">
        <v>6000000</v>
      </c>
      <c r="E41" s="5"/>
      <c r="F41" s="5"/>
      <c r="G41" s="5"/>
      <c r="H41" s="5"/>
      <c r="I41" s="5"/>
      <c r="J41" s="5">
        <v>6000000</v>
      </c>
    </row>
    <row r="42" spans="1:10" x14ac:dyDescent="0.25">
      <c r="A42" s="4" t="s">
        <v>1149</v>
      </c>
      <c r="B42" s="5"/>
      <c r="C42" s="5"/>
      <c r="D42" s="5">
        <v>0</v>
      </c>
      <c r="E42" s="5">
        <v>300000</v>
      </c>
      <c r="F42" s="5">
        <v>-247378.02</v>
      </c>
      <c r="G42" s="5"/>
      <c r="H42" s="5"/>
      <c r="I42" s="5"/>
      <c r="J42" s="5">
        <v>17540.660000000003</v>
      </c>
    </row>
    <row r="43" spans="1:10" x14ac:dyDescent="0.25">
      <c r="A43" s="4" t="s">
        <v>1243</v>
      </c>
      <c r="B43" s="5"/>
      <c r="C43" s="5"/>
      <c r="D43" s="5"/>
      <c r="E43" s="5"/>
      <c r="F43" s="5">
        <v>0</v>
      </c>
      <c r="G43" s="5"/>
      <c r="H43" s="5"/>
      <c r="I43" s="5"/>
      <c r="J43" s="5">
        <v>0</v>
      </c>
    </row>
    <row r="44" spans="1:10" x14ac:dyDescent="0.25">
      <c r="A44" s="4" t="s">
        <v>981</v>
      </c>
      <c r="B44" s="5"/>
      <c r="C44" s="5">
        <v>720000</v>
      </c>
      <c r="D44" s="5">
        <v>0</v>
      </c>
      <c r="E44" s="5">
        <v>0</v>
      </c>
      <c r="F44" s="5">
        <v>0</v>
      </c>
      <c r="G44" s="5"/>
      <c r="H44" s="5"/>
      <c r="I44" s="5"/>
      <c r="J44" s="5">
        <v>180000</v>
      </c>
    </row>
    <row r="45" spans="1:10" x14ac:dyDescent="0.25">
      <c r="A45" s="4" t="s">
        <v>1023</v>
      </c>
      <c r="B45" s="5"/>
      <c r="C45" s="5">
        <v>0</v>
      </c>
      <c r="D45" s="5">
        <v>0</v>
      </c>
      <c r="E45" s="5">
        <v>0</v>
      </c>
      <c r="F45" s="5"/>
      <c r="G45" s="5">
        <v>0</v>
      </c>
      <c r="H45" s="5"/>
      <c r="I45" s="5"/>
      <c r="J45" s="5">
        <v>0</v>
      </c>
    </row>
    <row r="46" spans="1:10" x14ac:dyDescent="0.25">
      <c r="A46" s="4" t="s">
        <v>1258</v>
      </c>
      <c r="B46" s="5"/>
      <c r="C46" s="5"/>
      <c r="D46" s="5"/>
      <c r="E46" s="5"/>
      <c r="F46" s="5"/>
      <c r="G46" s="5">
        <v>515000000</v>
      </c>
      <c r="H46" s="5">
        <v>0</v>
      </c>
      <c r="I46" s="5"/>
      <c r="J46" s="5">
        <v>257500000</v>
      </c>
    </row>
    <row r="47" spans="1:10" x14ac:dyDescent="0.25">
      <c r="A47" s="4" t="s">
        <v>1064</v>
      </c>
      <c r="B47" s="5"/>
      <c r="C47" s="5"/>
      <c r="D47" s="5">
        <v>0</v>
      </c>
      <c r="E47" s="5"/>
      <c r="F47" s="5">
        <v>800000</v>
      </c>
      <c r="G47" s="5"/>
      <c r="H47" s="5"/>
      <c r="I47" s="5"/>
      <c r="J47" s="5">
        <v>400000</v>
      </c>
    </row>
    <row r="48" spans="1:10" x14ac:dyDescent="0.25">
      <c r="A48" s="4" t="s">
        <v>1280</v>
      </c>
      <c r="B48" s="5"/>
      <c r="C48" s="5"/>
      <c r="D48" s="5"/>
      <c r="E48" s="5"/>
      <c r="F48" s="5"/>
      <c r="G48" s="5">
        <v>906801538</v>
      </c>
      <c r="H48" s="5"/>
      <c r="I48" s="5"/>
      <c r="J48" s="5">
        <v>906801538</v>
      </c>
    </row>
    <row r="49" spans="1:10" x14ac:dyDescent="0.25">
      <c r="A49" s="4" t="s">
        <v>1334</v>
      </c>
      <c r="B49" s="5"/>
      <c r="C49" s="5"/>
      <c r="D49" s="5"/>
      <c r="E49" s="5"/>
      <c r="F49" s="5"/>
      <c r="G49" s="5"/>
      <c r="H49" s="5"/>
      <c r="I49" s="5">
        <v>316000</v>
      </c>
      <c r="J49" s="5">
        <v>316000</v>
      </c>
    </row>
    <row r="50" spans="1:10" x14ac:dyDescent="0.25">
      <c r="A50" s="4" t="s">
        <v>1289</v>
      </c>
      <c r="B50" s="5"/>
      <c r="C50" s="5"/>
      <c r="D50" s="5"/>
      <c r="E50" s="5"/>
      <c r="F50" s="5"/>
      <c r="G50" s="5">
        <v>2859164</v>
      </c>
      <c r="H50" s="5"/>
      <c r="I50" s="5">
        <v>0</v>
      </c>
      <c r="J50" s="5">
        <v>1429582</v>
      </c>
    </row>
    <row r="51" spans="1:10" x14ac:dyDescent="0.25">
      <c r="A51" s="4" t="s">
        <v>1254</v>
      </c>
      <c r="B51" s="5"/>
      <c r="C51" s="5"/>
      <c r="D51" s="5"/>
      <c r="E51" s="5"/>
      <c r="F51" s="5">
        <v>2900117</v>
      </c>
      <c r="G51" s="5">
        <v>1367990</v>
      </c>
      <c r="H51" s="5"/>
      <c r="I51" s="5">
        <v>0</v>
      </c>
      <c r="J51" s="5">
        <v>1422702.3333333333</v>
      </c>
    </row>
    <row r="52" spans="1:10" x14ac:dyDescent="0.25">
      <c r="A52" s="4" t="s">
        <v>471</v>
      </c>
      <c r="B52" s="5">
        <v>261184474.37</v>
      </c>
      <c r="C52" s="5">
        <v>18751685.170000002</v>
      </c>
      <c r="D52" s="5">
        <v>5378662.46</v>
      </c>
      <c r="E52" s="5">
        <v>9706402.9199999999</v>
      </c>
      <c r="F52" s="5">
        <v>55465989.060000002</v>
      </c>
      <c r="G52" s="5">
        <v>18680495.670000002</v>
      </c>
      <c r="H52" s="5">
        <v>21754656.030000001</v>
      </c>
      <c r="I52" s="5">
        <v>40171565.030000001</v>
      </c>
      <c r="J52" s="5">
        <v>53886741.338750005</v>
      </c>
    </row>
    <row r="53" spans="1:10" x14ac:dyDescent="0.25">
      <c r="A53" s="4" t="s">
        <v>1121</v>
      </c>
      <c r="B53" s="5"/>
      <c r="C53" s="5"/>
      <c r="D53" s="5">
        <v>2807000</v>
      </c>
      <c r="E53" s="5">
        <v>-316631.74</v>
      </c>
      <c r="F53" s="5"/>
      <c r="G53" s="5"/>
      <c r="H53" s="5"/>
      <c r="I53" s="5"/>
      <c r="J53" s="5">
        <v>1245184.1299999999</v>
      </c>
    </row>
    <row r="54" spans="1:10" x14ac:dyDescent="0.25">
      <c r="A54" s="4" t="s">
        <v>734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8132000</v>
      </c>
      <c r="I54" s="5">
        <v>0</v>
      </c>
      <c r="J54" s="5">
        <v>1016500</v>
      </c>
    </row>
    <row r="55" spans="1:10" x14ac:dyDescent="0.25">
      <c r="A55" s="4" t="s">
        <v>237</v>
      </c>
      <c r="B55" s="5">
        <v>228473762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28559220.25</v>
      </c>
    </row>
    <row r="56" spans="1:10" x14ac:dyDescent="0.25">
      <c r="A56" s="4" t="s">
        <v>299</v>
      </c>
      <c r="B56" s="5">
        <v>1942029116.3099999</v>
      </c>
      <c r="C56" s="5">
        <v>4087135459.6399999</v>
      </c>
      <c r="D56" s="5">
        <v>4249593943.5700002</v>
      </c>
      <c r="E56" s="5">
        <v>3902249434.8499999</v>
      </c>
      <c r="F56" s="5">
        <v>4445728395.7299995</v>
      </c>
      <c r="G56" s="5">
        <v>3637936725.6599998</v>
      </c>
      <c r="H56" s="5">
        <v>4454179915.9399996</v>
      </c>
      <c r="I56" s="5">
        <v>2806115268.0100002</v>
      </c>
      <c r="J56" s="5">
        <v>3690621032.4637499</v>
      </c>
    </row>
    <row r="57" spans="1:10" x14ac:dyDescent="0.25">
      <c r="A57" s="4" t="s">
        <v>688</v>
      </c>
      <c r="B57" s="5">
        <v>37854720073</v>
      </c>
      <c r="C57" s="5">
        <v>2000</v>
      </c>
      <c r="D57" s="5">
        <v>430000</v>
      </c>
      <c r="E57" s="5">
        <v>1788000</v>
      </c>
      <c r="F57" s="5">
        <v>300000</v>
      </c>
      <c r="G57" s="5">
        <v>400000</v>
      </c>
      <c r="H57" s="5">
        <v>800000</v>
      </c>
      <c r="I57" s="5">
        <v>1100000</v>
      </c>
      <c r="J57" s="5">
        <v>4732442509.125</v>
      </c>
    </row>
    <row r="58" spans="1:10" x14ac:dyDescent="0.25">
      <c r="A58" s="4" t="s">
        <v>484</v>
      </c>
      <c r="B58" s="5">
        <v>60622099</v>
      </c>
      <c r="C58" s="5">
        <v>0</v>
      </c>
      <c r="D58" s="5">
        <v>0</v>
      </c>
      <c r="E58" s="5">
        <v>0</v>
      </c>
      <c r="F58" s="5">
        <v>52410262</v>
      </c>
      <c r="G58" s="5">
        <v>0</v>
      </c>
      <c r="H58" s="5">
        <v>0</v>
      </c>
      <c r="I58" s="5">
        <v>0</v>
      </c>
      <c r="J58" s="5">
        <v>14129045.125</v>
      </c>
    </row>
    <row r="59" spans="1:10" x14ac:dyDescent="0.25">
      <c r="A59" s="4" t="s">
        <v>49</v>
      </c>
      <c r="B59" s="5">
        <v>0</v>
      </c>
      <c r="C59" s="5"/>
      <c r="D59" s="5"/>
      <c r="E59" s="5"/>
      <c r="F59" s="5"/>
      <c r="G59" s="5"/>
      <c r="H59" s="5"/>
      <c r="I59" s="5"/>
      <c r="J59" s="5">
        <v>0</v>
      </c>
    </row>
    <row r="60" spans="1:10" x14ac:dyDescent="0.25">
      <c r="A60" s="4" t="s">
        <v>669</v>
      </c>
      <c r="B60" s="5">
        <v>4711334604</v>
      </c>
      <c r="C60" s="5">
        <v>0</v>
      </c>
      <c r="D60" s="5">
        <v>-3000000</v>
      </c>
      <c r="E60" s="5">
        <v>3000000</v>
      </c>
      <c r="F60" s="5">
        <v>0</v>
      </c>
      <c r="G60" s="5">
        <v>0</v>
      </c>
      <c r="H60" s="5">
        <v>0</v>
      </c>
      <c r="I60" s="5">
        <v>0</v>
      </c>
      <c r="J60" s="5">
        <v>588916825.5</v>
      </c>
    </row>
    <row r="61" spans="1:10" x14ac:dyDescent="0.25">
      <c r="A61" s="4" t="s">
        <v>626</v>
      </c>
      <c r="B61" s="5">
        <v>46300804590</v>
      </c>
      <c r="C61" s="5">
        <v>915000</v>
      </c>
      <c r="D61" s="5">
        <v>1560052.42</v>
      </c>
      <c r="E61" s="5">
        <v>1458130.2</v>
      </c>
      <c r="F61" s="5">
        <v>1071130.2</v>
      </c>
      <c r="G61" s="5">
        <v>1500132</v>
      </c>
      <c r="H61" s="5">
        <v>700132</v>
      </c>
      <c r="I61" s="5">
        <v>1310132</v>
      </c>
      <c r="J61" s="5">
        <v>5788664912.352499</v>
      </c>
    </row>
    <row r="62" spans="1:10" x14ac:dyDescent="0.25">
      <c r="A62" s="4" t="s">
        <v>1142</v>
      </c>
      <c r="B62" s="5"/>
      <c r="C62" s="5"/>
      <c r="D62" s="5">
        <v>0</v>
      </c>
      <c r="E62" s="5"/>
      <c r="F62" s="5"/>
      <c r="G62" s="5"/>
      <c r="H62" s="5"/>
      <c r="I62" s="5"/>
      <c r="J62" s="5">
        <v>0</v>
      </c>
    </row>
    <row r="63" spans="1:10" x14ac:dyDescent="0.25">
      <c r="A63" s="4" t="s">
        <v>495</v>
      </c>
      <c r="B63" s="5">
        <v>0</v>
      </c>
      <c r="C63" s="5"/>
      <c r="D63" s="5">
        <v>250000</v>
      </c>
      <c r="E63" s="5">
        <v>185000</v>
      </c>
      <c r="F63" s="5">
        <v>389681.55</v>
      </c>
      <c r="G63" s="5">
        <v>172000</v>
      </c>
      <c r="H63" s="5">
        <v>234400</v>
      </c>
      <c r="I63" s="5">
        <v>88000</v>
      </c>
      <c r="J63" s="5">
        <v>188440.22142857144</v>
      </c>
    </row>
    <row r="64" spans="1:10" x14ac:dyDescent="0.25">
      <c r="A64" s="4" t="s">
        <v>1245</v>
      </c>
      <c r="B64" s="5"/>
      <c r="C64" s="5"/>
      <c r="D64" s="5"/>
      <c r="E64" s="5"/>
      <c r="F64" s="5">
        <v>0</v>
      </c>
      <c r="G64" s="5"/>
      <c r="H64" s="5"/>
      <c r="I64" s="5"/>
      <c r="J64" s="5">
        <v>0</v>
      </c>
    </row>
    <row r="65" spans="1:10" x14ac:dyDescent="0.25">
      <c r="A65" s="4" t="s">
        <v>260</v>
      </c>
      <c r="B65" s="5">
        <v>51935.67</v>
      </c>
      <c r="C65" s="5">
        <v>24169816.835000001</v>
      </c>
      <c r="D65" s="5">
        <v>82153158.064999998</v>
      </c>
      <c r="E65" s="5">
        <v>43970413.725000001</v>
      </c>
      <c r="F65" s="5">
        <v>40562207.460000001</v>
      </c>
      <c r="G65" s="5">
        <v>45956017.475000001</v>
      </c>
      <c r="H65" s="5">
        <v>438770990.56</v>
      </c>
      <c r="I65" s="5">
        <v>1319.39</v>
      </c>
      <c r="J65" s="5">
        <v>84454482.397499993</v>
      </c>
    </row>
    <row r="66" spans="1:10" x14ac:dyDescent="0.25">
      <c r="A66" s="4" t="s">
        <v>146</v>
      </c>
      <c r="B66" s="5">
        <v>0</v>
      </c>
      <c r="C66" s="5"/>
      <c r="D66" s="5"/>
      <c r="E66" s="5"/>
      <c r="F66" s="5">
        <v>142536076</v>
      </c>
      <c r="G66" s="5">
        <v>0</v>
      </c>
      <c r="H66" s="5">
        <v>11684098</v>
      </c>
      <c r="I66" s="5">
        <v>0</v>
      </c>
      <c r="J66" s="5">
        <v>30844034.800000001</v>
      </c>
    </row>
    <row r="67" spans="1:10" x14ac:dyDescent="0.25">
      <c r="A67" s="4" t="s">
        <v>258</v>
      </c>
      <c r="B67" s="5">
        <v>300000000</v>
      </c>
      <c r="C67" s="5">
        <v>3359495</v>
      </c>
      <c r="D67" s="5"/>
      <c r="E67" s="5"/>
      <c r="F67" s="5"/>
      <c r="G67" s="5">
        <v>196640505</v>
      </c>
      <c r="H67" s="5">
        <v>0</v>
      </c>
      <c r="I67" s="5"/>
      <c r="J67" s="5">
        <v>125000000</v>
      </c>
    </row>
    <row r="68" spans="1:10" x14ac:dyDescent="0.25">
      <c r="A68" s="4" t="s">
        <v>600</v>
      </c>
      <c r="B68" s="5">
        <v>26484811</v>
      </c>
      <c r="C68" s="5"/>
      <c r="D68" s="5"/>
      <c r="E68" s="5"/>
      <c r="F68" s="5"/>
      <c r="G68" s="5"/>
      <c r="H68" s="5">
        <v>-2605256</v>
      </c>
      <c r="I68" s="5"/>
      <c r="J68" s="5">
        <v>11939777.5</v>
      </c>
    </row>
    <row r="69" spans="1:10" x14ac:dyDescent="0.25">
      <c r="A69" s="4" t="s">
        <v>774</v>
      </c>
      <c r="B69" s="5">
        <v>0</v>
      </c>
      <c r="C69" s="5">
        <v>7248026.8499999996</v>
      </c>
      <c r="D69" s="5">
        <v>81618493.400000006</v>
      </c>
      <c r="E69" s="5">
        <v>79585184.680000007</v>
      </c>
      <c r="F69" s="5">
        <v>91471432.219999999</v>
      </c>
      <c r="G69" s="5">
        <v>89659487.219999999</v>
      </c>
      <c r="H69" s="5">
        <v>106247219.84</v>
      </c>
      <c r="I69" s="5">
        <v>99019075.450000003</v>
      </c>
      <c r="J69" s="5">
        <v>69356114.957500011</v>
      </c>
    </row>
    <row r="70" spans="1:10" x14ac:dyDescent="0.25">
      <c r="A70" s="4" t="s">
        <v>859</v>
      </c>
      <c r="B70" s="5">
        <v>0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</row>
    <row r="71" spans="1:10" x14ac:dyDescent="0.25">
      <c r="A71" s="4" t="s">
        <v>354</v>
      </c>
      <c r="B71" s="5">
        <v>9667058</v>
      </c>
      <c r="C71" s="5">
        <v>0</v>
      </c>
      <c r="D71" s="5">
        <v>-8010000</v>
      </c>
      <c r="E71" s="5">
        <v>8010000</v>
      </c>
      <c r="F71" s="5">
        <v>0</v>
      </c>
      <c r="G71" s="5"/>
      <c r="H71" s="5">
        <v>0</v>
      </c>
      <c r="I71" s="5">
        <v>0</v>
      </c>
      <c r="J71" s="5">
        <v>1381008.2857142857</v>
      </c>
    </row>
    <row r="72" spans="1:10" x14ac:dyDescent="0.25">
      <c r="A72" s="4" t="s">
        <v>332</v>
      </c>
      <c r="B72" s="5">
        <v>47744065.700000003</v>
      </c>
      <c r="C72" s="5">
        <v>47859574.240000002</v>
      </c>
      <c r="D72" s="5">
        <v>140164136.50999999</v>
      </c>
      <c r="E72" s="5">
        <v>0</v>
      </c>
      <c r="F72" s="5">
        <v>159346892.09</v>
      </c>
      <c r="G72" s="5">
        <v>0</v>
      </c>
      <c r="H72" s="5">
        <v>0</v>
      </c>
      <c r="I72" s="5">
        <v>360000</v>
      </c>
      <c r="J72" s="5">
        <v>49434333.567499995</v>
      </c>
    </row>
    <row r="73" spans="1:10" x14ac:dyDescent="0.25">
      <c r="A73" s="4" t="s">
        <v>1241</v>
      </c>
      <c r="B73" s="5"/>
      <c r="C73" s="5"/>
      <c r="D73" s="5"/>
      <c r="E73" s="5"/>
      <c r="F73" s="5">
        <v>11845171</v>
      </c>
      <c r="G73" s="5">
        <v>0</v>
      </c>
      <c r="H73" s="5"/>
      <c r="I73" s="5"/>
      <c r="J73" s="5">
        <v>5922585.5</v>
      </c>
    </row>
    <row r="74" spans="1:10" x14ac:dyDescent="0.25">
      <c r="A74" s="4" t="s">
        <v>1252</v>
      </c>
      <c r="B74" s="5"/>
      <c r="C74" s="5"/>
      <c r="D74" s="5"/>
      <c r="E74" s="5"/>
      <c r="F74" s="5">
        <v>9807562</v>
      </c>
      <c r="G74" s="5">
        <v>297245</v>
      </c>
      <c r="H74" s="5"/>
      <c r="I74" s="5">
        <v>0</v>
      </c>
      <c r="J74" s="5">
        <v>3368269</v>
      </c>
    </row>
    <row r="75" spans="1:10" x14ac:dyDescent="0.25">
      <c r="A75" s="4" t="s">
        <v>566</v>
      </c>
      <c r="B75" s="5">
        <v>377524529.58999997</v>
      </c>
      <c r="C75" s="5">
        <v>290972335.47000003</v>
      </c>
      <c r="D75" s="5">
        <v>244009707.09</v>
      </c>
      <c r="E75" s="5">
        <v>257240172.18000001</v>
      </c>
      <c r="F75" s="5">
        <v>260245879.13</v>
      </c>
      <c r="G75" s="5">
        <v>331950081.02999997</v>
      </c>
      <c r="H75" s="5">
        <v>280693552.20999998</v>
      </c>
      <c r="I75" s="5">
        <v>28081880.359999999</v>
      </c>
      <c r="J75" s="5">
        <v>258839767.13249999</v>
      </c>
    </row>
    <row r="76" spans="1:10" x14ac:dyDescent="0.25">
      <c r="A76" s="4" t="s">
        <v>195</v>
      </c>
      <c r="B76" s="5">
        <v>160804764.53</v>
      </c>
      <c r="C76" s="5">
        <v>164204193.69999999</v>
      </c>
      <c r="D76" s="5">
        <v>164799624.16</v>
      </c>
      <c r="E76" s="5">
        <v>165316091.91999999</v>
      </c>
      <c r="F76" s="5">
        <v>165926589.09999999</v>
      </c>
      <c r="G76" s="5">
        <v>248158659.72999999</v>
      </c>
      <c r="H76" s="5">
        <v>173611115.06999999</v>
      </c>
      <c r="I76" s="5">
        <v>0</v>
      </c>
      <c r="J76" s="5">
        <v>155352629.77625</v>
      </c>
    </row>
    <row r="77" spans="1:10" x14ac:dyDescent="0.25">
      <c r="A77" s="4" t="s">
        <v>696</v>
      </c>
      <c r="B77" s="5">
        <v>19949444.600000001</v>
      </c>
      <c r="C77" s="5">
        <v>18496677.530000001</v>
      </c>
      <c r="D77" s="5">
        <v>18611566.850000001</v>
      </c>
      <c r="E77" s="5">
        <v>19333056.5</v>
      </c>
      <c r="F77" s="5">
        <v>19248604.530000001</v>
      </c>
      <c r="G77" s="5">
        <v>19536735.829999998</v>
      </c>
      <c r="H77" s="5">
        <v>19584642.84</v>
      </c>
      <c r="I77" s="5">
        <v>159769.01</v>
      </c>
      <c r="J77" s="5">
        <v>16865062.21125</v>
      </c>
    </row>
    <row r="78" spans="1:10" x14ac:dyDescent="0.25">
      <c r="A78" s="4" t="s">
        <v>204</v>
      </c>
      <c r="B78" s="5">
        <v>0</v>
      </c>
      <c r="C78" s="5">
        <v>1713252300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I78" s="5">
        <v>0</v>
      </c>
      <c r="J78" s="5">
        <v>214156537.5</v>
      </c>
    </row>
    <row r="79" spans="1:10" x14ac:dyDescent="0.25">
      <c r="A79" s="4" t="s">
        <v>538</v>
      </c>
      <c r="B79" s="5">
        <v>22164000</v>
      </c>
      <c r="C79" s="5">
        <v>64304500</v>
      </c>
      <c r="D79" s="5">
        <v>87861985</v>
      </c>
      <c r="E79" s="5">
        <v>505703929</v>
      </c>
      <c r="F79" s="5">
        <v>136485</v>
      </c>
      <c r="G79" s="5">
        <v>30000</v>
      </c>
      <c r="H79" s="5">
        <v>0</v>
      </c>
      <c r="I79" s="5">
        <v>794600559</v>
      </c>
      <c r="J79" s="5">
        <v>184350182.25</v>
      </c>
    </row>
    <row r="80" spans="1:10" x14ac:dyDescent="0.25">
      <c r="A80" s="4" t="s">
        <v>952</v>
      </c>
      <c r="B80" s="5"/>
      <c r="C80" s="5">
        <v>6984901.4500000002</v>
      </c>
      <c r="D80" s="5">
        <v>6984901.4500000002</v>
      </c>
      <c r="E80" s="5">
        <v>42630983.450000003</v>
      </c>
      <c r="F80" s="5">
        <v>19256332.93</v>
      </c>
      <c r="G80" s="5">
        <v>0</v>
      </c>
      <c r="H80" s="5">
        <v>50390476.920000002</v>
      </c>
      <c r="I80" s="5">
        <v>0</v>
      </c>
      <c r="J80" s="5">
        <v>18035370.885714285</v>
      </c>
    </row>
    <row r="81" spans="1:10" x14ac:dyDescent="0.25">
      <c r="A81" s="4" t="s">
        <v>719</v>
      </c>
      <c r="B81" s="5">
        <v>111907048</v>
      </c>
      <c r="C81" s="5">
        <v>453395.84</v>
      </c>
      <c r="D81" s="5">
        <v>5050563</v>
      </c>
      <c r="E81" s="5">
        <v>-5147.05</v>
      </c>
      <c r="F81" s="5">
        <v>166075</v>
      </c>
      <c r="G81" s="5">
        <v>0</v>
      </c>
      <c r="H81" s="5">
        <v>-166075</v>
      </c>
      <c r="I81" s="5">
        <v>2642481</v>
      </c>
      <c r="J81" s="5">
        <v>15006042.598750001</v>
      </c>
    </row>
    <row r="82" spans="1:10" x14ac:dyDescent="0.25">
      <c r="A82" s="4" t="s">
        <v>1159</v>
      </c>
      <c r="B82" s="5"/>
      <c r="C82" s="5"/>
      <c r="D82" s="5"/>
      <c r="E82" s="5">
        <v>145486231.66999999</v>
      </c>
      <c r="F82" s="5">
        <v>0</v>
      </c>
      <c r="G82" s="5">
        <v>-5206000</v>
      </c>
      <c r="H82" s="5">
        <v>0</v>
      </c>
      <c r="I82" s="5"/>
      <c r="J82" s="5">
        <v>35070057.917499997</v>
      </c>
    </row>
    <row r="83" spans="1:10" x14ac:dyDescent="0.25">
      <c r="A83" s="4" t="s">
        <v>472</v>
      </c>
      <c r="B83" s="5">
        <v>940939.58</v>
      </c>
      <c r="C83" s="5">
        <v>4482901.87</v>
      </c>
      <c r="D83" s="5">
        <v>2494526.44</v>
      </c>
      <c r="E83" s="5">
        <v>3798664.94</v>
      </c>
      <c r="F83" s="5">
        <v>9282003.6999999993</v>
      </c>
      <c r="G83" s="5">
        <v>1604675.46</v>
      </c>
      <c r="H83" s="5">
        <v>2043454.23</v>
      </c>
      <c r="I83" s="5">
        <v>1410243.86</v>
      </c>
      <c r="J83" s="5">
        <v>3257176.2600000002</v>
      </c>
    </row>
    <row r="84" spans="1:10" x14ac:dyDescent="0.25">
      <c r="A84" s="4" t="s">
        <v>1122</v>
      </c>
      <c r="B84" s="5"/>
      <c r="C84" s="5"/>
      <c r="D84" s="5">
        <v>0</v>
      </c>
      <c r="E84" s="5">
        <v>57163165.25</v>
      </c>
      <c r="F84" s="5">
        <v>0</v>
      </c>
      <c r="G84" s="5">
        <v>2396439.34</v>
      </c>
      <c r="H84" s="5"/>
      <c r="I84" s="5">
        <v>0</v>
      </c>
      <c r="J84" s="5">
        <v>11911920.918000001</v>
      </c>
    </row>
    <row r="85" spans="1:10" x14ac:dyDescent="0.25">
      <c r="A85" s="4" t="s">
        <v>921</v>
      </c>
      <c r="B85" s="5">
        <v>68466193.480000004</v>
      </c>
      <c r="C85" s="5">
        <v>67025490.049999997</v>
      </c>
      <c r="D85" s="5">
        <v>70140881.010000005</v>
      </c>
      <c r="E85" s="5">
        <v>72388502.989999995</v>
      </c>
      <c r="F85" s="5">
        <v>71715517.920000002</v>
      </c>
      <c r="G85" s="5">
        <v>288525650.83999997</v>
      </c>
      <c r="H85" s="5">
        <v>19850164.469999999</v>
      </c>
      <c r="I85" s="5">
        <v>6222952.3899999997</v>
      </c>
      <c r="J85" s="5">
        <v>83041919.143749997</v>
      </c>
    </row>
    <row r="86" spans="1:10" x14ac:dyDescent="0.25">
      <c r="A86" s="4" t="s">
        <v>573</v>
      </c>
      <c r="B86" s="5">
        <v>0</v>
      </c>
      <c r="C86" s="5"/>
      <c r="D86" s="5"/>
      <c r="E86" s="5"/>
      <c r="F86" s="5">
        <v>1500000</v>
      </c>
      <c r="G86" s="5">
        <v>0</v>
      </c>
      <c r="H86" s="5"/>
      <c r="I86" s="5"/>
      <c r="J86" s="5">
        <v>500000</v>
      </c>
    </row>
    <row r="87" spans="1:10" x14ac:dyDescent="0.25">
      <c r="A87" s="4" t="s">
        <v>267</v>
      </c>
      <c r="B87" s="5">
        <v>0</v>
      </c>
      <c r="C87" s="5">
        <v>1905189521.28</v>
      </c>
      <c r="D87" s="5">
        <v>2665567.8199999998</v>
      </c>
      <c r="E87" s="5">
        <v>5270352.12</v>
      </c>
      <c r="F87" s="5">
        <v>32342829.545000002</v>
      </c>
      <c r="G87" s="5">
        <v>251978004.66499999</v>
      </c>
      <c r="H87" s="5">
        <v>139633658.88999999</v>
      </c>
      <c r="I87" s="5">
        <v>327442781.55000001</v>
      </c>
      <c r="J87" s="5">
        <v>333440176.67933333</v>
      </c>
    </row>
    <row r="88" spans="1:10" x14ac:dyDescent="0.25">
      <c r="A88" s="4" t="s">
        <v>149</v>
      </c>
      <c r="B88" s="5">
        <v>2439101.7799999998</v>
      </c>
      <c r="C88" s="5">
        <v>2947738.34</v>
      </c>
      <c r="D88" s="5">
        <v>4559618.95</v>
      </c>
      <c r="E88" s="5">
        <v>2402952.0299999998</v>
      </c>
      <c r="F88" s="5">
        <v>8832562.9199999999</v>
      </c>
      <c r="G88" s="5">
        <v>9111100.7400000002</v>
      </c>
      <c r="H88" s="5">
        <v>10317677.890000001</v>
      </c>
      <c r="I88" s="5">
        <v>2785381.1</v>
      </c>
      <c r="J88" s="5">
        <v>5424516.71875</v>
      </c>
    </row>
    <row r="89" spans="1:10" x14ac:dyDescent="0.25">
      <c r="A89" s="4" t="s">
        <v>334</v>
      </c>
      <c r="B89" s="5">
        <v>0</v>
      </c>
      <c r="C89" s="5">
        <v>34457.75</v>
      </c>
      <c r="D89" s="5">
        <v>168619.92</v>
      </c>
      <c r="E89" s="5">
        <v>662909.20000000007</v>
      </c>
      <c r="F89" s="5">
        <v>-12219.04</v>
      </c>
      <c r="G89" s="5">
        <v>-22427.024999999998</v>
      </c>
      <c r="H89" s="5">
        <v>149378.69</v>
      </c>
      <c r="I89" s="5">
        <v>193077.21</v>
      </c>
      <c r="J89" s="5">
        <v>205414.08666666664</v>
      </c>
    </row>
    <row r="90" spans="1:10" x14ac:dyDescent="0.25">
      <c r="A90" s="4" t="s">
        <v>818</v>
      </c>
      <c r="B90" s="5">
        <v>101701.64</v>
      </c>
      <c r="C90" s="5">
        <v>981446.67</v>
      </c>
      <c r="D90" s="5">
        <v>2016173.8</v>
      </c>
      <c r="E90" s="5">
        <v>1797243.9</v>
      </c>
      <c r="F90" s="5">
        <v>935878.16</v>
      </c>
      <c r="G90" s="5">
        <v>545734.64</v>
      </c>
      <c r="H90" s="5">
        <v>529815.51</v>
      </c>
      <c r="I90" s="5">
        <v>433307.45</v>
      </c>
      <c r="J90" s="5">
        <v>917662.72124999994</v>
      </c>
    </row>
    <row r="91" spans="1:10" x14ac:dyDescent="0.25">
      <c r="A91" s="4" t="s">
        <v>1154</v>
      </c>
      <c r="B91" s="5"/>
      <c r="C91" s="5"/>
      <c r="D91" s="5"/>
      <c r="E91" s="5">
        <v>0</v>
      </c>
      <c r="F91" s="5"/>
      <c r="G91" s="5"/>
      <c r="H91" s="5"/>
      <c r="I91" s="5"/>
      <c r="J91" s="5">
        <v>0</v>
      </c>
    </row>
    <row r="92" spans="1:10" x14ac:dyDescent="0.25">
      <c r="A92" s="4" t="s">
        <v>794</v>
      </c>
      <c r="B92" s="5">
        <v>41798051.450000003</v>
      </c>
      <c r="C92" s="5">
        <v>42769451.549999997</v>
      </c>
      <c r="D92" s="5">
        <v>43193513.609999999</v>
      </c>
      <c r="E92" s="5">
        <v>42974515.490000002</v>
      </c>
      <c r="F92" s="5">
        <v>43169923.100000001</v>
      </c>
      <c r="G92" s="5">
        <v>60959722.170000002</v>
      </c>
      <c r="H92" s="5">
        <v>44377945.939999998</v>
      </c>
      <c r="I92" s="5">
        <v>0</v>
      </c>
      <c r="J92" s="5">
        <v>39905390.41375</v>
      </c>
    </row>
    <row r="93" spans="1:10" x14ac:dyDescent="0.25">
      <c r="A93" s="4" t="s">
        <v>893</v>
      </c>
      <c r="B93" s="5">
        <v>74500000</v>
      </c>
      <c r="C93" s="5">
        <v>282205000</v>
      </c>
      <c r="D93" s="5">
        <v>654701990.40999997</v>
      </c>
      <c r="E93" s="5">
        <v>71037374.739999995</v>
      </c>
      <c r="F93" s="5">
        <v>2278100000</v>
      </c>
      <c r="G93" s="5">
        <v>812081736.91999996</v>
      </c>
      <c r="H93" s="5">
        <v>1301930616.53</v>
      </c>
      <c r="I93" s="5">
        <v>-45352039.549999997</v>
      </c>
      <c r="J93" s="5">
        <v>678650584.8812499</v>
      </c>
    </row>
    <row r="94" spans="1:10" x14ac:dyDescent="0.25">
      <c r="A94" s="4" t="s">
        <v>514</v>
      </c>
      <c r="B94" s="5">
        <v>330000</v>
      </c>
      <c r="C94" s="5">
        <v>4911000</v>
      </c>
      <c r="D94" s="5">
        <v>4841469.84</v>
      </c>
      <c r="E94" s="5">
        <v>7846000</v>
      </c>
      <c r="F94" s="5">
        <v>4865968.2</v>
      </c>
      <c r="G94" s="5">
        <v>7008480.4000000004</v>
      </c>
      <c r="H94" s="5">
        <v>4774275.1500000004</v>
      </c>
      <c r="I94" s="5">
        <v>4462058.2</v>
      </c>
      <c r="J94" s="5">
        <v>4879906.4737499999</v>
      </c>
    </row>
    <row r="95" spans="1:10" x14ac:dyDescent="0.25">
      <c r="A95" s="4" t="s">
        <v>616</v>
      </c>
      <c r="B95" s="5">
        <v>73174334.400000006</v>
      </c>
      <c r="C95" s="5">
        <v>85103819.409999996</v>
      </c>
      <c r="D95" s="5">
        <v>176493429.16</v>
      </c>
      <c r="E95" s="5">
        <v>3989292.69</v>
      </c>
      <c r="F95" s="5">
        <v>301834666.31</v>
      </c>
      <c r="G95" s="5">
        <v>3160000</v>
      </c>
      <c r="H95" s="5">
        <v>0</v>
      </c>
      <c r="I95" s="5">
        <v>2000000</v>
      </c>
      <c r="J95" s="5">
        <v>80719442.746250004</v>
      </c>
    </row>
    <row r="96" spans="1:10" x14ac:dyDescent="0.25">
      <c r="A96" s="4" t="s">
        <v>1302</v>
      </c>
      <c r="B96" s="5"/>
      <c r="C96" s="5"/>
      <c r="D96" s="5"/>
      <c r="E96" s="5"/>
      <c r="F96" s="5"/>
      <c r="G96" s="5"/>
      <c r="H96" s="5">
        <v>1000000</v>
      </c>
      <c r="I96" s="5"/>
      <c r="J96" s="5">
        <v>1000000</v>
      </c>
    </row>
    <row r="97" spans="1:10" x14ac:dyDescent="0.25">
      <c r="A97" s="4" t="s">
        <v>252</v>
      </c>
      <c r="B97" s="5">
        <v>0</v>
      </c>
      <c r="C97" s="5"/>
      <c r="D97" s="5"/>
      <c r="E97" s="5"/>
      <c r="F97" s="5"/>
      <c r="G97" s="5"/>
      <c r="H97" s="5"/>
      <c r="I97" s="5">
        <v>1937594.92</v>
      </c>
      <c r="J97" s="5">
        <v>968797.46</v>
      </c>
    </row>
    <row r="98" spans="1:10" x14ac:dyDescent="0.25">
      <c r="A98" s="4" t="s">
        <v>239</v>
      </c>
      <c r="B98" s="5">
        <v>13000000</v>
      </c>
      <c r="C98" s="5">
        <v>0</v>
      </c>
      <c r="D98" s="5">
        <v>22000000</v>
      </c>
      <c r="E98" s="5">
        <v>0</v>
      </c>
      <c r="F98" s="5">
        <v>91000000</v>
      </c>
      <c r="G98" s="5">
        <v>0</v>
      </c>
      <c r="H98" s="5">
        <v>0</v>
      </c>
      <c r="I98" s="5">
        <v>0</v>
      </c>
      <c r="J98" s="5">
        <v>15750000</v>
      </c>
    </row>
    <row r="99" spans="1:10" x14ac:dyDescent="0.25">
      <c r="A99" s="4" t="s">
        <v>778</v>
      </c>
      <c r="B99" s="5">
        <v>85283152</v>
      </c>
      <c r="C99" s="5">
        <v>85695892.310000002</v>
      </c>
      <c r="D99" s="5">
        <v>85817242.689999998</v>
      </c>
      <c r="E99" s="5">
        <v>86146457</v>
      </c>
      <c r="F99" s="5">
        <v>86152665</v>
      </c>
      <c r="G99" s="5">
        <v>128378251</v>
      </c>
      <c r="H99" s="5">
        <v>89428055</v>
      </c>
      <c r="I99" s="5">
        <v>0</v>
      </c>
      <c r="J99" s="5">
        <v>80862714.375</v>
      </c>
    </row>
    <row r="100" spans="1:10" x14ac:dyDescent="0.25">
      <c r="A100" s="4" t="s">
        <v>380</v>
      </c>
      <c r="B100" s="5">
        <v>6166667</v>
      </c>
      <c r="C100" s="5">
        <v>31833333</v>
      </c>
      <c r="D100" s="5">
        <v>-3671050</v>
      </c>
      <c r="E100" s="5">
        <v>-11000000</v>
      </c>
      <c r="F100" s="5">
        <v>16221850</v>
      </c>
      <c r="G100" s="5">
        <v>0</v>
      </c>
      <c r="H100" s="5">
        <v>0</v>
      </c>
      <c r="I100" s="5">
        <v>0</v>
      </c>
      <c r="J100" s="5">
        <v>4943850</v>
      </c>
    </row>
    <row r="101" spans="1:10" x14ac:dyDescent="0.25">
      <c r="A101" s="4" t="s">
        <v>1209</v>
      </c>
      <c r="B101" s="5"/>
      <c r="C101" s="5"/>
      <c r="D101" s="5"/>
      <c r="E101" s="5">
        <v>2365391.54</v>
      </c>
      <c r="F101" s="5"/>
      <c r="G101" s="5"/>
      <c r="H101" s="5"/>
      <c r="I101" s="5"/>
      <c r="J101" s="5">
        <v>2365391.54</v>
      </c>
    </row>
    <row r="102" spans="1:10" x14ac:dyDescent="0.25">
      <c r="A102" s="4" t="s">
        <v>725</v>
      </c>
      <c r="B102" s="5">
        <v>150871443.30000001</v>
      </c>
      <c r="C102" s="5">
        <v>29110566.52</v>
      </c>
      <c r="D102" s="5">
        <v>87244802.709999993</v>
      </c>
      <c r="E102" s="5">
        <v>-28387624.739999998</v>
      </c>
      <c r="F102" s="5">
        <v>29678929.120000001</v>
      </c>
      <c r="G102" s="5">
        <v>29785773.27</v>
      </c>
      <c r="H102" s="5">
        <v>29755987.489999998</v>
      </c>
      <c r="I102" s="5">
        <v>29791694.68</v>
      </c>
      <c r="J102" s="5">
        <v>44731446.543750003</v>
      </c>
    </row>
    <row r="103" spans="1:10" x14ac:dyDescent="0.25">
      <c r="A103" s="4" t="s">
        <v>115</v>
      </c>
      <c r="B103" s="5">
        <v>0</v>
      </c>
      <c r="C103" s="5"/>
      <c r="D103" s="5"/>
      <c r="E103" s="5">
        <v>19000000</v>
      </c>
      <c r="F103" s="5"/>
      <c r="G103" s="5"/>
      <c r="H103" s="5">
        <v>19000000</v>
      </c>
      <c r="I103" s="5">
        <v>1039181446.0700001</v>
      </c>
      <c r="J103" s="5">
        <v>269295361.51750004</v>
      </c>
    </row>
    <row r="104" spans="1:10" x14ac:dyDescent="0.25">
      <c r="A104" s="4" t="s">
        <v>556</v>
      </c>
      <c r="B104" s="5">
        <v>0</v>
      </c>
      <c r="C104" s="5"/>
      <c r="D104" s="5"/>
      <c r="E104" s="5"/>
      <c r="F104" s="5"/>
      <c r="G104" s="5"/>
      <c r="H104" s="5">
        <v>76200483.730000004</v>
      </c>
      <c r="I104" s="5"/>
      <c r="J104" s="5">
        <v>38100241.865000002</v>
      </c>
    </row>
    <row r="105" spans="1:10" x14ac:dyDescent="0.25">
      <c r="A105" s="4" t="s">
        <v>1194</v>
      </c>
      <c r="B105" s="5"/>
      <c r="C105" s="5"/>
      <c r="D105" s="5"/>
      <c r="E105" s="5">
        <v>3153259</v>
      </c>
      <c r="F105" s="5"/>
      <c r="G105" s="5"/>
      <c r="H105" s="5"/>
      <c r="I105" s="5">
        <v>0</v>
      </c>
      <c r="J105" s="5">
        <v>1576629.5</v>
      </c>
    </row>
    <row r="106" spans="1:10" x14ac:dyDescent="0.25">
      <c r="A106" s="4" t="s">
        <v>1270</v>
      </c>
      <c r="B106" s="5"/>
      <c r="C106" s="5"/>
      <c r="D106" s="5"/>
      <c r="E106" s="5"/>
      <c r="F106" s="5"/>
      <c r="G106" s="5">
        <v>0</v>
      </c>
      <c r="H106" s="5"/>
      <c r="I106" s="5"/>
      <c r="J106" s="5">
        <v>0</v>
      </c>
    </row>
    <row r="107" spans="1:10" x14ac:dyDescent="0.25">
      <c r="A107" s="4" t="s">
        <v>256</v>
      </c>
      <c r="B107" s="5">
        <v>0</v>
      </c>
      <c r="C107" s="5">
        <v>10139526.779999999</v>
      </c>
      <c r="D107" s="5">
        <v>358427.86</v>
      </c>
      <c r="E107" s="5">
        <v>2383297.35</v>
      </c>
      <c r="F107" s="5">
        <v>3835778.35</v>
      </c>
      <c r="G107" s="5">
        <v>2324228.42</v>
      </c>
      <c r="H107" s="5">
        <v>22677447.449999999</v>
      </c>
      <c r="I107" s="5">
        <v>11078.72</v>
      </c>
      <c r="J107" s="5">
        <v>5216223.116249999</v>
      </c>
    </row>
    <row r="108" spans="1:10" x14ac:dyDescent="0.25">
      <c r="A108" s="4" t="s">
        <v>1247</v>
      </c>
      <c r="B108" s="5"/>
      <c r="C108" s="5"/>
      <c r="D108" s="5"/>
      <c r="E108" s="5"/>
      <c r="F108" s="5">
        <v>0</v>
      </c>
      <c r="G108" s="5"/>
      <c r="H108" s="5"/>
      <c r="I108" s="5">
        <v>0</v>
      </c>
      <c r="J108" s="5">
        <v>0</v>
      </c>
    </row>
    <row r="109" spans="1:10" x14ac:dyDescent="0.25">
      <c r="A109" s="4" t="s">
        <v>1215</v>
      </c>
      <c r="B109" s="5"/>
      <c r="C109" s="5"/>
      <c r="D109" s="5"/>
      <c r="E109" s="5"/>
      <c r="F109" s="5">
        <v>0</v>
      </c>
      <c r="G109" s="5"/>
      <c r="H109" s="5"/>
      <c r="I109" s="5"/>
      <c r="J109" s="5">
        <v>0</v>
      </c>
    </row>
    <row r="110" spans="1:10" x14ac:dyDescent="0.25">
      <c r="A110" s="4" t="s">
        <v>1163</v>
      </c>
      <c r="B110" s="5"/>
      <c r="C110" s="5"/>
      <c r="D110" s="5"/>
      <c r="E110" s="5">
        <v>0</v>
      </c>
      <c r="F110" s="5"/>
      <c r="G110" s="5"/>
      <c r="H110" s="5"/>
      <c r="I110" s="5"/>
      <c r="J110" s="5">
        <v>0</v>
      </c>
    </row>
    <row r="111" spans="1:10" x14ac:dyDescent="0.25">
      <c r="A111" s="4" t="s">
        <v>744</v>
      </c>
      <c r="B111" s="5">
        <v>54345535.049999997</v>
      </c>
      <c r="C111" s="5">
        <v>57767057.909999996</v>
      </c>
      <c r="D111" s="5">
        <v>57152697.539999999</v>
      </c>
      <c r="E111" s="5">
        <v>56940429.549999997</v>
      </c>
      <c r="F111" s="5">
        <v>56320173</v>
      </c>
      <c r="G111" s="5">
        <v>55244058.5</v>
      </c>
      <c r="H111" s="5">
        <v>56124906.380000003</v>
      </c>
      <c r="I111" s="5">
        <v>0</v>
      </c>
      <c r="J111" s="5">
        <v>49236857.241250001</v>
      </c>
    </row>
    <row r="112" spans="1:10" x14ac:dyDescent="0.25">
      <c r="A112" s="4" t="s">
        <v>151</v>
      </c>
      <c r="B112" s="5">
        <v>8000000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-1912362.01</v>
      </c>
      <c r="I112" s="5">
        <v>0</v>
      </c>
      <c r="J112" s="5">
        <v>760954.74875000003</v>
      </c>
    </row>
    <row r="113" spans="1:10" x14ac:dyDescent="0.25">
      <c r="A113" s="4" t="s">
        <v>315</v>
      </c>
      <c r="B113" s="5">
        <v>0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I113" s="5"/>
      <c r="J113" s="5">
        <v>0</v>
      </c>
    </row>
    <row r="114" spans="1:10" x14ac:dyDescent="0.25">
      <c r="A114" s="4" t="s">
        <v>736</v>
      </c>
      <c r="B114" s="5">
        <v>417398611</v>
      </c>
      <c r="C114" s="5">
        <v>32797.26</v>
      </c>
      <c r="D114" s="5">
        <v>13579402.74</v>
      </c>
      <c r="E114" s="5">
        <v>256999.36</v>
      </c>
      <c r="F114" s="5">
        <v>148583.65</v>
      </c>
      <c r="G114" s="5">
        <v>581780.22</v>
      </c>
      <c r="H114" s="5">
        <v>221980.61</v>
      </c>
      <c r="I114" s="5">
        <v>219747</v>
      </c>
      <c r="J114" s="5">
        <v>54054987.730000004</v>
      </c>
    </row>
    <row r="115" spans="1:10" x14ac:dyDescent="0.25">
      <c r="A115" s="4" t="s">
        <v>873</v>
      </c>
      <c r="B115" s="5">
        <v>38241574565.099998</v>
      </c>
      <c r="C115" s="5">
        <v>0</v>
      </c>
      <c r="D115" s="5">
        <v>0</v>
      </c>
      <c r="E115" s="5">
        <v>85555820.010000005</v>
      </c>
      <c r="F115" s="5">
        <v>0</v>
      </c>
      <c r="G115" s="5">
        <v>0</v>
      </c>
      <c r="H115" s="5">
        <v>0</v>
      </c>
      <c r="I115" s="5"/>
      <c r="J115" s="5">
        <v>5475304340.7300005</v>
      </c>
    </row>
    <row r="116" spans="1:10" x14ac:dyDescent="0.25">
      <c r="A116" s="4" t="s">
        <v>139</v>
      </c>
      <c r="B116" s="5">
        <v>4000000000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I116" s="5"/>
      <c r="J116" s="5">
        <v>571428571.42857146</v>
      </c>
    </row>
    <row r="117" spans="1:10" x14ac:dyDescent="0.25">
      <c r="A117" s="4" t="s">
        <v>226</v>
      </c>
      <c r="B117" s="5">
        <v>0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I117" s="5"/>
      <c r="J117" s="5">
        <v>0</v>
      </c>
    </row>
    <row r="118" spans="1:10" x14ac:dyDescent="0.25">
      <c r="A118" s="4" t="s">
        <v>314</v>
      </c>
      <c r="B118" s="5">
        <v>0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I118" s="5"/>
      <c r="J118" s="5">
        <v>0</v>
      </c>
    </row>
    <row r="119" spans="1:10" x14ac:dyDescent="0.25">
      <c r="A119" s="4" t="s">
        <v>791</v>
      </c>
      <c r="B119" s="5">
        <v>368733411200</v>
      </c>
      <c r="C119" s="5">
        <v>10975044.470000001</v>
      </c>
      <c r="D119" s="5">
        <v>6969014.5499999998</v>
      </c>
      <c r="E119" s="5">
        <v>13289048.779999999</v>
      </c>
      <c r="F119" s="5">
        <v>-88682431.010000005</v>
      </c>
      <c r="G119" s="5">
        <v>128521710555</v>
      </c>
      <c r="H119" s="5">
        <v>148672057191.69</v>
      </c>
      <c r="I119" s="5">
        <v>36926697058</v>
      </c>
      <c r="J119" s="5">
        <v>85349553335.184998</v>
      </c>
    </row>
    <row r="120" spans="1:10" x14ac:dyDescent="0.25">
      <c r="A120" s="4" t="s">
        <v>106</v>
      </c>
      <c r="B120" s="5">
        <v>0</v>
      </c>
      <c r="C120" s="5">
        <v>0</v>
      </c>
      <c r="D120" s="5">
        <v>1000</v>
      </c>
      <c r="E120" s="5">
        <v>0</v>
      </c>
      <c r="F120" s="5">
        <v>3070000</v>
      </c>
      <c r="G120" s="5">
        <v>83303538.239999995</v>
      </c>
      <c r="H120" s="5">
        <v>15125639</v>
      </c>
      <c r="I120" s="5">
        <v>14863157</v>
      </c>
      <c r="J120" s="5">
        <v>14545416.779999999</v>
      </c>
    </row>
    <row r="121" spans="1:10" x14ac:dyDescent="0.25">
      <c r="A121" s="4" t="s">
        <v>1127</v>
      </c>
      <c r="B121" s="5"/>
      <c r="C121" s="5"/>
      <c r="D121" s="5">
        <v>530327</v>
      </c>
      <c r="E121" s="5"/>
      <c r="F121" s="5"/>
      <c r="G121" s="5"/>
      <c r="H121" s="5"/>
      <c r="I121" s="5"/>
      <c r="J121" s="5">
        <v>530327</v>
      </c>
    </row>
    <row r="122" spans="1:10" x14ac:dyDescent="0.25">
      <c r="A122" s="4" t="s">
        <v>1312</v>
      </c>
      <c r="B122" s="5"/>
      <c r="C122" s="5"/>
      <c r="D122" s="5"/>
      <c r="E122" s="5"/>
      <c r="F122" s="5"/>
      <c r="G122" s="5"/>
      <c r="H122" s="5"/>
      <c r="I122" s="5">
        <v>300000</v>
      </c>
      <c r="J122" s="5">
        <v>300000</v>
      </c>
    </row>
    <row r="123" spans="1:10" x14ac:dyDescent="0.25">
      <c r="A123" s="4" t="s">
        <v>1306</v>
      </c>
      <c r="B123" s="5"/>
      <c r="C123" s="5"/>
      <c r="D123" s="5"/>
      <c r="E123" s="5"/>
      <c r="F123" s="5"/>
      <c r="G123" s="5"/>
      <c r="H123" s="5">
        <v>353426.1</v>
      </c>
      <c r="I123" s="5"/>
      <c r="J123" s="5">
        <v>353426.1</v>
      </c>
    </row>
    <row r="124" spans="1:10" x14ac:dyDescent="0.25">
      <c r="A124" s="4" t="s">
        <v>1198</v>
      </c>
      <c r="B124" s="5"/>
      <c r="C124" s="5"/>
      <c r="D124" s="5"/>
      <c r="E124" s="5">
        <v>25003.5</v>
      </c>
      <c r="F124" s="5">
        <v>476</v>
      </c>
      <c r="G124" s="5">
        <v>-1383.5</v>
      </c>
      <c r="H124" s="5">
        <v>-388.5</v>
      </c>
      <c r="I124" s="5"/>
      <c r="J124" s="5">
        <v>5926.875</v>
      </c>
    </row>
    <row r="125" spans="1:10" x14ac:dyDescent="0.25">
      <c r="A125" s="4" t="s">
        <v>1059</v>
      </c>
      <c r="B125" s="5"/>
      <c r="C125" s="5">
        <v>0</v>
      </c>
      <c r="D125" s="5">
        <v>80586846.969999999</v>
      </c>
      <c r="E125" s="5">
        <v>34954102.700000003</v>
      </c>
      <c r="F125" s="5">
        <v>13496526.66</v>
      </c>
      <c r="G125" s="5">
        <v>19863437.620000001</v>
      </c>
      <c r="H125" s="5">
        <v>25367246.23</v>
      </c>
      <c r="I125" s="5">
        <v>16237115.57</v>
      </c>
      <c r="J125" s="5">
        <v>27215039.392857138</v>
      </c>
    </row>
    <row r="126" spans="1:10" x14ac:dyDescent="0.25">
      <c r="A126" s="4" t="s">
        <v>174</v>
      </c>
      <c r="B126" s="5">
        <v>4813111</v>
      </c>
      <c r="C126" s="5">
        <v>4813111</v>
      </c>
      <c r="D126" s="5">
        <v>7131562.5</v>
      </c>
      <c r="E126" s="5">
        <v>5928652.5</v>
      </c>
      <c r="F126" s="5">
        <v>18093553.879999999</v>
      </c>
      <c r="G126" s="5">
        <v>12076819.49</v>
      </c>
      <c r="H126" s="5">
        <v>12166965.109999999</v>
      </c>
      <c r="I126" s="5">
        <v>12342041.449999999</v>
      </c>
      <c r="J126" s="5">
        <v>9670727.116249999</v>
      </c>
    </row>
    <row r="127" spans="1:10" x14ac:dyDescent="0.25">
      <c r="A127" s="4" t="s">
        <v>885</v>
      </c>
      <c r="B127" s="5">
        <v>0</v>
      </c>
      <c r="C127" s="5">
        <v>0</v>
      </c>
      <c r="D127" s="5">
        <v>0</v>
      </c>
      <c r="E127" s="5">
        <v>9326046.1799999997</v>
      </c>
      <c r="F127" s="5">
        <v>49491167.219999999</v>
      </c>
      <c r="G127" s="5">
        <v>211232351.31999999</v>
      </c>
      <c r="H127" s="5">
        <v>285152487.08999997</v>
      </c>
      <c r="I127" s="5">
        <v>742036893.83000004</v>
      </c>
      <c r="J127" s="5">
        <v>162154868.20499998</v>
      </c>
    </row>
    <row r="128" spans="1:10" x14ac:dyDescent="0.25">
      <c r="A128" s="4" t="s">
        <v>1081</v>
      </c>
      <c r="B128" s="5"/>
      <c r="C128" s="5"/>
      <c r="D128" s="5">
        <v>0</v>
      </c>
      <c r="E128" s="5"/>
      <c r="F128" s="5"/>
      <c r="G128" s="5">
        <v>50000000</v>
      </c>
      <c r="H128" s="5"/>
      <c r="I128" s="5">
        <v>28026787</v>
      </c>
      <c r="J128" s="5">
        <v>26008929</v>
      </c>
    </row>
    <row r="129" spans="1:10" x14ac:dyDescent="0.25">
      <c r="A129" s="4" t="s">
        <v>533</v>
      </c>
      <c r="B129" s="5">
        <v>0</v>
      </c>
      <c r="C129" s="5">
        <v>0</v>
      </c>
      <c r="D129" s="5">
        <v>0</v>
      </c>
      <c r="E129" s="5">
        <v>0</v>
      </c>
      <c r="F129" s="5">
        <v>0</v>
      </c>
      <c r="G129" s="5">
        <v>0</v>
      </c>
      <c r="H129" s="5">
        <v>250224387.21000001</v>
      </c>
      <c r="I129" s="5">
        <v>361023227.43000001</v>
      </c>
      <c r="J129" s="5">
        <v>76405951.829999998</v>
      </c>
    </row>
    <row r="130" spans="1:10" x14ac:dyDescent="0.25">
      <c r="A130" s="4" t="s">
        <v>839</v>
      </c>
      <c r="B130" s="5">
        <v>0</v>
      </c>
      <c r="C130" s="5"/>
      <c r="D130" s="5"/>
      <c r="E130" s="5">
        <v>0</v>
      </c>
      <c r="F130" s="5">
        <v>0</v>
      </c>
      <c r="G130" s="5"/>
      <c r="H130" s="5">
        <v>130000000</v>
      </c>
      <c r="I130" s="5">
        <v>0</v>
      </c>
      <c r="J130" s="5">
        <v>26000000</v>
      </c>
    </row>
    <row r="131" spans="1:10" x14ac:dyDescent="0.25">
      <c r="A131" s="4" t="s">
        <v>565</v>
      </c>
      <c r="B131" s="5">
        <v>0</v>
      </c>
      <c r="C131" s="5"/>
      <c r="D131" s="5"/>
      <c r="E131" s="5">
        <v>0</v>
      </c>
      <c r="F131" s="5"/>
      <c r="G131" s="5">
        <v>78589387.150000006</v>
      </c>
      <c r="H131" s="5"/>
      <c r="I131" s="5"/>
      <c r="J131" s="5">
        <v>26196462.383333337</v>
      </c>
    </row>
    <row r="132" spans="1:10" x14ac:dyDescent="0.25">
      <c r="A132" s="4" t="s">
        <v>1299</v>
      </c>
      <c r="B132" s="5"/>
      <c r="C132" s="5"/>
      <c r="D132" s="5"/>
      <c r="E132" s="5"/>
      <c r="F132" s="5"/>
      <c r="G132" s="5"/>
      <c r="H132" s="5">
        <v>3000000</v>
      </c>
      <c r="I132" s="5">
        <v>4775000</v>
      </c>
      <c r="J132" s="5">
        <v>3887500</v>
      </c>
    </row>
    <row r="133" spans="1:10" x14ac:dyDescent="0.25">
      <c r="A133" s="4" t="s">
        <v>1146</v>
      </c>
      <c r="B133" s="5"/>
      <c r="C133" s="5"/>
      <c r="D133" s="5">
        <v>50000000</v>
      </c>
      <c r="E133" s="5">
        <v>0</v>
      </c>
      <c r="F133" s="5"/>
      <c r="G133" s="5"/>
      <c r="H133" s="5"/>
      <c r="I133" s="5">
        <v>14600000</v>
      </c>
      <c r="J133" s="5">
        <v>21533333.333333332</v>
      </c>
    </row>
    <row r="134" spans="1:10" x14ac:dyDescent="0.25">
      <c r="A134" s="4" t="s">
        <v>1147</v>
      </c>
      <c r="B134" s="5"/>
      <c r="C134" s="5"/>
      <c r="D134" s="5">
        <v>50000000</v>
      </c>
      <c r="E134" s="5">
        <v>0</v>
      </c>
      <c r="F134" s="5"/>
      <c r="G134" s="5"/>
      <c r="H134" s="5"/>
      <c r="I134" s="5"/>
      <c r="J134" s="5">
        <v>25000000</v>
      </c>
    </row>
    <row r="135" spans="1:10" x14ac:dyDescent="0.25">
      <c r="A135" s="4" t="s">
        <v>1086</v>
      </c>
      <c r="B135" s="5"/>
      <c r="C135" s="5"/>
      <c r="D135" s="5">
        <v>50000000</v>
      </c>
      <c r="E135" s="5">
        <v>0</v>
      </c>
      <c r="F135" s="5"/>
      <c r="G135" s="5"/>
      <c r="H135" s="5"/>
      <c r="I135" s="5"/>
      <c r="J135" s="5">
        <v>25000000</v>
      </c>
    </row>
    <row r="136" spans="1:10" x14ac:dyDescent="0.25">
      <c r="A136" s="4" t="s">
        <v>938</v>
      </c>
      <c r="B136" s="5"/>
      <c r="C136" s="5">
        <v>0</v>
      </c>
      <c r="D136" s="5">
        <v>0</v>
      </c>
      <c r="E136" s="5">
        <v>0</v>
      </c>
      <c r="F136" s="5">
        <v>0</v>
      </c>
      <c r="G136" s="5">
        <v>22703659.34</v>
      </c>
      <c r="H136" s="5">
        <v>-16551032.59</v>
      </c>
      <c r="I136" s="5"/>
      <c r="J136" s="5">
        <v>1025437.7916666666</v>
      </c>
    </row>
    <row r="137" spans="1:10" x14ac:dyDescent="0.25">
      <c r="A137" s="4" t="s">
        <v>977</v>
      </c>
      <c r="B137" s="5"/>
      <c r="C137" s="5">
        <v>0</v>
      </c>
      <c r="D137" s="5">
        <v>11262188.890000001</v>
      </c>
      <c r="E137" s="5">
        <v>17042203</v>
      </c>
      <c r="F137" s="5">
        <v>700000</v>
      </c>
      <c r="G137" s="5">
        <v>78965006.620000005</v>
      </c>
      <c r="H137" s="5">
        <v>26600000</v>
      </c>
      <c r="I137" s="5">
        <v>5200000</v>
      </c>
      <c r="J137" s="5">
        <v>19967056.93</v>
      </c>
    </row>
    <row r="138" spans="1:10" x14ac:dyDescent="0.25">
      <c r="A138" s="4" t="s">
        <v>308</v>
      </c>
      <c r="B138" s="5">
        <v>332000</v>
      </c>
      <c r="C138" s="5">
        <v>626664.72</v>
      </c>
      <c r="D138" s="5">
        <v>20000</v>
      </c>
      <c r="E138" s="5">
        <v>24</v>
      </c>
      <c r="F138" s="5">
        <v>802708.43</v>
      </c>
      <c r="G138" s="5">
        <v>701897.66</v>
      </c>
      <c r="H138" s="5">
        <v>4278324.12</v>
      </c>
      <c r="I138" s="5">
        <v>67.3</v>
      </c>
      <c r="J138" s="5">
        <v>845210.77874999994</v>
      </c>
    </row>
    <row r="139" spans="1:10" x14ac:dyDescent="0.25">
      <c r="A139" s="4" t="s">
        <v>169</v>
      </c>
      <c r="B139" s="5">
        <v>0</v>
      </c>
      <c r="C139" s="5"/>
      <c r="D139" s="5"/>
      <c r="E139" s="5"/>
      <c r="F139" s="5">
        <v>0</v>
      </c>
      <c r="G139" s="5"/>
      <c r="H139" s="5"/>
      <c r="I139" s="5">
        <v>0</v>
      </c>
      <c r="J139" s="5">
        <v>0</v>
      </c>
    </row>
    <row r="140" spans="1:10" x14ac:dyDescent="0.25">
      <c r="A140" s="4" t="s">
        <v>1107</v>
      </c>
      <c r="B140" s="5"/>
      <c r="C140" s="5"/>
      <c r="D140" s="5">
        <v>18992366</v>
      </c>
      <c r="E140" s="5">
        <v>0</v>
      </c>
      <c r="F140" s="5">
        <v>613195</v>
      </c>
      <c r="G140" s="5"/>
      <c r="H140" s="5">
        <v>0</v>
      </c>
      <c r="I140" s="5"/>
      <c r="J140" s="5">
        <v>4901390.25</v>
      </c>
    </row>
    <row r="141" spans="1:10" x14ac:dyDescent="0.25">
      <c r="A141" s="4" t="s">
        <v>1324</v>
      </c>
      <c r="B141" s="5"/>
      <c r="C141" s="5"/>
      <c r="D141" s="5"/>
      <c r="E141" s="5"/>
      <c r="F141" s="5"/>
      <c r="G141" s="5"/>
      <c r="H141" s="5"/>
      <c r="I141" s="5">
        <v>500000</v>
      </c>
      <c r="J141" s="5">
        <v>500000</v>
      </c>
    </row>
    <row r="142" spans="1:10" x14ac:dyDescent="0.25">
      <c r="A142" s="4" t="s">
        <v>1250</v>
      </c>
      <c r="B142" s="5"/>
      <c r="C142" s="5"/>
      <c r="D142" s="5"/>
      <c r="E142" s="5"/>
      <c r="F142" s="5">
        <v>0</v>
      </c>
      <c r="G142" s="5"/>
      <c r="H142" s="5">
        <v>0</v>
      </c>
      <c r="I142" s="5"/>
      <c r="J142" s="5">
        <v>0</v>
      </c>
    </row>
    <row r="143" spans="1:10" x14ac:dyDescent="0.25">
      <c r="A143" s="4" t="s">
        <v>1219</v>
      </c>
      <c r="B143" s="5"/>
      <c r="C143" s="5"/>
      <c r="D143" s="5"/>
      <c r="E143" s="5"/>
      <c r="F143" s="5">
        <v>54076531.729999997</v>
      </c>
      <c r="G143" s="5">
        <v>229256860.27000001</v>
      </c>
      <c r="H143" s="5">
        <v>0</v>
      </c>
      <c r="I143" s="5">
        <v>0</v>
      </c>
      <c r="J143" s="5">
        <v>70833348</v>
      </c>
    </row>
    <row r="144" spans="1:10" x14ac:dyDescent="0.25">
      <c r="A144" s="4" t="s">
        <v>464</v>
      </c>
      <c r="B144" s="5">
        <v>0</v>
      </c>
      <c r="C144" s="5"/>
      <c r="D144" s="5"/>
      <c r="E144" s="5"/>
      <c r="F144" s="5">
        <v>74166488.120000005</v>
      </c>
      <c r="G144" s="5">
        <v>55284964.32</v>
      </c>
      <c r="H144" s="5">
        <v>-3684627.15</v>
      </c>
      <c r="I144" s="5">
        <v>-56222423.670000002</v>
      </c>
      <c r="J144" s="5">
        <v>13908880.323999997</v>
      </c>
    </row>
    <row r="145" spans="1:10" x14ac:dyDescent="0.25">
      <c r="A145" s="4" t="s">
        <v>192</v>
      </c>
      <c r="B145" s="5">
        <v>0</v>
      </c>
      <c r="C145" s="5"/>
      <c r="D145" s="5"/>
      <c r="E145" s="5"/>
      <c r="F145" s="5">
        <v>70197789.200000003</v>
      </c>
      <c r="G145" s="5">
        <v>181009643.80000001</v>
      </c>
      <c r="H145" s="5">
        <v>-21111526.719999999</v>
      </c>
      <c r="I145" s="5">
        <v>21111526.719999999</v>
      </c>
      <c r="J145" s="5">
        <v>50241486.600000001</v>
      </c>
    </row>
    <row r="146" spans="1:10" x14ac:dyDescent="0.25">
      <c r="A146" s="4" t="s">
        <v>223</v>
      </c>
      <c r="B146" s="5">
        <v>0</v>
      </c>
      <c r="C146" s="5"/>
      <c r="D146" s="5"/>
      <c r="E146" s="5"/>
      <c r="F146" s="5">
        <v>351822967.06</v>
      </c>
      <c r="G146" s="5">
        <v>9302089.9399999995</v>
      </c>
      <c r="H146" s="5">
        <v>-25255637.649999999</v>
      </c>
      <c r="I146" s="5">
        <v>25255637.649999999</v>
      </c>
      <c r="J146" s="5">
        <v>72225011.400000006</v>
      </c>
    </row>
    <row r="147" spans="1:10" x14ac:dyDescent="0.25">
      <c r="A147" s="4" t="s">
        <v>1249</v>
      </c>
      <c r="B147" s="5"/>
      <c r="C147" s="5"/>
      <c r="D147" s="5"/>
      <c r="E147" s="5"/>
      <c r="F147" s="5">
        <v>8890772.2400000002</v>
      </c>
      <c r="G147" s="5">
        <v>5989860.7599999998</v>
      </c>
      <c r="H147" s="5"/>
      <c r="I147" s="5"/>
      <c r="J147" s="5">
        <v>7440316.5</v>
      </c>
    </row>
    <row r="148" spans="1:10" x14ac:dyDescent="0.25">
      <c r="A148" s="4" t="s">
        <v>995</v>
      </c>
      <c r="B148" s="5"/>
      <c r="C148" s="5">
        <v>0</v>
      </c>
      <c r="D148" s="5"/>
      <c r="E148" s="5"/>
      <c r="F148" s="5">
        <v>3531343.15</v>
      </c>
      <c r="G148" s="5">
        <v>3023622.58</v>
      </c>
      <c r="H148" s="5"/>
      <c r="I148" s="5">
        <v>10302592.699999999</v>
      </c>
      <c r="J148" s="5">
        <v>4214389.6074999999</v>
      </c>
    </row>
    <row r="149" spans="1:10" x14ac:dyDescent="0.25">
      <c r="A149" s="4" t="s">
        <v>1101</v>
      </c>
      <c r="B149" s="5"/>
      <c r="C149" s="5"/>
      <c r="D149" s="5">
        <v>93503391</v>
      </c>
      <c r="E149" s="5"/>
      <c r="F149" s="5">
        <v>0</v>
      </c>
      <c r="G149" s="5"/>
      <c r="H149" s="5"/>
      <c r="I149" s="5"/>
      <c r="J149" s="5">
        <v>46751695.5</v>
      </c>
    </row>
    <row r="150" spans="1:10" x14ac:dyDescent="0.25">
      <c r="A150" s="4" t="s">
        <v>900</v>
      </c>
      <c r="B150" s="5">
        <v>153920870</v>
      </c>
      <c r="C150" s="5">
        <v>0</v>
      </c>
      <c r="D150" s="5">
        <v>0</v>
      </c>
      <c r="E150" s="5">
        <v>-123170345</v>
      </c>
      <c r="F150" s="5">
        <v>0</v>
      </c>
      <c r="G150" s="5">
        <v>0</v>
      </c>
      <c r="H150" s="5">
        <v>0</v>
      </c>
      <c r="I150" s="5">
        <v>0</v>
      </c>
      <c r="J150" s="5">
        <v>3843815.625</v>
      </c>
    </row>
    <row r="151" spans="1:10" x14ac:dyDescent="0.25">
      <c r="A151" s="4" t="s">
        <v>1087</v>
      </c>
      <c r="B151" s="5"/>
      <c r="C151" s="5"/>
      <c r="D151" s="5">
        <v>0</v>
      </c>
      <c r="E151" s="5"/>
      <c r="F151" s="5"/>
      <c r="G151" s="5"/>
      <c r="H151" s="5">
        <v>20526</v>
      </c>
      <c r="I151" s="5"/>
      <c r="J151" s="5">
        <v>10263</v>
      </c>
    </row>
    <row r="152" spans="1:10" x14ac:dyDescent="0.25">
      <c r="A152" s="4" t="s">
        <v>758</v>
      </c>
      <c r="B152" s="5">
        <v>0</v>
      </c>
      <c r="C152" s="5">
        <v>756200</v>
      </c>
      <c r="D152" s="5">
        <v>1305791.44</v>
      </c>
      <c r="E152" s="5">
        <v>318884.08</v>
      </c>
      <c r="F152" s="5">
        <v>599117.63</v>
      </c>
      <c r="G152" s="5">
        <v>222089.83</v>
      </c>
      <c r="H152" s="5">
        <v>203090.29</v>
      </c>
      <c r="I152" s="5">
        <v>161925.17000000001</v>
      </c>
      <c r="J152" s="5">
        <v>445887.30499999999</v>
      </c>
    </row>
    <row r="153" spans="1:10" x14ac:dyDescent="0.25">
      <c r="A153" s="4" t="s">
        <v>1174</v>
      </c>
      <c r="B153" s="5"/>
      <c r="C153" s="5"/>
      <c r="D153" s="5"/>
      <c r="E153" s="5">
        <v>234821000</v>
      </c>
      <c r="F153" s="5">
        <v>-54792.13</v>
      </c>
      <c r="G153" s="5">
        <v>54792.13</v>
      </c>
      <c r="H153" s="5">
        <v>0</v>
      </c>
      <c r="I153" s="5"/>
      <c r="J153" s="5">
        <v>58705250</v>
      </c>
    </row>
    <row r="154" spans="1:10" x14ac:dyDescent="0.25">
      <c r="A154" s="4" t="s">
        <v>218</v>
      </c>
      <c r="B154" s="5">
        <v>159182520</v>
      </c>
      <c r="C154" s="5">
        <v>159211164</v>
      </c>
      <c r="D154" s="5">
        <v>320575836</v>
      </c>
      <c r="E154" s="5">
        <v>162065148</v>
      </c>
      <c r="F154" s="5">
        <v>166831332</v>
      </c>
      <c r="G154" s="5">
        <v>165071280</v>
      </c>
      <c r="H154" s="5">
        <v>165300960</v>
      </c>
      <c r="I154" s="5">
        <v>165828960</v>
      </c>
      <c r="J154" s="5">
        <v>183008400</v>
      </c>
    </row>
    <row r="155" spans="1:10" x14ac:dyDescent="0.25">
      <c r="A155" s="4" t="s">
        <v>507</v>
      </c>
      <c r="B155" s="5">
        <v>628149900</v>
      </c>
      <c r="C155" s="5">
        <v>651007812</v>
      </c>
      <c r="D155" s="5">
        <v>652489488</v>
      </c>
      <c r="E155" s="5">
        <v>653210796</v>
      </c>
      <c r="F155" s="5">
        <v>663785760</v>
      </c>
      <c r="G155" s="5">
        <v>688868400</v>
      </c>
      <c r="H155" s="5">
        <v>688987056</v>
      </c>
      <c r="I155" s="5">
        <v>695909280</v>
      </c>
      <c r="J155" s="5">
        <v>665301061.5</v>
      </c>
    </row>
    <row r="156" spans="1:10" x14ac:dyDescent="0.25">
      <c r="A156" s="4" t="s">
        <v>978</v>
      </c>
      <c r="B156" s="5"/>
      <c r="C156" s="5">
        <v>20000000</v>
      </c>
      <c r="D156" s="5"/>
      <c r="E156" s="5">
        <v>0</v>
      </c>
      <c r="F156" s="5">
        <v>0</v>
      </c>
      <c r="G156" s="5">
        <v>22000000</v>
      </c>
      <c r="H156" s="5">
        <v>0</v>
      </c>
      <c r="I156" s="5">
        <v>35000000</v>
      </c>
      <c r="J156" s="5">
        <v>12833333.333333334</v>
      </c>
    </row>
    <row r="157" spans="1:10" x14ac:dyDescent="0.25">
      <c r="A157" s="4" t="s">
        <v>411</v>
      </c>
      <c r="B157" s="5">
        <v>0</v>
      </c>
      <c r="C157" s="5">
        <v>0</v>
      </c>
      <c r="D157" s="5"/>
      <c r="E157" s="5"/>
      <c r="F157" s="5">
        <v>0</v>
      </c>
      <c r="G157" s="5"/>
      <c r="H157" s="5"/>
      <c r="I157" s="5"/>
      <c r="J157" s="5">
        <v>0</v>
      </c>
    </row>
    <row r="158" spans="1:10" x14ac:dyDescent="0.25">
      <c r="A158" s="4" t="s">
        <v>452</v>
      </c>
      <c r="B158" s="5">
        <v>0</v>
      </c>
      <c r="C158" s="5">
        <v>0</v>
      </c>
      <c r="D158" s="5"/>
      <c r="E158" s="5"/>
      <c r="F158" s="5"/>
      <c r="G158" s="5"/>
      <c r="H158" s="5"/>
      <c r="I158" s="5"/>
      <c r="J158" s="5">
        <v>0</v>
      </c>
    </row>
    <row r="159" spans="1:10" x14ac:dyDescent="0.25">
      <c r="A159" s="4" t="s">
        <v>1038</v>
      </c>
      <c r="B159" s="5"/>
      <c r="C159" s="5">
        <v>18076.7</v>
      </c>
      <c r="D159" s="5">
        <v>51545.66</v>
      </c>
      <c r="E159" s="5">
        <v>15000</v>
      </c>
      <c r="F159" s="5">
        <v>1153386.3400000001</v>
      </c>
      <c r="G159" s="5">
        <v>0</v>
      </c>
      <c r="H159" s="5">
        <v>-23417.200000000001</v>
      </c>
      <c r="I159" s="5">
        <v>42100</v>
      </c>
      <c r="J159" s="5">
        <v>179527.35714285719</v>
      </c>
    </row>
    <row r="160" spans="1:10" x14ac:dyDescent="0.25">
      <c r="A160" s="4" t="s">
        <v>1257</v>
      </c>
      <c r="B160" s="5"/>
      <c r="C160" s="5"/>
      <c r="D160" s="5"/>
      <c r="E160" s="5"/>
      <c r="F160" s="5">
        <v>1043732.4</v>
      </c>
      <c r="G160" s="5">
        <v>399828.78</v>
      </c>
      <c r="H160" s="5">
        <v>0</v>
      </c>
      <c r="I160" s="5">
        <v>0</v>
      </c>
      <c r="J160" s="5">
        <v>360890.29500000004</v>
      </c>
    </row>
    <row r="161" spans="1:10" x14ac:dyDescent="0.25">
      <c r="A161" s="4" t="s">
        <v>447</v>
      </c>
      <c r="B161" s="5">
        <v>0</v>
      </c>
      <c r="C161" s="5">
        <v>0</v>
      </c>
      <c r="D161" s="5">
        <v>0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</row>
    <row r="162" spans="1:10" x14ac:dyDescent="0.25">
      <c r="A162" s="4" t="s">
        <v>1279</v>
      </c>
      <c r="B162" s="5"/>
      <c r="C162" s="5"/>
      <c r="D162" s="5"/>
      <c r="E162" s="5"/>
      <c r="F162" s="5"/>
      <c r="G162" s="5">
        <v>0</v>
      </c>
      <c r="H162" s="5">
        <v>0</v>
      </c>
      <c r="I162" s="5">
        <v>0</v>
      </c>
      <c r="J162" s="5">
        <v>0</v>
      </c>
    </row>
    <row r="163" spans="1:10" x14ac:dyDescent="0.25">
      <c r="A163" s="4" t="s">
        <v>1284</v>
      </c>
      <c r="B163" s="5"/>
      <c r="C163" s="5"/>
      <c r="D163" s="5"/>
      <c r="E163" s="5"/>
      <c r="F163" s="5"/>
      <c r="G163" s="5">
        <v>468319000</v>
      </c>
      <c r="H163" s="5">
        <v>0</v>
      </c>
      <c r="I163" s="5">
        <v>0</v>
      </c>
      <c r="J163" s="5">
        <v>156106333.33333334</v>
      </c>
    </row>
    <row r="164" spans="1:10" x14ac:dyDescent="0.25">
      <c r="A164" s="4" t="s">
        <v>1316</v>
      </c>
      <c r="B164" s="5"/>
      <c r="C164" s="5"/>
      <c r="D164" s="5"/>
      <c r="E164" s="5"/>
      <c r="F164" s="5"/>
      <c r="G164" s="5"/>
      <c r="H164" s="5"/>
      <c r="I164" s="5">
        <v>2138451513</v>
      </c>
      <c r="J164" s="5">
        <v>2138451513</v>
      </c>
    </row>
    <row r="165" spans="1:10" x14ac:dyDescent="0.25">
      <c r="A165" s="4" t="s">
        <v>1229</v>
      </c>
      <c r="B165" s="5"/>
      <c r="C165" s="5"/>
      <c r="D165" s="5"/>
      <c r="E165" s="5"/>
      <c r="F165" s="5">
        <v>0</v>
      </c>
      <c r="G165" s="5"/>
      <c r="H165" s="5"/>
      <c r="I165" s="5"/>
      <c r="J165" s="5">
        <v>0</v>
      </c>
    </row>
    <row r="166" spans="1:10" x14ac:dyDescent="0.25">
      <c r="A166" s="4" t="s">
        <v>1024</v>
      </c>
      <c r="B166" s="5"/>
      <c r="C166" s="5">
        <v>30161.1</v>
      </c>
      <c r="D166" s="5">
        <v>5696973.4900000002</v>
      </c>
      <c r="E166" s="5">
        <v>29463090.07</v>
      </c>
      <c r="F166" s="5">
        <v>91806894.840000004</v>
      </c>
      <c r="G166" s="5">
        <v>53121745.450000003</v>
      </c>
      <c r="H166" s="5">
        <v>28626861.129999999</v>
      </c>
      <c r="I166" s="5">
        <v>104113966.03</v>
      </c>
      <c r="J166" s="5">
        <v>44694241.730000004</v>
      </c>
    </row>
    <row r="167" spans="1:10" x14ac:dyDescent="0.25">
      <c r="A167" s="4" t="s">
        <v>1077</v>
      </c>
      <c r="B167" s="5"/>
      <c r="C167" s="5"/>
      <c r="D167" s="5">
        <v>8500000</v>
      </c>
      <c r="E167" s="5">
        <v>0</v>
      </c>
      <c r="F167" s="5">
        <v>-137174.47</v>
      </c>
      <c r="G167" s="5"/>
      <c r="H167" s="5"/>
      <c r="I167" s="5"/>
      <c r="J167" s="5">
        <v>2787608.5100000002</v>
      </c>
    </row>
    <row r="168" spans="1:10" x14ac:dyDescent="0.25">
      <c r="A168" s="4" t="s">
        <v>1179</v>
      </c>
      <c r="B168" s="5"/>
      <c r="C168" s="5"/>
      <c r="D168" s="5"/>
      <c r="E168" s="5">
        <v>1082991</v>
      </c>
      <c r="F168" s="5">
        <v>315000</v>
      </c>
      <c r="G168" s="5"/>
      <c r="H168" s="5">
        <v>-55262.239999999998</v>
      </c>
      <c r="I168" s="5"/>
      <c r="J168" s="5">
        <v>447576.25333333336</v>
      </c>
    </row>
    <row r="169" spans="1:10" x14ac:dyDescent="0.25">
      <c r="A169" s="4" t="s">
        <v>1283</v>
      </c>
      <c r="B169" s="5"/>
      <c r="C169" s="5"/>
      <c r="D169" s="5"/>
      <c r="E169" s="5"/>
      <c r="F169" s="5"/>
      <c r="G169" s="5">
        <v>700000</v>
      </c>
      <c r="H169" s="5"/>
      <c r="I169" s="5">
        <v>361500345</v>
      </c>
      <c r="J169" s="5">
        <v>181100172.5</v>
      </c>
    </row>
    <row r="170" spans="1:10" x14ac:dyDescent="0.25">
      <c r="A170" s="4" t="s">
        <v>1291</v>
      </c>
      <c r="B170" s="5"/>
      <c r="C170" s="5"/>
      <c r="D170" s="5"/>
      <c r="E170" s="5"/>
      <c r="F170" s="5"/>
      <c r="G170" s="5">
        <v>250000</v>
      </c>
      <c r="H170" s="5"/>
      <c r="I170" s="5"/>
      <c r="J170" s="5">
        <v>250000</v>
      </c>
    </row>
    <row r="171" spans="1:10" x14ac:dyDescent="0.25">
      <c r="A171" s="4" t="s">
        <v>84</v>
      </c>
      <c r="B171" s="5">
        <v>745602973.94000006</v>
      </c>
      <c r="C171" s="5">
        <v>1861982510.1900001</v>
      </c>
      <c r="D171" s="5">
        <v>1647664525.21</v>
      </c>
      <c r="E171" s="5">
        <v>1760085554.73</v>
      </c>
      <c r="F171" s="5">
        <v>1706238103.3900001</v>
      </c>
      <c r="G171" s="5">
        <v>1978390895.26</v>
      </c>
      <c r="H171" s="5">
        <v>2027296628.99</v>
      </c>
      <c r="I171" s="5">
        <v>1312944321.6600001</v>
      </c>
      <c r="J171" s="5">
        <v>1630025689.1712499</v>
      </c>
    </row>
    <row r="172" spans="1:10" x14ac:dyDescent="0.25">
      <c r="A172" s="4" t="s">
        <v>857</v>
      </c>
      <c r="B172" s="5">
        <v>20614225533.990002</v>
      </c>
      <c r="C172" s="5">
        <v>743190184.53999996</v>
      </c>
      <c r="D172" s="5">
        <v>21090469.399999999</v>
      </c>
      <c r="E172" s="5">
        <v>371457302.23000002</v>
      </c>
      <c r="F172" s="5">
        <v>297887113.06999999</v>
      </c>
      <c r="G172" s="5">
        <v>778507893.98000002</v>
      </c>
      <c r="H172" s="5">
        <v>381717612.27999997</v>
      </c>
      <c r="I172" s="5">
        <v>380497657.39999998</v>
      </c>
      <c r="J172" s="5">
        <v>2948571720.8612504</v>
      </c>
    </row>
    <row r="173" spans="1:10" x14ac:dyDescent="0.25">
      <c r="A173" s="4" t="s">
        <v>919</v>
      </c>
      <c r="B173" s="5">
        <v>52629761748.660004</v>
      </c>
      <c r="C173" s="5">
        <v>1748206466.5</v>
      </c>
      <c r="D173" s="5">
        <v>4134912591.1100001</v>
      </c>
      <c r="E173" s="5">
        <v>1309354193.45</v>
      </c>
      <c r="F173" s="5">
        <v>3224342940.1399999</v>
      </c>
      <c r="G173" s="5">
        <v>1527966600.3399999</v>
      </c>
      <c r="H173" s="5">
        <v>1138785491.03</v>
      </c>
      <c r="I173" s="5">
        <v>483975606.82999998</v>
      </c>
      <c r="J173" s="5">
        <v>8274663204.7574997</v>
      </c>
    </row>
    <row r="174" spans="1:10" x14ac:dyDescent="0.25">
      <c r="A174" s="4" t="s">
        <v>1265</v>
      </c>
      <c r="B174" s="5"/>
      <c r="C174" s="5"/>
      <c r="D174" s="5"/>
      <c r="E174" s="5"/>
      <c r="F174" s="5"/>
      <c r="G174" s="5">
        <v>0</v>
      </c>
      <c r="H174" s="5"/>
      <c r="I174" s="5"/>
      <c r="J174" s="5">
        <v>0</v>
      </c>
    </row>
    <row r="175" spans="1:10" x14ac:dyDescent="0.25">
      <c r="A175" s="4" t="s">
        <v>1152</v>
      </c>
      <c r="B175" s="5"/>
      <c r="C175" s="5"/>
      <c r="D175" s="5">
        <v>29759943.129999999</v>
      </c>
      <c r="E175" s="5"/>
      <c r="F175" s="5">
        <v>0</v>
      </c>
      <c r="G175" s="5"/>
      <c r="H175" s="5"/>
      <c r="I175" s="5"/>
      <c r="J175" s="5">
        <v>14879971.564999999</v>
      </c>
    </row>
    <row r="176" spans="1:10" x14ac:dyDescent="0.25">
      <c r="A176" s="4" t="s">
        <v>1104</v>
      </c>
      <c r="B176" s="5"/>
      <c r="C176" s="5"/>
      <c r="D176" s="5">
        <v>4215000</v>
      </c>
      <c r="E176" s="5">
        <v>0</v>
      </c>
      <c r="F176" s="5"/>
      <c r="G176" s="5">
        <v>-2171707.46</v>
      </c>
      <c r="H176" s="5"/>
      <c r="I176" s="5"/>
      <c r="J176" s="5">
        <v>681097.51333333331</v>
      </c>
    </row>
    <row r="177" spans="1:10" x14ac:dyDescent="0.25">
      <c r="A177" s="4" t="s">
        <v>300</v>
      </c>
      <c r="B177" s="5">
        <v>923184712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115398089</v>
      </c>
    </row>
    <row r="178" spans="1:10" x14ac:dyDescent="0.25">
      <c r="A178" s="4" t="s">
        <v>602</v>
      </c>
      <c r="B178" s="5">
        <v>11615590000</v>
      </c>
      <c r="C178" s="5"/>
      <c r="D178" s="5"/>
      <c r="E178" s="5"/>
      <c r="F178" s="5"/>
      <c r="G178" s="5"/>
      <c r="H178" s="5"/>
      <c r="I178" s="5"/>
      <c r="J178" s="5">
        <v>11615590000</v>
      </c>
    </row>
    <row r="179" spans="1:10" x14ac:dyDescent="0.25">
      <c r="A179" s="4" t="s">
        <v>400</v>
      </c>
      <c r="B179" s="5">
        <v>2764637786</v>
      </c>
      <c r="C179" s="5">
        <v>0</v>
      </c>
      <c r="D179" s="5">
        <v>0</v>
      </c>
      <c r="E179" s="5">
        <v>0</v>
      </c>
      <c r="F179" s="5">
        <v>0</v>
      </c>
      <c r="G179" s="5">
        <v>1460202719</v>
      </c>
      <c r="H179" s="5">
        <v>0</v>
      </c>
      <c r="I179" s="5">
        <v>1000200996</v>
      </c>
      <c r="J179" s="5">
        <v>653130187.625</v>
      </c>
    </row>
    <row r="180" spans="1:10" x14ac:dyDescent="0.25">
      <c r="A180" s="4" t="s">
        <v>233</v>
      </c>
      <c r="B180" s="5">
        <v>1254000000</v>
      </c>
      <c r="C180" s="5">
        <v>0</v>
      </c>
      <c r="D180" s="5">
        <v>0</v>
      </c>
      <c r="E180" s="5">
        <v>0</v>
      </c>
      <c r="F180" s="5">
        <v>-2200000</v>
      </c>
      <c r="G180" s="5">
        <v>0</v>
      </c>
      <c r="H180" s="5">
        <v>0</v>
      </c>
      <c r="I180" s="5">
        <v>0</v>
      </c>
      <c r="J180" s="5">
        <v>156475000</v>
      </c>
    </row>
    <row r="181" spans="1:10" x14ac:dyDescent="0.25">
      <c r="A181" s="4" t="s">
        <v>124</v>
      </c>
      <c r="B181" s="5">
        <v>12666559</v>
      </c>
      <c r="C181" s="5">
        <v>0</v>
      </c>
      <c r="D181" s="5">
        <v>0</v>
      </c>
      <c r="E181" s="5">
        <v>0</v>
      </c>
      <c r="F181" s="5">
        <v>290000000</v>
      </c>
      <c r="G181" s="5">
        <v>0</v>
      </c>
      <c r="H181" s="5">
        <v>0</v>
      </c>
      <c r="I181" s="5">
        <v>0</v>
      </c>
      <c r="J181" s="5">
        <v>37833319.875</v>
      </c>
    </row>
    <row r="182" spans="1:10" x14ac:dyDescent="0.25">
      <c r="A182" s="4" t="s">
        <v>420</v>
      </c>
      <c r="B182" s="5">
        <v>5730861757</v>
      </c>
      <c r="C182" s="5">
        <v>0</v>
      </c>
      <c r="D182" s="5">
        <v>5000</v>
      </c>
      <c r="E182" s="5">
        <v>639358066.53999996</v>
      </c>
      <c r="F182" s="5">
        <v>230000000</v>
      </c>
      <c r="G182" s="5">
        <v>0</v>
      </c>
      <c r="H182" s="5">
        <v>85868421.739999995</v>
      </c>
      <c r="I182" s="5">
        <v>0</v>
      </c>
      <c r="J182" s="5">
        <v>835761655.65999997</v>
      </c>
    </row>
    <row r="183" spans="1:10" x14ac:dyDescent="0.25">
      <c r="A183" s="4" t="s">
        <v>448</v>
      </c>
      <c r="B183" s="5">
        <v>53422000</v>
      </c>
      <c r="C183" s="5">
        <v>21790479.5</v>
      </c>
      <c r="D183" s="5">
        <v>-2949513.5</v>
      </c>
      <c r="E183" s="5">
        <v>2949513.5</v>
      </c>
      <c r="F183" s="5">
        <v>0</v>
      </c>
      <c r="G183" s="5">
        <v>0</v>
      </c>
      <c r="H183" s="5">
        <v>-1494010.07</v>
      </c>
      <c r="I183" s="5">
        <v>-0.01</v>
      </c>
      <c r="J183" s="5">
        <v>9214808.6775000002</v>
      </c>
    </row>
    <row r="184" spans="1:10" x14ac:dyDescent="0.25">
      <c r="A184" s="4" t="s">
        <v>1204</v>
      </c>
      <c r="B184" s="5"/>
      <c r="C184" s="5"/>
      <c r="D184" s="5"/>
      <c r="E184" s="5">
        <v>162522369.97</v>
      </c>
      <c r="F184" s="5">
        <v>30131650.969999999</v>
      </c>
      <c r="G184" s="5">
        <v>643696983.94000006</v>
      </c>
      <c r="H184" s="5"/>
      <c r="I184" s="5">
        <v>102352.98</v>
      </c>
      <c r="J184" s="5">
        <v>209113339.46500003</v>
      </c>
    </row>
    <row r="185" spans="1:10" x14ac:dyDescent="0.25">
      <c r="A185" s="4" t="s">
        <v>208</v>
      </c>
      <c r="B185" s="5">
        <v>1795227154.46</v>
      </c>
      <c r="C185" s="5">
        <v>18000000</v>
      </c>
      <c r="D185" s="5">
        <v>850000</v>
      </c>
      <c r="E185" s="5">
        <v>-20073175.59</v>
      </c>
      <c r="F185" s="5">
        <v>17000000</v>
      </c>
      <c r="G185" s="5">
        <v>0</v>
      </c>
      <c r="H185" s="5">
        <v>-72127806.609999999</v>
      </c>
      <c r="I185" s="5">
        <v>2205150.3199999998</v>
      </c>
      <c r="J185" s="5">
        <v>217635165.32250002</v>
      </c>
    </row>
    <row r="186" spans="1:10" x14ac:dyDescent="0.25">
      <c r="A186" s="4" t="s">
        <v>1022</v>
      </c>
      <c r="B186" s="5"/>
      <c r="C186" s="5">
        <v>26620000</v>
      </c>
      <c r="D186" s="5"/>
      <c r="E186" s="5"/>
      <c r="F186" s="5"/>
      <c r="G186" s="5"/>
      <c r="H186" s="5"/>
      <c r="I186" s="5"/>
      <c r="J186" s="5">
        <v>26620000</v>
      </c>
    </row>
    <row r="187" spans="1:10" x14ac:dyDescent="0.25">
      <c r="A187" s="4" t="s">
        <v>504</v>
      </c>
      <c r="B187" s="5">
        <v>7328181</v>
      </c>
      <c r="C187" s="5">
        <v>0</v>
      </c>
      <c r="D187" s="5">
        <v>0</v>
      </c>
      <c r="E187" s="5">
        <v>470581</v>
      </c>
      <c r="F187" s="5">
        <v>0</v>
      </c>
      <c r="G187" s="5">
        <v>0</v>
      </c>
      <c r="H187" s="5">
        <v>715094.2</v>
      </c>
      <c r="I187" s="5">
        <v>447463.34</v>
      </c>
      <c r="J187" s="5">
        <v>1120164.9424999999</v>
      </c>
    </row>
    <row r="188" spans="1:10" x14ac:dyDescent="0.25">
      <c r="A188" s="4" t="s">
        <v>1327</v>
      </c>
      <c r="B188" s="5"/>
      <c r="C188" s="5"/>
      <c r="D188" s="5"/>
      <c r="E188" s="5"/>
      <c r="F188" s="5"/>
      <c r="G188" s="5"/>
      <c r="H188" s="5"/>
      <c r="I188" s="5">
        <v>35046893.490000002</v>
      </c>
      <c r="J188" s="5">
        <v>35046893.490000002</v>
      </c>
    </row>
    <row r="189" spans="1:10" x14ac:dyDescent="0.25">
      <c r="A189" s="4" t="s">
        <v>88</v>
      </c>
      <c r="B189" s="5">
        <v>0</v>
      </c>
      <c r="C189" s="5">
        <v>0</v>
      </c>
      <c r="D189" s="5">
        <v>0</v>
      </c>
      <c r="E189" s="5"/>
      <c r="F189" s="5">
        <v>0</v>
      </c>
      <c r="G189" s="5"/>
      <c r="H189" s="5">
        <v>176500.15</v>
      </c>
      <c r="I189" s="5">
        <v>1270586.08</v>
      </c>
      <c r="J189" s="5">
        <v>241181.03833333333</v>
      </c>
    </row>
    <row r="190" spans="1:10" x14ac:dyDescent="0.25">
      <c r="A190" s="4" t="s">
        <v>38</v>
      </c>
      <c r="B190" s="5">
        <v>3483179920</v>
      </c>
      <c r="C190" s="5">
        <v>0</v>
      </c>
      <c r="D190" s="5">
        <v>120000</v>
      </c>
      <c r="E190" s="5">
        <v>484087639.25999999</v>
      </c>
      <c r="F190" s="5">
        <v>15208250</v>
      </c>
      <c r="G190" s="5">
        <v>0</v>
      </c>
      <c r="H190" s="5">
        <v>-164551946.30000001</v>
      </c>
      <c r="I190" s="5">
        <v>0</v>
      </c>
      <c r="J190" s="5">
        <v>477255482.87</v>
      </c>
    </row>
    <row r="191" spans="1:10" x14ac:dyDescent="0.25">
      <c r="A191" s="4" t="s">
        <v>557</v>
      </c>
      <c r="B191" s="5">
        <v>650634967.97000003</v>
      </c>
      <c r="C191" s="5">
        <v>541600000</v>
      </c>
      <c r="D191" s="5">
        <v>440800000</v>
      </c>
      <c r="E191" s="5">
        <v>620228415.76999998</v>
      </c>
      <c r="F191" s="5">
        <v>790933571.94000006</v>
      </c>
      <c r="G191" s="5">
        <v>408157127.76999998</v>
      </c>
      <c r="H191" s="5">
        <v>293834374.16000003</v>
      </c>
      <c r="I191" s="5">
        <v>0</v>
      </c>
      <c r="J191" s="5">
        <v>468273557.20124996</v>
      </c>
    </row>
    <row r="192" spans="1:10" x14ac:dyDescent="0.25">
      <c r="A192" s="4" t="s">
        <v>1079</v>
      </c>
      <c r="B192" s="5"/>
      <c r="C192" s="5"/>
      <c r="D192" s="5">
        <v>63000</v>
      </c>
      <c r="E192" s="5"/>
      <c r="F192" s="5"/>
      <c r="G192" s="5"/>
      <c r="H192" s="5"/>
      <c r="I192" s="5"/>
      <c r="J192" s="5">
        <v>63000</v>
      </c>
    </row>
    <row r="193" spans="1:10" x14ac:dyDescent="0.25">
      <c r="A193" s="4" t="s">
        <v>931</v>
      </c>
      <c r="B193" s="5"/>
      <c r="C193" s="5">
        <v>2071514.69</v>
      </c>
      <c r="D193" s="5">
        <v>0</v>
      </c>
      <c r="E193" s="5">
        <v>0</v>
      </c>
      <c r="F193" s="5">
        <v>0</v>
      </c>
      <c r="G193" s="5">
        <v>0</v>
      </c>
      <c r="H193" s="5">
        <v>0</v>
      </c>
      <c r="I193" s="5">
        <v>150000</v>
      </c>
      <c r="J193" s="5">
        <v>317359.2414285714</v>
      </c>
    </row>
    <row r="194" spans="1:10" x14ac:dyDescent="0.25">
      <c r="A194" s="4" t="s">
        <v>911</v>
      </c>
      <c r="B194" s="5">
        <v>0</v>
      </c>
      <c r="C194" s="5">
        <v>0</v>
      </c>
      <c r="D194" s="5">
        <v>164682172.91999999</v>
      </c>
      <c r="E194" s="5">
        <v>423628746.22000003</v>
      </c>
      <c r="F194" s="5">
        <v>-157353594.30000001</v>
      </c>
      <c r="G194" s="5">
        <v>0</v>
      </c>
      <c r="H194" s="5">
        <v>0</v>
      </c>
      <c r="I194" s="5">
        <v>0</v>
      </c>
      <c r="J194" s="5">
        <v>43095732.483999997</v>
      </c>
    </row>
    <row r="195" spans="1:10" x14ac:dyDescent="0.25">
      <c r="A195" s="4" t="s">
        <v>1214</v>
      </c>
      <c r="B195" s="5"/>
      <c r="C195" s="5"/>
      <c r="D195" s="5"/>
      <c r="E195" s="5"/>
      <c r="F195" s="5">
        <v>468040642</v>
      </c>
      <c r="G195" s="5"/>
      <c r="H195" s="5">
        <v>0</v>
      </c>
      <c r="I195" s="5"/>
      <c r="J195" s="5">
        <v>234020321</v>
      </c>
    </row>
    <row r="196" spans="1:10" x14ac:dyDescent="0.25">
      <c r="A196" s="4" t="s">
        <v>427</v>
      </c>
      <c r="B196" s="5">
        <v>561094325085.04004</v>
      </c>
      <c r="C196" s="5">
        <v>500000000</v>
      </c>
      <c r="D196" s="5">
        <v>154000000000</v>
      </c>
      <c r="E196" s="5">
        <v>50600000000</v>
      </c>
      <c r="F196" s="5">
        <v>165750000000</v>
      </c>
      <c r="G196" s="5">
        <v>281843752247.21997</v>
      </c>
      <c r="H196" s="5">
        <v>343000000</v>
      </c>
      <c r="I196" s="5">
        <v>0</v>
      </c>
      <c r="J196" s="5">
        <v>151766384666.5325</v>
      </c>
    </row>
    <row r="197" spans="1:10" x14ac:dyDescent="0.25">
      <c r="A197" s="4" t="s">
        <v>321</v>
      </c>
      <c r="B197" s="5">
        <v>0</v>
      </c>
      <c r="C197" s="5">
        <v>18579589470</v>
      </c>
      <c r="D197" s="5">
        <v>0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2322448683.75</v>
      </c>
    </row>
    <row r="198" spans="1:10" x14ac:dyDescent="0.25">
      <c r="A198" s="4" t="s">
        <v>1076</v>
      </c>
      <c r="B198" s="5"/>
      <c r="C198" s="5"/>
      <c r="D198" s="5">
        <v>0</v>
      </c>
      <c r="E198" s="5"/>
      <c r="F198" s="5"/>
      <c r="G198" s="5"/>
      <c r="H198" s="5"/>
      <c r="I198" s="5"/>
      <c r="J198" s="5">
        <v>0</v>
      </c>
    </row>
    <row r="199" spans="1:10" x14ac:dyDescent="0.25">
      <c r="A199" s="4" t="s">
        <v>194</v>
      </c>
      <c r="B199" s="5">
        <v>3581479612.1900001</v>
      </c>
      <c r="C199" s="5">
        <v>1574831486.52</v>
      </c>
      <c r="D199" s="5">
        <v>1196636024.8900001</v>
      </c>
      <c r="E199" s="5">
        <v>1313523614.9000001</v>
      </c>
      <c r="F199" s="5">
        <v>1291947181.8499999</v>
      </c>
      <c r="G199" s="5">
        <v>1138198579.71</v>
      </c>
      <c r="H199" s="5">
        <v>3213045537.5100002</v>
      </c>
      <c r="I199" s="5">
        <v>887633566.35000002</v>
      </c>
      <c r="J199" s="5">
        <v>1774661950.4900002</v>
      </c>
    </row>
    <row r="200" spans="1:10" x14ac:dyDescent="0.25">
      <c r="A200" s="4" t="s">
        <v>324</v>
      </c>
      <c r="B200" s="5">
        <v>0</v>
      </c>
      <c r="C200" s="5"/>
      <c r="D200" s="5">
        <v>0</v>
      </c>
      <c r="E200" s="5">
        <v>0</v>
      </c>
      <c r="F200" s="5">
        <v>0</v>
      </c>
      <c r="G200" s="5">
        <v>57868960</v>
      </c>
      <c r="H200" s="5">
        <v>0</v>
      </c>
      <c r="I200" s="5">
        <v>0</v>
      </c>
      <c r="J200" s="5">
        <v>8266994.2857142854</v>
      </c>
    </row>
    <row r="201" spans="1:10" x14ac:dyDescent="0.25">
      <c r="A201" s="4" t="s">
        <v>986</v>
      </c>
      <c r="B201" s="5"/>
      <c r="C201" s="5">
        <v>0</v>
      </c>
      <c r="D201" s="5">
        <v>0</v>
      </c>
      <c r="E201" s="5">
        <v>47300000</v>
      </c>
      <c r="F201" s="5">
        <v>23650000</v>
      </c>
      <c r="G201" s="5">
        <v>0</v>
      </c>
      <c r="H201" s="5">
        <v>201024999.99000001</v>
      </c>
      <c r="I201" s="5">
        <v>0</v>
      </c>
      <c r="J201" s="5">
        <v>38853571.427142859</v>
      </c>
    </row>
    <row r="202" spans="1:10" x14ac:dyDescent="0.25">
      <c r="A202" s="4" t="s">
        <v>8</v>
      </c>
      <c r="B202" s="5">
        <v>26060241594.439999</v>
      </c>
      <c r="C202" s="5">
        <v>28336471241.619999</v>
      </c>
      <c r="D202" s="5">
        <v>2328147962.9899998</v>
      </c>
      <c r="E202" s="5">
        <v>9340599004.5699997</v>
      </c>
      <c r="F202" s="5">
        <v>116753413509.00999</v>
      </c>
      <c r="G202" s="5">
        <v>45279564353.650002</v>
      </c>
      <c r="H202" s="5">
        <v>30431376094.830002</v>
      </c>
      <c r="I202" s="5">
        <v>14174454155.59</v>
      </c>
      <c r="J202" s="5">
        <v>34088033489.587498</v>
      </c>
    </row>
    <row r="203" spans="1:10" x14ac:dyDescent="0.25">
      <c r="A203" s="4" t="s">
        <v>1080</v>
      </c>
      <c r="B203" s="5"/>
      <c r="C203" s="5"/>
      <c r="D203" s="5">
        <v>29603.16</v>
      </c>
      <c r="E203" s="5">
        <v>30508.74</v>
      </c>
      <c r="F203" s="5">
        <v>0</v>
      </c>
      <c r="G203" s="5"/>
      <c r="H203" s="5"/>
      <c r="I203" s="5">
        <v>17812.28</v>
      </c>
      <c r="J203" s="5">
        <v>19481.044999999998</v>
      </c>
    </row>
    <row r="204" spans="1:10" x14ac:dyDescent="0.25">
      <c r="A204" s="4" t="s">
        <v>1030</v>
      </c>
      <c r="B204" s="5"/>
      <c r="C204" s="5">
        <v>61789.61</v>
      </c>
      <c r="D204" s="5">
        <v>6911036.1200000001</v>
      </c>
      <c r="E204" s="5"/>
      <c r="F204" s="5"/>
      <c r="G204" s="5"/>
      <c r="H204" s="5"/>
      <c r="I204" s="5"/>
      <c r="J204" s="5">
        <v>3486412.8650000002</v>
      </c>
    </row>
    <row r="205" spans="1:10" x14ac:dyDescent="0.25">
      <c r="A205" s="4" t="s">
        <v>662</v>
      </c>
      <c r="B205" s="5">
        <v>0</v>
      </c>
      <c r="C205" s="5"/>
      <c r="D205" s="5"/>
      <c r="E205" s="5"/>
      <c r="F205" s="5"/>
      <c r="G205" s="5"/>
      <c r="H205" s="5"/>
      <c r="I205" s="5"/>
      <c r="J205" s="5">
        <v>0</v>
      </c>
    </row>
    <row r="206" spans="1:10" x14ac:dyDescent="0.25">
      <c r="A206" s="4" t="s">
        <v>501</v>
      </c>
      <c r="B206" s="5">
        <v>49286247.954999998</v>
      </c>
      <c r="C206" s="5">
        <v>248800839.78</v>
      </c>
      <c r="D206" s="5">
        <v>220066510.37</v>
      </c>
      <c r="E206" s="5">
        <v>1198711410.5699999</v>
      </c>
      <c r="F206" s="5">
        <v>78766357.640000001</v>
      </c>
      <c r="G206" s="5">
        <v>45582513.289999999</v>
      </c>
      <c r="H206" s="5">
        <v>25557163.375</v>
      </c>
      <c r="I206" s="5">
        <v>-85405996.290000007</v>
      </c>
      <c r="J206" s="5">
        <v>277719988.05363631</v>
      </c>
    </row>
    <row r="207" spans="1:10" x14ac:dyDescent="0.25">
      <c r="A207" s="4" t="s">
        <v>1253</v>
      </c>
      <c r="B207" s="5"/>
      <c r="C207" s="5"/>
      <c r="D207" s="5"/>
      <c r="E207" s="5"/>
      <c r="F207" s="5">
        <v>298102745</v>
      </c>
      <c r="G207" s="5"/>
      <c r="H207" s="5"/>
      <c r="I207" s="5">
        <v>0</v>
      </c>
      <c r="J207" s="5">
        <v>149051372.5</v>
      </c>
    </row>
    <row r="208" spans="1:10" x14ac:dyDescent="0.25">
      <c r="A208" s="4" t="s">
        <v>542</v>
      </c>
      <c r="B208" s="5">
        <v>0</v>
      </c>
      <c r="C208" s="5">
        <v>1650000</v>
      </c>
      <c r="D208" s="5">
        <v>4911.3</v>
      </c>
      <c r="E208" s="5">
        <v>3691307</v>
      </c>
      <c r="F208" s="5">
        <v>0</v>
      </c>
      <c r="G208" s="5">
        <v>281000</v>
      </c>
      <c r="H208" s="5">
        <v>1107858.02</v>
      </c>
      <c r="I208" s="5">
        <v>239103.78</v>
      </c>
      <c r="J208" s="5">
        <v>518679.67866666656</v>
      </c>
    </row>
    <row r="209" spans="1:10" x14ac:dyDescent="0.25">
      <c r="A209" s="4" t="s">
        <v>1190</v>
      </c>
      <c r="B209" s="5"/>
      <c r="C209" s="5"/>
      <c r="D209" s="5"/>
      <c r="E209" s="5">
        <v>748890789.75</v>
      </c>
      <c r="F209" s="5">
        <v>338367853.44999999</v>
      </c>
      <c r="G209" s="5">
        <v>1062420</v>
      </c>
      <c r="H209" s="5">
        <v>96751670</v>
      </c>
      <c r="I209" s="5">
        <v>50225650</v>
      </c>
      <c r="J209" s="5">
        <v>247059676.64000002</v>
      </c>
    </row>
    <row r="210" spans="1:10" x14ac:dyDescent="0.25">
      <c r="A210" s="4" t="s">
        <v>382</v>
      </c>
      <c r="B210" s="5">
        <v>4413485665</v>
      </c>
      <c r="C210" s="5">
        <v>0</v>
      </c>
      <c r="D210" s="5">
        <v>0</v>
      </c>
      <c r="E210" s="5"/>
      <c r="F210" s="5">
        <v>109850064</v>
      </c>
      <c r="G210" s="5">
        <v>0</v>
      </c>
      <c r="H210" s="5">
        <v>0</v>
      </c>
      <c r="I210" s="5">
        <v>0</v>
      </c>
      <c r="J210" s="5">
        <v>646190818.42857146</v>
      </c>
    </row>
    <row r="211" spans="1:10" x14ac:dyDescent="0.25">
      <c r="A211" s="4" t="s">
        <v>894</v>
      </c>
      <c r="B211" s="5">
        <v>1051394485.86</v>
      </c>
      <c r="C211" s="5">
        <v>7146965.3399999999</v>
      </c>
      <c r="D211" s="5">
        <v>2231629.6</v>
      </c>
      <c r="E211" s="5">
        <v>6662848.6900000004</v>
      </c>
      <c r="F211" s="5">
        <v>-72363756.680000007</v>
      </c>
      <c r="G211" s="5">
        <v>3702359.66</v>
      </c>
      <c r="H211" s="5">
        <v>813617.98</v>
      </c>
      <c r="I211" s="5">
        <v>-687554.54</v>
      </c>
      <c r="J211" s="5">
        <v>124862574.48875003</v>
      </c>
    </row>
    <row r="212" spans="1:10" x14ac:dyDescent="0.25">
      <c r="A212" s="4" t="s">
        <v>705</v>
      </c>
      <c r="B212" s="5">
        <v>1606306599</v>
      </c>
      <c r="C212" s="5">
        <v>0</v>
      </c>
      <c r="D212" s="5">
        <v>0</v>
      </c>
      <c r="E212" s="5"/>
      <c r="F212" s="5">
        <v>0</v>
      </c>
      <c r="G212" s="5"/>
      <c r="H212" s="5">
        <v>0</v>
      </c>
      <c r="I212" s="5"/>
      <c r="J212" s="5">
        <v>321261319.80000001</v>
      </c>
    </row>
    <row r="213" spans="1:10" x14ac:dyDescent="0.25">
      <c r="A213" s="4" t="s">
        <v>479</v>
      </c>
      <c r="B213" s="5">
        <v>8244019280</v>
      </c>
      <c r="C213" s="5">
        <v>0</v>
      </c>
      <c r="D213" s="5">
        <v>0</v>
      </c>
      <c r="E213" s="5">
        <v>0</v>
      </c>
      <c r="F213" s="5">
        <v>0</v>
      </c>
      <c r="G213" s="5"/>
      <c r="H213" s="5">
        <v>0</v>
      </c>
      <c r="I213" s="5"/>
      <c r="J213" s="5">
        <v>1374003213.3333333</v>
      </c>
    </row>
    <row r="214" spans="1:10" x14ac:dyDescent="0.25">
      <c r="A214" s="4" t="s">
        <v>109</v>
      </c>
      <c r="B214" s="5">
        <v>0</v>
      </c>
      <c r="C214" s="5"/>
      <c r="D214" s="5"/>
      <c r="E214" s="5"/>
      <c r="F214" s="5"/>
      <c r="G214" s="5">
        <v>500000</v>
      </c>
      <c r="H214" s="5"/>
      <c r="I214" s="5"/>
      <c r="J214" s="5">
        <v>250000</v>
      </c>
    </row>
    <row r="215" spans="1:10" x14ac:dyDescent="0.25">
      <c r="A215" s="4" t="s">
        <v>284</v>
      </c>
      <c r="B215" s="5">
        <v>901939</v>
      </c>
      <c r="C215" s="5">
        <v>3452891674</v>
      </c>
      <c r="D215" s="5">
        <v>3689264481</v>
      </c>
      <c r="E215" s="5">
        <v>4706621019</v>
      </c>
      <c r="F215" s="5">
        <v>4324578831</v>
      </c>
      <c r="G215" s="5">
        <v>4306095598</v>
      </c>
      <c r="H215" s="5">
        <v>3990273208</v>
      </c>
      <c r="I215" s="5">
        <v>20004380</v>
      </c>
      <c r="J215" s="5">
        <v>3061328891.25</v>
      </c>
    </row>
    <row r="216" spans="1:10" x14ac:dyDescent="0.25">
      <c r="A216" s="4" t="s">
        <v>567</v>
      </c>
      <c r="B216" s="5">
        <v>0</v>
      </c>
      <c r="C216" s="5"/>
      <c r="D216" s="5"/>
      <c r="E216" s="5"/>
      <c r="F216" s="5"/>
      <c r="G216" s="5"/>
      <c r="H216" s="5"/>
      <c r="I216" s="5"/>
      <c r="J216" s="5">
        <v>0</v>
      </c>
    </row>
    <row r="217" spans="1:10" x14ac:dyDescent="0.25">
      <c r="A217" s="4" t="s">
        <v>349</v>
      </c>
      <c r="B217" s="5">
        <v>575524266.12</v>
      </c>
      <c r="C217" s="5">
        <v>256000</v>
      </c>
      <c r="D217" s="5">
        <v>0</v>
      </c>
      <c r="E217" s="5">
        <v>0</v>
      </c>
      <c r="F217" s="5">
        <v>0</v>
      </c>
      <c r="G217" s="5">
        <v>500000</v>
      </c>
      <c r="H217" s="5">
        <v>20</v>
      </c>
      <c r="I217" s="5">
        <v>85000</v>
      </c>
      <c r="J217" s="5">
        <v>72045660.765000001</v>
      </c>
    </row>
    <row r="218" spans="1:10" x14ac:dyDescent="0.25">
      <c r="A218" s="4" t="s">
        <v>166</v>
      </c>
      <c r="B218" s="5">
        <v>11762.19</v>
      </c>
      <c r="C218" s="5">
        <v>0</v>
      </c>
      <c r="D218" s="5"/>
      <c r="E218" s="5">
        <v>0</v>
      </c>
      <c r="F218" s="5">
        <v>23246293.550000001</v>
      </c>
      <c r="G218" s="5">
        <v>47681671.700000003</v>
      </c>
      <c r="H218" s="5"/>
      <c r="I218" s="5"/>
      <c r="J218" s="5">
        <v>14187945.488</v>
      </c>
    </row>
    <row r="219" spans="1:10" x14ac:dyDescent="0.25">
      <c r="A219" s="4" t="s">
        <v>808</v>
      </c>
      <c r="B219" s="5">
        <v>856386987.76999998</v>
      </c>
      <c r="C219" s="5">
        <v>5536023.1699999999</v>
      </c>
      <c r="D219" s="5">
        <v>1549239.32</v>
      </c>
      <c r="E219" s="5">
        <v>3010384.54</v>
      </c>
      <c r="F219" s="5">
        <v>3582447.37</v>
      </c>
      <c r="G219" s="5">
        <v>1858873.08</v>
      </c>
      <c r="H219" s="5">
        <v>21800482.309999999</v>
      </c>
      <c r="I219" s="5">
        <v>19458951.41</v>
      </c>
      <c r="J219" s="5">
        <v>114147923.62124999</v>
      </c>
    </row>
    <row r="220" spans="1:10" x14ac:dyDescent="0.25">
      <c r="A220" s="4" t="s">
        <v>1111</v>
      </c>
      <c r="B220" s="5"/>
      <c r="C220" s="5"/>
      <c r="D220" s="5">
        <v>0</v>
      </c>
      <c r="E220" s="5"/>
      <c r="F220" s="5"/>
      <c r="G220" s="5"/>
      <c r="H220" s="5"/>
      <c r="I220" s="5"/>
      <c r="J220" s="5">
        <v>0</v>
      </c>
    </row>
    <row r="221" spans="1:10" x14ac:dyDescent="0.25">
      <c r="A221" s="4" t="s">
        <v>548</v>
      </c>
      <c r="B221" s="5">
        <v>326544719.16000003</v>
      </c>
      <c r="C221" s="5">
        <v>75696301.049999997</v>
      </c>
      <c r="D221" s="5">
        <v>157380127.47999999</v>
      </c>
      <c r="E221" s="5">
        <v>28181358.920000002</v>
      </c>
      <c r="F221" s="5">
        <v>251606686.47</v>
      </c>
      <c r="G221" s="5">
        <v>43762762.509999998</v>
      </c>
      <c r="H221" s="5">
        <v>26911238.440000001</v>
      </c>
      <c r="I221" s="5">
        <v>26866149.32</v>
      </c>
      <c r="J221" s="5">
        <v>117118667.91875002</v>
      </c>
    </row>
    <row r="222" spans="1:10" x14ac:dyDescent="0.25">
      <c r="A222" s="4" t="s">
        <v>18</v>
      </c>
      <c r="B222" s="5">
        <v>16646857.74</v>
      </c>
      <c r="C222" s="5">
        <v>18833723.510000002</v>
      </c>
      <c r="D222" s="5">
        <v>20312789.73</v>
      </c>
      <c r="E222" s="5">
        <v>21926627.84</v>
      </c>
      <c r="F222" s="5">
        <v>21759971.829999998</v>
      </c>
      <c r="G222" s="5">
        <v>22598005.149999999</v>
      </c>
      <c r="H222" s="5">
        <v>21602297.870000001</v>
      </c>
      <c r="I222" s="5">
        <v>22164835.149999999</v>
      </c>
      <c r="J222" s="5">
        <v>20730638.602500003</v>
      </c>
    </row>
    <row r="223" spans="1:10" x14ac:dyDescent="0.25">
      <c r="A223" s="4" t="s">
        <v>877</v>
      </c>
      <c r="B223" s="5">
        <v>1654804.17</v>
      </c>
      <c r="C223" s="5">
        <v>295488.71999999997</v>
      </c>
      <c r="D223" s="5">
        <v>12778.17</v>
      </c>
      <c r="E223" s="5">
        <v>1048305.92</v>
      </c>
      <c r="F223" s="5">
        <v>538547.05000000005</v>
      </c>
      <c r="G223" s="5">
        <v>295943.28999999998</v>
      </c>
      <c r="H223" s="5">
        <v>455000</v>
      </c>
      <c r="I223" s="5">
        <v>378419.99</v>
      </c>
      <c r="J223" s="5">
        <v>584910.91375000007</v>
      </c>
    </row>
    <row r="224" spans="1:10" x14ac:dyDescent="0.25">
      <c r="A224" s="4" t="s">
        <v>1143</v>
      </c>
      <c r="B224" s="5"/>
      <c r="C224" s="5"/>
      <c r="D224" s="5">
        <v>3829657</v>
      </c>
      <c r="E224" s="5">
        <v>0</v>
      </c>
      <c r="F224" s="5"/>
      <c r="G224" s="5"/>
      <c r="H224" s="5"/>
      <c r="I224" s="5"/>
      <c r="J224" s="5">
        <v>1914828.5</v>
      </c>
    </row>
    <row r="225" spans="1:10" x14ac:dyDescent="0.25">
      <c r="A225" s="4" t="s">
        <v>175</v>
      </c>
      <c r="B225" s="5">
        <v>0</v>
      </c>
      <c r="C225" s="5"/>
      <c r="D225" s="5"/>
      <c r="E225" s="5">
        <v>0</v>
      </c>
      <c r="F225" s="5"/>
      <c r="G225" s="5"/>
      <c r="H225" s="5">
        <v>5162926</v>
      </c>
      <c r="I225" s="5"/>
      <c r="J225" s="5">
        <v>1720975.3333333333</v>
      </c>
    </row>
    <row r="226" spans="1:10" x14ac:dyDescent="0.25">
      <c r="A226" s="4" t="s">
        <v>1114</v>
      </c>
      <c r="B226" s="5"/>
      <c r="C226" s="5"/>
      <c r="D226" s="5">
        <v>60000000</v>
      </c>
      <c r="E226" s="5"/>
      <c r="F226" s="5"/>
      <c r="G226" s="5"/>
      <c r="H226" s="5"/>
      <c r="I226" s="5"/>
      <c r="J226" s="5">
        <v>60000000</v>
      </c>
    </row>
    <row r="227" spans="1:10" x14ac:dyDescent="0.25">
      <c r="A227" s="4" t="s">
        <v>1074</v>
      </c>
      <c r="B227" s="5"/>
      <c r="C227" s="5"/>
      <c r="D227" s="5">
        <v>4339390</v>
      </c>
      <c r="E227" s="5"/>
      <c r="F227" s="5"/>
      <c r="G227" s="5">
        <v>0</v>
      </c>
      <c r="H227" s="5">
        <v>-126803.13</v>
      </c>
      <c r="I227" s="5"/>
      <c r="J227" s="5">
        <v>1404195.6233333333</v>
      </c>
    </row>
    <row r="228" spans="1:10" x14ac:dyDescent="0.25">
      <c r="A228" s="4" t="s">
        <v>1153</v>
      </c>
      <c r="B228" s="5"/>
      <c r="C228" s="5"/>
      <c r="D228" s="5">
        <v>11305326</v>
      </c>
      <c r="E228" s="5">
        <v>-10877011.27</v>
      </c>
      <c r="F228" s="5"/>
      <c r="G228" s="5"/>
      <c r="H228" s="5"/>
      <c r="I228" s="5"/>
      <c r="J228" s="5">
        <v>214157.36500000022</v>
      </c>
    </row>
    <row r="229" spans="1:10" x14ac:dyDescent="0.25">
      <c r="A229" s="4" t="s">
        <v>1106</v>
      </c>
      <c r="B229" s="5"/>
      <c r="C229" s="5"/>
      <c r="D229" s="5">
        <v>5521439.1500000004</v>
      </c>
      <c r="E229" s="5"/>
      <c r="F229" s="5"/>
      <c r="G229" s="5"/>
      <c r="H229" s="5"/>
      <c r="I229" s="5"/>
      <c r="J229" s="5">
        <v>5521439.1500000004</v>
      </c>
    </row>
    <row r="230" spans="1:10" x14ac:dyDescent="0.25">
      <c r="A230" s="4" t="s">
        <v>1065</v>
      </c>
      <c r="B230" s="5"/>
      <c r="C230" s="5"/>
      <c r="D230" s="5">
        <v>43301696.939999998</v>
      </c>
      <c r="E230" s="5">
        <v>184001431.08000001</v>
      </c>
      <c r="F230" s="5">
        <v>70592163.430000007</v>
      </c>
      <c r="G230" s="5">
        <v>52103729.390000001</v>
      </c>
      <c r="H230" s="5">
        <v>144667405.47</v>
      </c>
      <c r="I230" s="5">
        <v>16099188.189999999</v>
      </c>
      <c r="J230" s="5">
        <v>85127602.416666672</v>
      </c>
    </row>
    <row r="231" spans="1:10" x14ac:dyDescent="0.25">
      <c r="A231" s="4" t="s">
        <v>250</v>
      </c>
      <c r="B231" s="5">
        <v>165671092</v>
      </c>
      <c r="C231" s="5"/>
      <c r="D231" s="5"/>
      <c r="E231" s="5"/>
      <c r="F231" s="5">
        <v>275471972</v>
      </c>
      <c r="G231" s="5"/>
      <c r="H231" s="5"/>
      <c r="I231" s="5"/>
      <c r="J231" s="5">
        <v>220571532</v>
      </c>
    </row>
    <row r="232" spans="1:10" x14ac:dyDescent="0.25">
      <c r="A232" s="4" t="s">
        <v>387</v>
      </c>
      <c r="B232" s="5">
        <v>0</v>
      </c>
      <c r="C232" s="5"/>
      <c r="D232" s="5"/>
      <c r="E232" s="5"/>
      <c r="F232" s="5">
        <v>425050814.68000001</v>
      </c>
      <c r="G232" s="5">
        <v>50331182.729999997</v>
      </c>
      <c r="H232" s="5">
        <v>138342525.22</v>
      </c>
      <c r="I232" s="5">
        <v>233488136.12</v>
      </c>
      <c r="J232" s="5">
        <v>169442531.75</v>
      </c>
    </row>
    <row r="233" spans="1:10" x14ac:dyDescent="0.25">
      <c r="A233" s="4" t="s">
        <v>749</v>
      </c>
      <c r="B233" s="5">
        <v>6130274365.665</v>
      </c>
      <c r="C233" s="5">
        <v>271465065.62</v>
      </c>
      <c r="D233" s="5">
        <v>193756661.96000001</v>
      </c>
      <c r="E233" s="5">
        <v>177991421.875</v>
      </c>
      <c r="F233" s="5">
        <v>300559391.33999997</v>
      </c>
      <c r="G233" s="5">
        <v>172210203.80500001</v>
      </c>
      <c r="H233" s="5">
        <v>194153533.965</v>
      </c>
      <c r="I233" s="5">
        <v>38378543.155000001</v>
      </c>
      <c r="J233" s="5">
        <v>934848648.42312503</v>
      </c>
    </row>
    <row r="234" spans="1:10" x14ac:dyDescent="0.25">
      <c r="A234" s="4" t="s">
        <v>150</v>
      </c>
      <c r="B234" s="5">
        <v>0</v>
      </c>
      <c r="C234" s="5">
        <v>0</v>
      </c>
      <c r="D234" s="5">
        <v>0</v>
      </c>
      <c r="E234" s="5">
        <v>78701750</v>
      </c>
      <c r="F234" s="5">
        <v>41851250</v>
      </c>
      <c r="G234" s="5">
        <v>0</v>
      </c>
      <c r="H234" s="5">
        <v>0</v>
      </c>
      <c r="I234" s="5">
        <v>0</v>
      </c>
      <c r="J234" s="5">
        <v>15069125</v>
      </c>
    </row>
    <row r="235" spans="1:10" x14ac:dyDescent="0.25">
      <c r="A235" s="4" t="s">
        <v>189</v>
      </c>
      <c r="B235" s="5">
        <v>3860800</v>
      </c>
      <c r="C235" s="5">
        <v>24402800</v>
      </c>
      <c r="D235" s="5">
        <v>9939853</v>
      </c>
      <c r="E235" s="5">
        <v>28773900</v>
      </c>
      <c r="F235" s="5">
        <v>14884800</v>
      </c>
      <c r="G235" s="5">
        <v>112505400</v>
      </c>
      <c r="H235" s="5">
        <v>7783300</v>
      </c>
      <c r="I235" s="5">
        <v>0</v>
      </c>
      <c r="J235" s="5">
        <v>25268856.625</v>
      </c>
    </row>
    <row r="236" spans="1:10" x14ac:dyDescent="0.25">
      <c r="A236" s="4" t="s">
        <v>303</v>
      </c>
      <c r="B236" s="5">
        <v>9707945.3100000005</v>
      </c>
      <c r="C236" s="5">
        <v>11718421.67</v>
      </c>
      <c r="D236" s="5">
        <v>154677653.84999999</v>
      </c>
      <c r="E236" s="5">
        <v>22558392.030000001</v>
      </c>
      <c r="F236" s="5">
        <v>50830157.5</v>
      </c>
      <c r="G236" s="5">
        <v>34487344.509999998</v>
      </c>
      <c r="H236" s="5">
        <v>29310668.760000002</v>
      </c>
      <c r="I236" s="5">
        <v>163259716.81</v>
      </c>
      <c r="J236" s="5">
        <v>59568787.555</v>
      </c>
    </row>
    <row r="237" spans="1:10" x14ac:dyDescent="0.25">
      <c r="A237" s="4" t="s">
        <v>231</v>
      </c>
      <c r="B237" s="5">
        <v>0</v>
      </c>
      <c r="C237" s="5">
        <v>5304389595.1899996</v>
      </c>
      <c r="D237" s="5">
        <v>3155206532.1999998</v>
      </c>
      <c r="E237" s="5">
        <v>2964597223.9499998</v>
      </c>
      <c r="F237" s="5">
        <v>7322092502.6800003</v>
      </c>
      <c r="G237" s="5">
        <v>2968082060.4899998</v>
      </c>
      <c r="H237" s="5">
        <v>1829922963.99</v>
      </c>
      <c r="I237" s="5">
        <v>6696174031.1499996</v>
      </c>
      <c r="J237" s="5">
        <v>3780058113.7062502</v>
      </c>
    </row>
    <row r="238" spans="1:10" x14ac:dyDescent="0.25">
      <c r="A238" s="4" t="s">
        <v>540</v>
      </c>
      <c r="B238" s="5">
        <v>370000000</v>
      </c>
      <c r="C238" s="5">
        <v>-50000000</v>
      </c>
      <c r="D238" s="5">
        <v>0</v>
      </c>
      <c r="E238" s="5">
        <v>0</v>
      </c>
      <c r="F238" s="5"/>
      <c r="G238" s="5"/>
      <c r="H238" s="5"/>
      <c r="I238" s="5"/>
      <c r="J238" s="5">
        <v>80000000</v>
      </c>
    </row>
    <row r="239" spans="1:10" x14ac:dyDescent="0.25">
      <c r="A239" s="4" t="s">
        <v>104</v>
      </c>
      <c r="B239" s="5">
        <v>2000000000</v>
      </c>
      <c r="C239" s="5">
        <v>-91385000</v>
      </c>
      <c r="D239" s="5"/>
      <c r="E239" s="5"/>
      <c r="F239" s="5">
        <v>40000000</v>
      </c>
      <c r="G239" s="5"/>
      <c r="H239" s="5"/>
      <c r="I239" s="5"/>
      <c r="J239" s="5">
        <v>649538333.33333337</v>
      </c>
    </row>
    <row r="240" spans="1:10" x14ac:dyDescent="0.25">
      <c r="A240" s="4" t="s">
        <v>1078</v>
      </c>
      <c r="B240" s="5"/>
      <c r="C240" s="5"/>
      <c r="D240" s="5">
        <v>0</v>
      </c>
      <c r="E240" s="5"/>
      <c r="F240" s="5">
        <v>0</v>
      </c>
      <c r="G240" s="5"/>
      <c r="H240" s="5"/>
      <c r="I240" s="5"/>
      <c r="J240" s="5">
        <v>0</v>
      </c>
    </row>
    <row r="241" spans="1:10" x14ac:dyDescent="0.25">
      <c r="A241" s="4" t="s">
        <v>1068</v>
      </c>
      <c r="B241" s="5"/>
      <c r="C241" s="5"/>
      <c r="D241" s="5">
        <v>4568119</v>
      </c>
      <c r="E241" s="5">
        <v>-4303615.22</v>
      </c>
      <c r="F241" s="5"/>
      <c r="G241" s="5"/>
      <c r="H241" s="5"/>
      <c r="I241" s="5"/>
      <c r="J241" s="5">
        <v>132251.89000000013</v>
      </c>
    </row>
    <row r="242" spans="1:10" x14ac:dyDescent="0.25">
      <c r="A242" s="4" t="s">
        <v>1089</v>
      </c>
      <c r="B242" s="5"/>
      <c r="C242" s="5"/>
      <c r="D242" s="5">
        <v>0</v>
      </c>
      <c r="E242" s="5"/>
      <c r="F242" s="5">
        <v>610000</v>
      </c>
      <c r="G242" s="5"/>
      <c r="H242" s="5"/>
      <c r="I242" s="5"/>
      <c r="J242" s="5">
        <v>305000</v>
      </c>
    </row>
    <row r="243" spans="1:10" x14ac:dyDescent="0.25">
      <c r="A243" s="4" t="s">
        <v>1110</v>
      </c>
      <c r="B243" s="5"/>
      <c r="C243" s="5"/>
      <c r="D243" s="5">
        <v>0</v>
      </c>
      <c r="E243" s="5">
        <v>1000000</v>
      </c>
      <c r="F243" s="5"/>
      <c r="G243" s="5"/>
      <c r="H243" s="5"/>
      <c r="I243" s="5"/>
      <c r="J243" s="5">
        <v>500000</v>
      </c>
    </row>
    <row r="244" spans="1:10" x14ac:dyDescent="0.25">
      <c r="A244" s="4" t="s">
        <v>1128</v>
      </c>
      <c r="B244" s="5"/>
      <c r="C244" s="5"/>
      <c r="D244" s="5">
        <v>3980000</v>
      </c>
      <c r="E244" s="5"/>
      <c r="F244" s="5">
        <v>0</v>
      </c>
      <c r="G244" s="5"/>
      <c r="H244" s="5"/>
      <c r="I244" s="5"/>
      <c r="J244" s="5">
        <v>1990000</v>
      </c>
    </row>
    <row r="245" spans="1:10" x14ac:dyDescent="0.25">
      <c r="A245" s="4" t="s">
        <v>670</v>
      </c>
      <c r="B245" s="5">
        <v>9188035.9199999999</v>
      </c>
      <c r="C245" s="5">
        <v>1624515.39</v>
      </c>
      <c r="D245" s="5">
        <v>3535374.24</v>
      </c>
      <c r="E245" s="5">
        <v>0</v>
      </c>
      <c r="F245" s="5">
        <v>2329978.4500000002</v>
      </c>
      <c r="G245" s="5">
        <v>0</v>
      </c>
      <c r="H245" s="5">
        <v>0</v>
      </c>
      <c r="I245" s="5">
        <v>0</v>
      </c>
      <c r="J245" s="5">
        <v>2084738</v>
      </c>
    </row>
    <row r="246" spans="1:10" x14ac:dyDescent="0.25">
      <c r="A246" s="4" t="s">
        <v>12</v>
      </c>
      <c r="B246" s="5">
        <v>66554016107</v>
      </c>
      <c r="C246" s="5">
        <v>0</v>
      </c>
      <c r="D246" s="5">
        <v>0</v>
      </c>
      <c r="E246" s="5">
        <v>-19630500</v>
      </c>
      <c r="F246" s="5">
        <v>1668457145</v>
      </c>
      <c r="G246" s="5">
        <v>0</v>
      </c>
      <c r="H246" s="5">
        <v>0</v>
      </c>
      <c r="I246" s="5">
        <v>0</v>
      </c>
      <c r="J246" s="5">
        <v>8525355344</v>
      </c>
    </row>
    <row r="247" spans="1:10" x14ac:dyDescent="0.25">
      <c r="A247" s="4" t="s">
        <v>1326</v>
      </c>
      <c r="B247" s="5"/>
      <c r="C247" s="5"/>
      <c r="D247" s="5"/>
      <c r="E247" s="5"/>
      <c r="F247" s="5"/>
      <c r="G247" s="5"/>
      <c r="H247" s="5"/>
      <c r="I247" s="5">
        <v>0</v>
      </c>
      <c r="J247" s="5">
        <v>0</v>
      </c>
    </row>
    <row r="248" spans="1:10" x14ac:dyDescent="0.25">
      <c r="A248" s="4" t="s">
        <v>999</v>
      </c>
      <c r="B248" s="5"/>
      <c r="C248" s="5">
        <v>0</v>
      </c>
      <c r="D248" s="5">
        <v>1511339</v>
      </c>
      <c r="E248" s="5">
        <v>0</v>
      </c>
      <c r="F248" s="5">
        <v>0</v>
      </c>
      <c r="G248" s="5">
        <v>0</v>
      </c>
      <c r="H248" s="5">
        <v>2456172.56</v>
      </c>
      <c r="I248" s="5">
        <v>0</v>
      </c>
      <c r="J248" s="5">
        <v>661251.92666666664</v>
      </c>
    </row>
    <row r="249" spans="1:10" x14ac:dyDescent="0.25">
      <c r="A249" s="4" t="s">
        <v>72</v>
      </c>
      <c r="B249" s="5">
        <v>0</v>
      </c>
      <c r="C249" s="5">
        <v>0</v>
      </c>
      <c r="D249" s="5">
        <v>0</v>
      </c>
      <c r="E249" s="5"/>
      <c r="F249" s="5">
        <v>0</v>
      </c>
      <c r="G249" s="5">
        <v>0</v>
      </c>
      <c r="H249" s="5">
        <v>0</v>
      </c>
      <c r="I249" s="5">
        <v>0</v>
      </c>
      <c r="J249" s="5">
        <v>0</v>
      </c>
    </row>
    <row r="250" spans="1:10" x14ac:dyDescent="0.25">
      <c r="A250" s="4" t="s">
        <v>1097</v>
      </c>
      <c r="B250" s="5"/>
      <c r="C250" s="5"/>
      <c r="D250" s="5">
        <v>0</v>
      </c>
      <c r="E250" s="5">
        <v>0</v>
      </c>
      <c r="F250" s="5"/>
      <c r="G250" s="5">
        <v>0</v>
      </c>
      <c r="H250" s="5"/>
      <c r="I250" s="5">
        <v>0</v>
      </c>
      <c r="J250" s="5">
        <v>0</v>
      </c>
    </row>
    <row r="251" spans="1:10" x14ac:dyDescent="0.25">
      <c r="A251" s="4" t="s">
        <v>399</v>
      </c>
      <c r="B251" s="5">
        <v>12000000</v>
      </c>
      <c r="C251" s="5">
        <v>0</v>
      </c>
      <c r="D251" s="5">
        <v>0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1500000</v>
      </c>
    </row>
    <row r="252" spans="1:10" x14ac:dyDescent="0.25">
      <c r="A252" s="4" t="s">
        <v>1098</v>
      </c>
      <c r="B252" s="5"/>
      <c r="C252" s="5"/>
      <c r="D252" s="5">
        <v>0</v>
      </c>
      <c r="E252" s="5">
        <v>0</v>
      </c>
      <c r="F252" s="5"/>
      <c r="G252" s="5"/>
      <c r="H252" s="5">
        <v>6375767183</v>
      </c>
      <c r="I252" s="5">
        <v>0</v>
      </c>
      <c r="J252" s="5">
        <v>1593941795.75</v>
      </c>
    </row>
    <row r="253" spans="1:10" x14ac:dyDescent="0.25">
      <c r="A253" s="4" t="s">
        <v>994</v>
      </c>
      <c r="B253" s="5"/>
      <c r="C253" s="5">
        <v>0</v>
      </c>
      <c r="D253" s="5">
        <v>1700000</v>
      </c>
      <c r="E253" s="5">
        <v>0</v>
      </c>
      <c r="F253" s="5">
        <v>0</v>
      </c>
      <c r="G253" s="5">
        <v>14249889.52</v>
      </c>
      <c r="H253" s="5">
        <v>0</v>
      </c>
      <c r="I253" s="5">
        <v>0</v>
      </c>
      <c r="J253" s="5">
        <v>2278555.6457142858</v>
      </c>
    </row>
    <row r="254" spans="1:10" x14ac:dyDescent="0.25">
      <c r="A254" s="4" t="s">
        <v>526</v>
      </c>
      <c r="B254" s="5">
        <v>5000000</v>
      </c>
      <c r="C254" s="5">
        <v>0</v>
      </c>
      <c r="D254" s="5">
        <v>0</v>
      </c>
      <c r="E254" s="5">
        <v>11071417.699999999</v>
      </c>
      <c r="F254" s="5">
        <v>10088135.49</v>
      </c>
      <c r="G254" s="5">
        <v>0</v>
      </c>
      <c r="H254" s="5">
        <v>0</v>
      </c>
      <c r="I254" s="5">
        <v>9065959.4199999999</v>
      </c>
      <c r="J254" s="5">
        <v>4403189.0762499999</v>
      </c>
    </row>
    <row r="255" spans="1:10" x14ac:dyDescent="0.25">
      <c r="A255" s="4" t="s">
        <v>352</v>
      </c>
      <c r="B255" s="5">
        <v>0</v>
      </c>
      <c r="C255" s="5"/>
      <c r="D255" s="5">
        <v>0</v>
      </c>
      <c r="E255" s="5">
        <v>0</v>
      </c>
      <c r="F255" s="5"/>
      <c r="G255" s="5"/>
      <c r="H255" s="5"/>
      <c r="I255" s="5"/>
      <c r="J255" s="5">
        <v>0</v>
      </c>
    </row>
    <row r="256" spans="1:10" x14ac:dyDescent="0.25">
      <c r="A256" s="4" t="s">
        <v>372</v>
      </c>
      <c r="B256" s="5">
        <v>0</v>
      </c>
      <c r="C256" s="5">
        <v>0</v>
      </c>
      <c r="D256" s="5">
        <v>0</v>
      </c>
      <c r="E256" s="5">
        <v>700000</v>
      </c>
      <c r="F256" s="5">
        <v>0</v>
      </c>
      <c r="G256" s="5">
        <v>0</v>
      </c>
      <c r="H256" s="5">
        <v>0</v>
      </c>
      <c r="I256" s="5">
        <v>1188157.04</v>
      </c>
      <c r="J256" s="5">
        <v>236019.63</v>
      </c>
    </row>
    <row r="257" spans="1:10" x14ac:dyDescent="0.25">
      <c r="A257" s="4" t="s">
        <v>1162</v>
      </c>
      <c r="B257" s="5"/>
      <c r="C257" s="5"/>
      <c r="D257" s="5"/>
      <c r="E257" s="5">
        <v>0</v>
      </c>
      <c r="F257" s="5"/>
      <c r="G257" s="5"/>
      <c r="H257" s="5"/>
      <c r="I257" s="5"/>
      <c r="J257" s="5">
        <v>0</v>
      </c>
    </row>
    <row r="258" spans="1:10" x14ac:dyDescent="0.25">
      <c r="A258" s="4" t="s">
        <v>500</v>
      </c>
      <c r="B258" s="5">
        <v>0</v>
      </c>
      <c r="C258" s="5">
        <v>0</v>
      </c>
      <c r="D258" s="5">
        <v>0</v>
      </c>
      <c r="E258" s="5"/>
      <c r="F258" s="5"/>
      <c r="G258" s="5"/>
      <c r="H258" s="5"/>
      <c r="I258" s="5">
        <v>0</v>
      </c>
      <c r="J258" s="5">
        <v>0</v>
      </c>
    </row>
    <row r="259" spans="1:10" x14ac:dyDescent="0.25">
      <c r="A259" s="4" t="s">
        <v>444</v>
      </c>
      <c r="B259" s="5">
        <v>0</v>
      </c>
      <c r="C259" s="5">
        <v>0</v>
      </c>
      <c r="D259" s="5">
        <v>0</v>
      </c>
      <c r="E259" s="5"/>
      <c r="F259" s="5"/>
      <c r="G259" s="5"/>
      <c r="H259" s="5"/>
      <c r="I259" s="5">
        <v>0</v>
      </c>
      <c r="J259" s="5">
        <v>0</v>
      </c>
    </row>
    <row r="260" spans="1:10" x14ac:dyDescent="0.25">
      <c r="A260" s="4" t="s">
        <v>1072</v>
      </c>
      <c r="B260" s="5"/>
      <c r="C260" s="5"/>
      <c r="D260" s="5">
        <v>0</v>
      </c>
      <c r="E260" s="5"/>
      <c r="F260" s="5"/>
      <c r="G260" s="5"/>
      <c r="H260" s="5"/>
      <c r="I260" s="5">
        <v>0</v>
      </c>
      <c r="J260" s="5">
        <v>0</v>
      </c>
    </row>
    <row r="261" spans="1:10" x14ac:dyDescent="0.25">
      <c r="A261" s="4" t="s">
        <v>1169</v>
      </c>
      <c r="B261" s="5"/>
      <c r="C261" s="5"/>
      <c r="D261" s="5"/>
      <c r="E261" s="5">
        <v>0</v>
      </c>
      <c r="F261" s="5"/>
      <c r="G261" s="5">
        <v>0</v>
      </c>
      <c r="H261" s="5"/>
      <c r="I261" s="5"/>
      <c r="J261" s="5">
        <v>0</v>
      </c>
    </row>
    <row r="262" spans="1:10" x14ac:dyDescent="0.25">
      <c r="A262" s="4" t="s">
        <v>976</v>
      </c>
      <c r="B262" s="5"/>
      <c r="C262" s="5">
        <v>35646332</v>
      </c>
      <c r="D262" s="5">
        <v>0</v>
      </c>
      <c r="E262" s="5"/>
      <c r="F262" s="5"/>
      <c r="G262" s="5">
        <v>900000</v>
      </c>
      <c r="H262" s="5"/>
      <c r="I262" s="5"/>
      <c r="J262" s="5">
        <v>12182110.666666666</v>
      </c>
    </row>
    <row r="263" spans="1:10" x14ac:dyDescent="0.25">
      <c r="A263" s="4" t="s">
        <v>463</v>
      </c>
      <c r="B263" s="5">
        <v>0</v>
      </c>
      <c r="C263" s="5">
        <v>63086.75</v>
      </c>
      <c r="D263" s="5">
        <v>2750000</v>
      </c>
      <c r="E263" s="5">
        <v>0</v>
      </c>
      <c r="F263" s="5">
        <v>1648256.86</v>
      </c>
      <c r="G263" s="5">
        <v>1200000</v>
      </c>
      <c r="H263" s="5">
        <v>2000000</v>
      </c>
      <c r="I263" s="5">
        <v>0</v>
      </c>
      <c r="J263" s="5">
        <v>957667.95125000004</v>
      </c>
    </row>
    <row r="264" spans="1:10" x14ac:dyDescent="0.25">
      <c r="A264" s="4" t="s">
        <v>522</v>
      </c>
      <c r="B264" s="5">
        <v>0</v>
      </c>
      <c r="C264" s="5">
        <v>34879887</v>
      </c>
      <c r="D264" s="5">
        <v>5440113</v>
      </c>
      <c r="E264" s="5">
        <v>7800113</v>
      </c>
      <c r="F264" s="5">
        <v>187000000</v>
      </c>
      <c r="G264" s="5">
        <v>19000000</v>
      </c>
      <c r="H264" s="5">
        <v>1600000</v>
      </c>
      <c r="I264" s="5">
        <v>13519912</v>
      </c>
      <c r="J264" s="5">
        <v>33655003.125</v>
      </c>
    </row>
    <row r="265" spans="1:10" x14ac:dyDescent="0.25">
      <c r="A265" s="4" t="s">
        <v>1119</v>
      </c>
      <c r="B265" s="5"/>
      <c r="C265" s="5"/>
      <c r="D265" s="5">
        <v>2000000</v>
      </c>
      <c r="E265" s="5">
        <v>96450000</v>
      </c>
      <c r="F265" s="5">
        <v>0</v>
      </c>
      <c r="G265" s="5"/>
      <c r="H265" s="5">
        <v>-30000000</v>
      </c>
      <c r="I265" s="5"/>
      <c r="J265" s="5">
        <v>17112500</v>
      </c>
    </row>
    <row r="266" spans="1:10" x14ac:dyDescent="0.25">
      <c r="A266" s="4" t="s">
        <v>757</v>
      </c>
      <c r="B266" s="5">
        <v>0</v>
      </c>
      <c r="C266" s="5">
        <v>6800000</v>
      </c>
      <c r="D266" s="5">
        <v>8500216</v>
      </c>
      <c r="E266" s="5">
        <v>80200000</v>
      </c>
      <c r="F266" s="5">
        <v>379490.02</v>
      </c>
      <c r="G266" s="5">
        <v>0</v>
      </c>
      <c r="H266" s="5">
        <v>0</v>
      </c>
      <c r="I266" s="5">
        <v>0</v>
      </c>
      <c r="J266" s="5">
        <v>11984963.252499999</v>
      </c>
    </row>
    <row r="267" spans="1:10" x14ac:dyDescent="0.25">
      <c r="A267" s="4" t="s">
        <v>497</v>
      </c>
      <c r="B267" s="5">
        <v>0</v>
      </c>
      <c r="C267" s="5">
        <v>3076324</v>
      </c>
      <c r="D267" s="5">
        <v>627000</v>
      </c>
      <c r="E267" s="5">
        <v>1254000</v>
      </c>
      <c r="F267" s="5">
        <v>6300352.6500000004</v>
      </c>
      <c r="G267" s="5">
        <v>0</v>
      </c>
      <c r="H267" s="5">
        <v>0</v>
      </c>
      <c r="I267" s="5">
        <v>1000000</v>
      </c>
      <c r="J267" s="5">
        <v>1532209.58125</v>
      </c>
    </row>
    <row r="268" spans="1:10" x14ac:dyDescent="0.25">
      <c r="A268" s="4" t="s">
        <v>202</v>
      </c>
      <c r="B268" s="5">
        <v>6253292</v>
      </c>
      <c r="C268" s="5">
        <v>1000000</v>
      </c>
      <c r="D268" s="5">
        <v>0</v>
      </c>
      <c r="E268" s="5">
        <v>38100067.670000002</v>
      </c>
      <c r="F268" s="5">
        <v>15092595.210000001</v>
      </c>
      <c r="G268" s="5">
        <v>0</v>
      </c>
      <c r="H268" s="5">
        <v>0</v>
      </c>
      <c r="I268" s="5">
        <v>1899933</v>
      </c>
      <c r="J268" s="5">
        <v>7793235.9850000003</v>
      </c>
    </row>
    <row r="269" spans="1:10" x14ac:dyDescent="0.25">
      <c r="A269" s="4" t="s">
        <v>1238</v>
      </c>
      <c r="B269" s="5"/>
      <c r="C269" s="5"/>
      <c r="D269" s="5"/>
      <c r="E269" s="5"/>
      <c r="F269" s="5">
        <v>0</v>
      </c>
      <c r="G269" s="5"/>
      <c r="H269" s="5">
        <v>0</v>
      </c>
      <c r="I269" s="5"/>
      <c r="J269" s="5">
        <v>0</v>
      </c>
    </row>
    <row r="270" spans="1:10" x14ac:dyDescent="0.25">
      <c r="A270" s="4" t="s">
        <v>357</v>
      </c>
      <c r="B270" s="5">
        <v>0</v>
      </c>
      <c r="C270" s="5">
        <v>0</v>
      </c>
      <c r="D270" s="5"/>
      <c r="E270" s="5">
        <v>0</v>
      </c>
      <c r="F270" s="5">
        <v>0</v>
      </c>
      <c r="G270" s="5">
        <v>0</v>
      </c>
      <c r="H270" s="5"/>
      <c r="I270" s="5">
        <v>0</v>
      </c>
      <c r="J270" s="5">
        <v>0</v>
      </c>
    </row>
    <row r="271" spans="1:10" x14ac:dyDescent="0.25">
      <c r="A271" s="4" t="s">
        <v>1060</v>
      </c>
      <c r="B271" s="5"/>
      <c r="C271" s="5">
        <v>0</v>
      </c>
      <c r="D271" s="5"/>
      <c r="E271" s="5"/>
      <c r="F271" s="5">
        <v>0</v>
      </c>
      <c r="G271" s="5"/>
      <c r="H271" s="5">
        <v>0</v>
      </c>
      <c r="I271" s="5">
        <v>0</v>
      </c>
      <c r="J271" s="5">
        <v>0</v>
      </c>
    </row>
    <row r="272" spans="1:10" x14ac:dyDescent="0.25">
      <c r="A272" s="4" t="s">
        <v>656</v>
      </c>
      <c r="B272" s="5">
        <v>0</v>
      </c>
      <c r="C272" s="5">
        <v>0</v>
      </c>
      <c r="D272" s="5">
        <v>0</v>
      </c>
      <c r="E272" s="5"/>
      <c r="F272" s="5">
        <v>0</v>
      </c>
      <c r="G272" s="5"/>
      <c r="H272" s="5"/>
      <c r="I272" s="5"/>
      <c r="J272" s="5">
        <v>0</v>
      </c>
    </row>
    <row r="273" spans="1:10" x14ac:dyDescent="0.25">
      <c r="A273" s="4" t="s">
        <v>416</v>
      </c>
      <c r="B273" s="5">
        <v>0</v>
      </c>
      <c r="C273" s="5"/>
      <c r="D273" s="5">
        <v>0</v>
      </c>
      <c r="E273" s="5"/>
      <c r="F273" s="5">
        <v>0</v>
      </c>
      <c r="G273" s="5"/>
      <c r="H273" s="5">
        <v>0</v>
      </c>
      <c r="I273" s="5">
        <v>0</v>
      </c>
      <c r="J273" s="5">
        <v>0</v>
      </c>
    </row>
    <row r="274" spans="1:10" x14ac:dyDescent="0.25">
      <c r="A274" s="4" t="s">
        <v>358</v>
      </c>
      <c r="B274" s="5">
        <v>0</v>
      </c>
      <c r="C274" s="5">
        <v>0</v>
      </c>
      <c r="D274" s="5"/>
      <c r="E274" s="5">
        <v>0</v>
      </c>
      <c r="F274" s="5">
        <v>0</v>
      </c>
      <c r="G274" s="5"/>
      <c r="H274" s="5"/>
      <c r="I274" s="5"/>
      <c r="J274" s="5">
        <v>0</v>
      </c>
    </row>
    <row r="275" spans="1:10" x14ac:dyDescent="0.25">
      <c r="A275" s="4" t="s">
        <v>576</v>
      </c>
      <c r="B275" s="5">
        <v>0</v>
      </c>
      <c r="C275" s="5">
        <v>0</v>
      </c>
      <c r="D275" s="5">
        <v>0</v>
      </c>
      <c r="E275" s="5">
        <v>0</v>
      </c>
      <c r="F275" s="5">
        <v>0</v>
      </c>
      <c r="G275" s="5"/>
      <c r="H275" s="5"/>
      <c r="I275" s="5"/>
      <c r="J275" s="5">
        <v>0</v>
      </c>
    </row>
    <row r="276" spans="1:10" x14ac:dyDescent="0.25">
      <c r="A276" s="4" t="s">
        <v>1139</v>
      </c>
      <c r="B276" s="5"/>
      <c r="C276" s="5"/>
      <c r="D276" s="5">
        <v>0</v>
      </c>
      <c r="E276" s="5"/>
      <c r="F276" s="5">
        <v>0</v>
      </c>
      <c r="G276" s="5"/>
      <c r="H276" s="5"/>
      <c r="I276" s="5"/>
      <c r="J276" s="5">
        <v>0</v>
      </c>
    </row>
    <row r="277" spans="1:10" x14ac:dyDescent="0.25">
      <c r="A277" s="4" t="s">
        <v>586</v>
      </c>
      <c r="B277" s="5">
        <v>0</v>
      </c>
      <c r="C277" s="5">
        <v>0</v>
      </c>
      <c r="D277" s="5"/>
      <c r="E277" s="5">
        <v>0</v>
      </c>
      <c r="F277" s="5">
        <v>0</v>
      </c>
      <c r="G277" s="5"/>
      <c r="H277" s="5"/>
      <c r="I277" s="5">
        <v>0</v>
      </c>
      <c r="J277" s="5">
        <v>0</v>
      </c>
    </row>
    <row r="278" spans="1:10" x14ac:dyDescent="0.25">
      <c r="A278" s="4" t="s">
        <v>1061</v>
      </c>
      <c r="B278" s="5"/>
      <c r="C278" s="5">
        <v>0</v>
      </c>
      <c r="D278" s="5"/>
      <c r="E278" s="5"/>
      <c r="F278" s="5">
        <v>0</v>
      </c>
      <c r="G278" s="5"/>
      <c r="H278" s="5"/>
      <c r="I278" s="5">
        <v>0</v>
      </c>
      <c r="J278" s="5">
        <v>0</v>
      </c>
    </row>
    <row r="279" spans="1:10" x14ac:dyDescent="0.25">
      <c r="A279" s="4" t="s">
        <v>486</v>
      </c>
      <c r="B279" s="5">
        <v>0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</row>
    <row r="280" spans="1:10" x14ac:dyDescent="0.25">
      <c r="A280" s="4" t="s">
        <v>1131</v>
      </c>
      <c r="B280" s="5"/>
      <c r="C280" s="5"/>
      <c r="D280" s="5">
        <v>0</v>
      </c>
      <c r="E280" s="5">
        <v>0</v>
      </c>
      <c r="F280" s="5"/>
      <c r="G280" s="5"/>
      <c r="H280" s="5"/>
      <c r="I280" s="5">
        <v>0</v>
      </c>
      <c r="J280" s="5">
        <v>0</v>
      </c>
    </row>
    <row r="281" spans="1:10" x14ac:dyDescent="0.25">
      <c r="A281" s="4" t="s">
        <v>34</v>
      </c>
      <c r="B281" s="5">
        <v>0</v>
      </c>
      <c r="C281" s="5">
        <v>445176.5</v>
      </c>
      <c r="D281" s="5">
        <v>123625</v>
      </c>
      <c r="E281" s="5">
        <v>298699.5</v>
      </c>
      <c r="F281" s="5">
        <v>10573641</v>
      </c>
      <c r="G281" s="5">
        <v>53158681</v>
      </c>
      <c r="H281" s="5">
        <v>0</v>
      </c>
      <c r="I281" s="5">
        <v>0</v>
      </c>
      <c r="J281" s="5">
        <v>7599979.176470588</v>
      </c>
    </row>
    <row r="282" spans="1:10" x14ac:dyDescent="0.25">
      <c r="A282" s="4" t="s">
        <v>520</v>
      </c>
      <c r="B282" s="5">
        <v>0</v>
      </c>
      <c r="C282" s="5">
        <v>0</v>
      </c>
      <c r="D282" s="5">
        <v>0</v>
      </c>
      <c r="E282" s="5">
        <v>0</v>
      </c>
      <c r="F282" s="5"/>
      <c r="G282" s="5">
        <v>0</v>
      </c>
      <c r="H282" s="5">
        <v>0</v>
      </c>
      <c r="I282" s="5">
        <v>0</v>
      </c>
      <c r="J282" s="5">
        <v>0</v>
      </c>
    </row>
    <row r="283" spans="1:10" x14ac:dyDescent="0.25">
      <c r="A283" s="4" t="s">
        <v>191</v>
      </c>
      <c r="B283" s="5">
        <v>0</v>
      </c>
      <c r="C283" s="5">
        <v>15500000</v>
      </c>
      <c r="D283" s="5">
        <v>450000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1993750</v>
      </c>
    </row>
    <row r="284" spans="1:10" x14ac:dyDescent="0.25">
      <c r="A284" s="4" t="s">
        <v>122</v>
      </c>
      <c r="B284" s="5">
        <v>0</v>
      </c>
      <c r="C284" s="5">
        <v>16826070</v>
      </c>
      <c r="D284" s="5">
        <v>0</v>
      </c>
      <c r="E284" s="5">
        <v>105693107</v>
      </c>
      <c r="F284" s="5">
        <v>0</v>
      </c>
      <c r="G284" s="5">
        <v>0</v>
      </c>
      <c r="H284" s="5">
        <v>0</v>
      </c>
      <c r="I284" s="5">
        <v>0</v>
      </c>
      <c r="J284" s="5">
        <v>15314897.125</v>
      </c>
    </row>
    <row r="285" spans="1:10" x14ac:dyDescent="0.25">
      <c r="A285" s="4" t="s">
        <v>435</v>
      </c>
      <c r="B285" s="5">
        <v>0</v>
      </c>
      <c r="C285" s="5"/>
      <c r="D285" s="5"/>
      <c r="E285" s="5"/>
      <c r="F285" s="5"/>
      <c r="G285" s="5"/>
      <c r="H285" s="5"/>
      <c r="I285" s="5"/>
      <c r="J285" s="5">
        <v>0</v>
      </c>
    </row>
    <row r="286" spans="1:10" x14ac:dyDescent="0.25">
      <c r="A286" s="4" t="s">
        <v>998</v>
      </c>
      <c r="B286" s="5"/>
      <c r="C286" s="5">
        <v>0</v>
      </c>
      <c r="D286" s="5">
        <v>220000</v>
      </c>
      <c r="E286" s="5"/>
      <c r="F286" s="5">
        <v>0</v>
      </c>
      <c r="G286" s="5">
        <v>0</v>
      </c>
      <c r="H286" s="5">
        <v>0</v>
      </c>
      <c r="I286" s="5">
        <v>0</v>
      </c>
      <c r="J286" s="5">
        <v>36666.666666666664</v>
      </c>
    </row>
    <row r="287" spans="1:10" x14ac:dyDescent="0.25">
      <c r="A287" s="4" t="s">
        <v>364</v>
      </c>
      <c r="B287" s="5">
        <v>0</v>
      </c>
      <c r="C287" s="5">
        <v>0</v>
      </c>
      <c r="D287" s="5"/>
      <c r="E287" s="5"/>
      <c r="F287" s="5"/>
      <c r="G287" s="5"/>
      <c r="H287" s="5"/>
      <c r="I287" s="5"/>
      <c r="J287" s="5">
        <v>0</v>
      </c>
    </row>
    <row r="288" spans="1:10" x14ac:dyDescent="0.25">
      <c r="A288" s="4" t="s">
        <v>1102</v>
      </c>
      <c r="B288" s="5"/>
      <c r="C288" s="5"/>
      <c r="D288" s="5">
        <v>220000</v>
      </c>
      <c r="E288" s="5"/>
      <c r="F288" s="5">
        <v>0</v>
      </c>
      <c r="G288" s="5">
        <v>0</v>
      </c>
      <c r="H288" s="5"/>
      <c r="I288" s="5"/>
      <c r="J288" s="5">
        <v>73333.333333333328</v>
      </c>
    </row>
    <row r="289" spans="1:10" x14ac:dyDescent="0.25">
      <c r="A289" s="4" t="s">
        <v>243</v>
      </c>
      <c r="B289" s="5">
        <v>25000</v>
      </c>
      <c r="C289" s="5">
        <v>15450</v>
      </c>
      <c r="D289" s="5">
        <v>6000000</v>
      </c>
      <c r="E289" s="5">
        <v>2005386.63</v>
      </c>
      <c r="F289" s="5">
        <v>9000000</v>
      </c>
      <c r="G289" s="5">
        <v>25000</v>
      </c>
      <c r="H289" s="5">
        <v>0</v>
      </c>
      <c r="I289" s="5">
        <v>0</v>
      </c>
      <c r="J289" s="5">
        <v>2010119.5185714285</v>
      </c>
    </row>
    <row r="290" spans="1:10" x14ac:dyDescent="0.25">
      <c r="A290" s="4" t="s">
        <v>451</v>
      </c>
      <c r="B290" s="5">
        <v>0</v>
      </c>
      <c r="C290" s="5"/>
      <c r="D290" s="5">
        <v>347155.61</v>
      </c>
      <c r="E290" s="5">
        <v>0</v>
      </c>
      <c r="F290" s="5">
        <v>0</v>
      </c>
      <c r="G290" s="5">
        <v>22802804.390000001</v>
      </c>
      <c r="H290" s="5">
        <v>0</v>
      </c>
      <c r="I290" s="5">
        <v>0</v>
      </c>
      <c r="J290" s="5">
        <v>3307137.1428571427</v>
      </c>
    </row>
    <row r="291" spans="1:10" x14ac:dyDescent="0.25">
      <c r="A291" s="4" t="s">
        <v>245</v>
      </c>
      <c r="B291" s="5">
        <v>0</v>
      </c>
      <c r="C291" s="5"/>
      <c r="D291" s="5"/>
      <c r="E291" s="5">
        <v>80000000</v>
      </c>
      <c r="F291" s="5">
        <v>0</v>
      </c>
      <c r="G291" s="5"/>
      <c r="H291" s="5"/>
      <c r="I291" s="5"/>
      <c r="J291" s="5">
        <v>26666666.666666668</v>
      </c>
    </row>
    <row r="292" spans="1:10" x14ac:dyDescent="0.25">
      <c r="A292" s="4" t="s">
        <v>1113</v>
      </c>
      <c r="B292" s="5"/>
      <c r="C292" s="5"/>
      <c r="D292" s="5">
        <v>440000</v>
      </c>
      <c r="E292" s="5"/>
      <c r="F292" s="5">
        <v>0</v>
      </c>
      <c r="G292" s="5"/>
      <c r="H292" s="5"/>
      <c r="I292" s="5">
        <v>0</v>
      </c>
      <c r="J292" s="5">
        <v>146666.66666666666</v>
      </c>
    </row>
    <row r="293" spans="1:10" x14ac:dyDescent="0.25">
      <c r="A293" s="4" t="s">
        <v>1136</v>
      </c>
      <c r="B293" s="5"/>
      <c r="C293" s="5"/>
      <c r="D293" s="5">
        <v>330000</v>
      </c>
      <c r="E293" s="5"/>
      <c r="F293" s="5"/>
      <c r="G293" s="5"/>
      <c r="H293" s="5"/>
      <c r="I293" s="5"/>
      <c r="J293" s="5">
        <v>330000</v>
      </c>
    </row>
    <row r="294" spans="1:10" x14ac:dyDescent="0.25">
      <c r="A294" s="4" t="s">
        <v>301</v>
      </c>
      <c r="B294" s="5">
        <v>0</v>
      </c>
      <c r="C294" s="5">
        <v>359261.21</v>
      </c>
      <c r="D294" s="5">
        <v>340000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87407.651249999995</v>
      </c>
    </row>
    <row r="295" spans="1:10" x14ac:dyDescent="0.25">
      <c r="A295" s="4" t="s">
        <v>1005</v>
      </c>
      <c r="B295" s="5"/>
      <c r="C295" s="5">
        <v>0</v>
      </c>
      <c r="D295" s="5">
        <v>220000</v>
      </c>
      <c r="E295" s="5"/>
      <c r="F295" s="5"/>
      <c r="G295" s="5"/>
      <c r="H295" s="5">
        <v>0</v>
      </c>
      <c r="I295" s="5"/>
      <c r="J295" s="5">
        <v>73333.333333333328</v>
      </c>
    </row>
    <row r="296" spans="1:10" x14ac:dyDescent="0.25">
      <c r="A296" s="4" t="s">
        <v>203</v>
      </c>
      <c r="B296" s="5">
        <v>0</v>
      </c>
      <c r="C296" s="5">
        <v>0</v>
      </c>
      <c r="D296" s="5">
        <v>0</v>
      </c>
      <c r="E296" s="5">
        <v>0</v>
      </c>
      <c r="F296" s="5">
        <v>13092201.666666666</v>
      </c>
      <c r="G296" s="5">
        <v>49350972</v>
      </c>
      <c r="H296" s="5">
        <v>72575791.256666675</v>
      </c>
      <c r="I296" s="5">
        <v>4824313.7</v>
      </c>
      <c r="J296" s="5">
        <v>17480409.827916667</v>
      </c>
    </row>
    <row r="297" spans="1:10" x14ac:dyDescent="0.25">
      <c r="A297" s="4" t="s">
        <v>1017</v>
      </c>
      <c r="B297" s="5"/>
      <c r="C297" s="5">
        <v>100000</v>
      </c>
      <c r="D297" s="5">
        <v>0</v>
      </c>
      <c r="E297" s="5">
        <v>92736</v>
      </c>
      <c r="F297" s="5">
        <v>100000</v>
      </c>
      <c r="G297" s="5">
        <v>0</v>
      </c>
      <c r="H297" s="5">
        <v>1409132</v>
      </c>
      <c r="I297" s="5">
        <v>0</v>
      </c>
      <c r="J297" s="5">
        <v>243124</v>
      </c>
    </row>
    <row r="298" spans="1:10" x14ac:dyDescent="0.25">
      <c r="A298" s="4" t="s">
        <v>582</v>
      </c>
      <c r="B298" s="5">
        <v>0</v>
      </c>
      <c r="C298" s="5"/>
      <c r="D298" s="5"/>
      <c r="E298" s="5"/>
      <c r="F298" s="5"/>
      <c r="G298" s="5"/>
      <c r="H298" s="5"/>
      <c r="I298" s="5"/>
      <c r="J298" s="5">
        <v>0</v>
      </c>
    </row>
    <row r="299" spans="1:10" x14ac:dyDescent="0.25">
      <c r="A299" s="4" t="s">
        <v>1165</v>
      </c>
      <c r="B299" s="5"/>
      <c r="C299" s="5"/>
      <c r="D299" s="5"/>
      <c r="E299" s="5">
        <v>10384523.119999999</v>
      </c>
      <c r="F299" s="5">
        <v>43938981.310000002</v>
      </c>
      <c r="G299" s="5">
        <v>88476120.299999997</v>
      </c>
      <c r="H299" s="5">
        <v>-2134929.7400000002</v>
      </c>
      <c r="I299" s="5">
        <v>0</v>
      </c>
      <c r="J299" s="5">
        <v>28132938.997999996</v>
      </c>
    </row>
    <row r="300" spans="1:10" x14ac:dyDescent="0.25">
      <c r="A300" s="4" t="s">
        <v>610</v>
      </c>
      <c r="B300" s="5">
        <v>41918977.789999999</v>
      </c>
      <c r="C300" s="5">
        <v>13783247.949999999</v>
      </c>
      <c r="D300" s="5">
        <v>43732705.689999998</v>
      </c>
      <c r="E300" s="5">
        <v>210035092.03</v>
      </c>
      <c r="F300" s="5">
        <v>2518275.11</v>
      </c>
      <c r="G300" s="5">
        <v>1046604.99</v>
      </c>
      <c r="H300" s="5">
        <v>-689485.67</v>
      </c>
      <c r="I300" s="5">
        <v>789210.1</v>
      </c>
      <c r="J300" s="5">
        <v>39141828.498750001</v>
      </c>
    </row>
    <row r="301" spans="1:10" x14ac:dyDescent="0.25">
      <c r="A301" s="4" t="s">
        <v>496</v>
      </c>
      <c r="B301" s="5">
        <v>58416.15</v>
      </c>
      <c r="C301" s="5">
        <v>14827283.710000001</v>
      </c>
      <c r="D301" s="5">
        <v>52865.06</v>
      </c>
      <c r="E301" s="5">
        <v>162251840.56</v>
      </c>
      <c r="F301" s="5">
        <v>1559055.53</v>
      </c>
      <c r="G301" s="5">
        <v>7054863.9900000002</v>
      </c>
      <c r="H301" s="5">
        <v>-912054.22</v>
      </c>
      <c r="I301" s="5">
        <v>-14346660.789999999</v>
      </c>
      <c r="J301" s="5">
        <v>21318201.248750005</v>
      </c>
    </row>
    <row r="302" spans="1:10" x14ac:dyDescent="0.25">
      <c r="A302" s="4" t="s">
        <v>611</v>
      </c>
      <c r="B302" s="5">
        <v>90071129</v>
      </c>
      <c r="C302" s="5">
        <v>58223746.079999998</v>
      </c>
      <c r="D302" s="5">
        <v>-595765.54</v>
      </c>
      <c r="E302" s="5">
        <v>525678607.26999998</v>
      </c>
      <c r="F302" s="5">
        <v>276193090.86000001</v>
      </c>
      <c r="G302" s="5">
        <v>-10975432.9</v>
      </c>
      <c r="H302" s="5">
        <v>-9306347.8399999999</v>
      </c>
      <c r="I302" s="5">
        <v>-88121887.819999993</v>
      </c>
      <c r="J302" s="5">
        <v>105145892.38874999</v>
      </c>
    </row>
    <row r="303" spans="1:10" x14ac:dyDescent="0.25">
      <c r="A303" s="4" t="s">
        <v>760</v>
      </c>
      <c r="B303" s="5">
        <v>19688000</v>
      </c>
      <c r="C303" s="5">
        <v>208702046</v>
      </c>
      <c r="D303" s="5">
        <v>-227732463</v>
      </c>
      <c r="E303" s="5">
        <v>223926371.30000001</v>
      </c>
      <c r="F303" s="5">
        <v>3496794.22</v>
      </c>
      <c r="G303" s="5">
        <v>-4907244.9400000004</v>
      </c>
      <c r="H303" s="5">
        <v>-1391222.79</v>
      </c>
      <c r="I303" s="5">
        <v>79466756.920000002</v>
      </c>
      <c r="J303" s="5">
        <v>37656129.713750005</v>
      </c>
    </row>
    <row r="304" spans="1:10" x14ac:dyDescent="0.25">
      <c r="A304" s="4" t="s">
        <v>997</v>
      </c>
      <c r="B304" s="5"/>
      <c r="C304" s="5">
        <v>292736</v>
      </c>
      <c r="D304" s="5"/>
      <c r="E304" s="5"/>
      <c r="F304" s="5">
        <v>1080000</v>
      </c>
      <c r="G304" s="5">
        <v>157863716.59999999</v>
      </c>
      <c r="H304" s="5"/>
      <c r="I304" s="5"/>
      <c r="J304" s="5">
        <v>53078817.533333331</v>
      </c>
    </row>
    <row r="305" spans="1:10" x14ac:dyDescent="0.25">
      <c r="A305" s="4" t="s">
        <v>329</v>
      </c>
      <c r="B305" s="5">
        <v>11913760</v>
      </c>
      <c r="C305" s="5">
        <v>0</v>
      </c>
      <c r="D305" s="5">
        <v>40000000</v>
      </c>
      <c r="E305" s="5">
        <v>15000000</v>
      </c>
      <c r="F305" s="5">
        <v>63170000</v>
      </c>
      <c r="G305" s="5">
        <v>5000000</v>
      </c>
      <c r="H305" s="5">
        <v>0</v>
      </c>
      <c r="I305" s="5">
        <v>0</v>
      </c>
      <c r="J305" s="5">
        <v>16885470</v>
      </c>
    </row>
    <row r="306" spans="1:10" x14ac:dyDescent="0.25">
      <c r="A306" s="4" t="s">
        <v>595</v>
      </c>
      <c r="B306" s="5">
        <v>0</v>
      </c>
      <c r="C306" s="5">
        <v>0</v>
      </c>
      <c r="D306" s="5">
        <v>0</v>
      </c>
      <c r="E306" s="5">
        <v>0</v>
      </c>
      <c r="F306" s="5">
        <v>1055774.44</v>
      </c>
      <c r="G306" s="5">
        <v>0</v>
      </c>
      <c r="H306" s="5">
        <v>585000</v>
      </c>
      <c r="I306" s="5">
        <v>585000</v>
      </c>
      <c r="J306" s="5">
        <v>278221.80499999999</v>
      </c>
    </row>
    <row r="307" spans="1:10" x14ac:dyDescent="0.25">
      <c r="A307" s="4" t="s">
        <v>462</v>
      </c>
      <c r="B307" s="5">
        <v>0</v>
      </c>
      <c r="C307" s="5">
        <v>0</v>
      </c>
      <c r="D307" s="5">
        <v>96370000</v>
      </c>
      <c r="E307" s="5">
        <v>4000000</v>
      </c>
      <c r="F307" s="5">
        <v>111613723</v>
      </c>
      <c r="G307" s="5">
        <v>52309539.170000002</v>
      </c>
      <c r="H307" s="5">
        <v>20568656.649999999</v>
      </c>
      <c r="I307" s="5">
        <v>170276.71</v>
      </c>
      <c r="J307" s="5">
        <v>35629024.441249996</v>
      </c>
    </row>
    <row r="308" spans="1:10" x14ac:dyDescent="0.25">
      <c r="A308" s="4" t="s">
        <v>449</v>
      </c>
      <c r="B308" s="5">
        <v>0</v>
      </c>
      <c r="C308" s="5">
        <v>161890</v>
      </c>
      <c r="D308" s="5">
        <v>0</v>
      </c>
      <c r="E308" s="5">
        <v>163978.67000000001</v>
      </c>
      <c r="F308" s="5">
        <v>18325252.5</v>
      </c>
      <c r="G308" s="5">
        <v>-447137.72</v>
      </c>
      <c r="H308" s="5">
        <v>53347.7</v>
      </c>
      <c r="I308" s="5">
        <v>-507006.69</v>
      </c>
      <c r="J308" s="5">
        <v>2218790.5575000001</v>
      </c>
    </row>
    <row r="309" spans="1:10" x14ac:dyDescent="0.25">
      <c r="A309" s="4" t="s">
        <v>1309</v>
      </c>
      <c r="B309" s="5"/>
      <c r="C309" s="5"/>
      <c r="D309" s="5"/>
      <c r="E309" s="5"/>
      <c r="F309" s="5"/>
      <c r="G309" s="5"/>
      <c r="H309" s="5">
        <v>28998</v>
      </c>
      <c r="I309" s="5">
        <v>0</v>
      </c>
      <c r="J309" s="5">
        <v>14499</v>
      </c>
    </row>
    <row r="310" spans="1:10" x14ac:dyDescent="0.25">
      <c r="A310" s="4" t="s">
        <v>1224</v>
      </c>
      <c r="B310" s="5"/>
      <c r="C310" s="5"/>
      <c r="D310" s="5"/>
      <c r="E310" s="5"/>
      <c r="F310" s="5">
        <v>10008555.26</v>
      </c>
      <c r="G310" s="5"/>
      <c r="H310" s="5"/>
      <c r="I310" s="5"/>
      <c r="J310" s="5">
        <v>10008555.26</v>
      </c>
    </row>
    <row r="311" spans="1:10" x14ac:dyDescent="0.25">
      <c r="A311" s="4" t="s">
        <v>230</v>
      </c>
      <c r="B311" s="5">
        <v>0</v>
      </c>
      <c r="C311" s="5">
        <v>5123377</v>
      </c>
      <c r="D311" s="5">
        <v>0</v>
      </c>
      <c r="E311" s="5">
        <v>15608247</v>
      </c>
      <c r="F311" s="5">
        <v>9551356.3300000001</v>
      </c>
      <c r="G311" s="5">
        <v>0</v>
      </c>
      <c r="H311" s="5">
        <v>2423948.89</v>
      </c>
      <c r="I311" s="5">
        <v>-316296.53000000003</v>
      </c>
      <c r="J311" s="5">
        <v>3598959.1877777777</v>
      </c>
    </row>
    <row r="312" spans="1:10" x14ac:dyDescent="0.25">
      <c r="A312" s="4" t="s">
        <v>255</v>
      </c>
      <c r="B312" s="5">
        <v>0</v>
      </c>
      <c r="C312" s="5"/>
      <c r="D312" s="5">
        <v>0</v>
      </c>
      <c r="E312" s="5">
        <v>0</v>
      </c>
      <c r="F312" s="5">
        <v>0</v>
      </c>
      <c r="G312" s="5"/>
      <c r="H312" s="5"/>
      <c r="I312" s="5"/>
      <c r="J312" s="5">
        <v>0</v>
      </c>
    </row>
    <row r="313" spans="1:10" x14ac:dyDescent="0.25">
      <c r="A313" s="4" t="s">
        <v>320</v>
      </c>
      <c r="B313" s="5">
        <v>0</v>
      </c>
      <c r="C313" s="5">
        <v>0</v>
      </c>
      <c r="D313" s="5">
        <v>11508411.32</v>
      </c>
      <c r="E313" s="5">
        <v>1317376.44</v>
      </c>
      <c r="F313" s="5">
        <v>93130.98</v>
      </c>
      <c r="G313" s="5">
        <v>0</v>
      </c>
      <c r="H313" s="5">
        <v>50007326.009999998</v>
      </c>
      <c r="I313" s="5">
        <v>43400</v>
      </c>
      <c r="J313" s="5">
        <v>6428702.1189999999</v>
      </c>
    </row>
    <row r="314" spans="1:10" x14ac:dyDescent="0.25">
      <c r="A314" s="4" t="s">
        <v>379</v>
      </c>
      <c r="B314" s="5">
        <v>0</v>
      </c>
      <c r="C314" s="5">
        <v>6834.02</v>
      </c>
      <c r="D314" s="5">
        <v>8000</v>
      </c>
      <c r="E314" s="5">
        <v>0</v>
      </c>
      <c r="F314" s="5">
        <v>6752106.9800000004</v>
      </c>
      <c r="G314" s="5">
        <v>0</v>
      </c>
      <c r="H314" s="5">
        <v>0</v>
      </c>
      <c r="I314" s="5">
        <v>0</v>
      </c>
      <c r="J314" s="5">
        <v>845867.625</v>
      </c>
    </row>
    <row r="315" spans="1:10" x14ac:dyDescent="0.25">
      <c r="A315" s="4" t="s">
        <v>1160</v>
      </c>
      <c r="B315" s="5"/>
      <c r="C315" s="5"/>
      <c r="D315" s="5"/>
      <c r="E315" s="5">
        <v>0</v>
      </c>
      <c r="F315" s="5">
        <v>0</v>
      </c>
      <c r="G315" s="5"/>
      <c r="H315" s="5"/>
      <c r="I315" s="5"/>
      <c r="J315" s="5">
        <v>0</v>
      </c>
    </row>
    <row r="316" spans="1:10" x14ac:dyDescent="0.25">
      <c r="A316" s="4" t="s">
        <v>970</v>
      </c>
      <c r="B316" s="5"/>
      <c r="C316" s="5">
        <v>11916023</v>
      </c>
      <c r="D316" s="5">
        <v>15000000</v>
      </c>
      <c r="E316" s="5">
        <v>29895465.41</v>
      </c>
      <c r="F316" s="5">
        <v>2000000</v>
      </c>
      <c r="G316" s="5">
        <v>25865856.350000001</v>
      </c>
      <c r="H316" s="5">
        <v>0</v>
      </c>
      <c r="I316" s="5">
        <v>17815374.859999999</v>
      </c>
      <c r="J316" s="5">
        <v>14641817.088571427</v>
      </c>
    </row>
    <row r="317" spans="1:10" x14ac:dyDescent="0.25">
      <c r="A317" s="4" t="s">
        <v>406</v>
      </c>
      <c r="B317" s="5">
        <v>0</v>
      </c>
      <c r="C317" s="5">
        <v>10824618</v>
      </c>
      <c r="D317" s="5">
        <v>3320000</v>
      </c>
      <c r="E317" s="5">
        <v>50000000</v>
      </c>
      <c r="F317" s="5">
        <v>0</v>
      </c>
      <c r="G317" s="5">
        <v>0</v>
      </c>
      <c r="H317" s="5">
        <v>0</v>
      </c>
      <c r="I317" s="5">
        <v>120000000</v>
      </c>
      <c r="J317" s="5">
        <v>23018077.25</v>
      </c>
    </row>
    <row r="318" spans="1:10" x14ac:dyDescent="0.25">
      <c r="A318" s="4" t="s">
        <v>238</v>
      </c>
      <c r="B318" s="5">
        <v>0</v>
      </c>
      <c r="C318" s="5">
        <v>500000</v>
      </c>
      <c r="D318" s="5">
        <v>500000</v>
      </c>
      <c r="E318" s="5">
        <v>292736</v>
      </c>
      <c r="F318" s="5">
        <v>0</v>
      </c>
      <c r="G318" s="5">
        <v>0</v>
      </c>
      <c r="H318" s="5">
        <v>3449497</v>
      </c>
      <c r="I318" s="5">
        <v>773748</v>
      </c>
      <c r="J318" s="5">
        <v>698858.77777777775</v>
      </c>
    </row>
    <row r="319" spans="1:10" x14ac:dyDescent="0.25">
      <c r="A319" s="4" t="s">
        <v>993</v>
      </c>
      <c r="B319" s="5"/>
      <c r="C319" s="5">
        <v>0</v>
      </c>
      <c r="D319" s="5">
        <v>0</v>
      </c>
      <c r="E319" s="5">
        <v>0</v>
      </c>
      <c r="F319" s="5">
        <v>0</v>
      </c>
      <c r="G319" s="5">
        <v>0</v>
      </c>
      <c r="H319" s="5"/>
      <c r="I319" s="5">
        <v>0</v>
      </c>
      <c r="J319" s="5">
        <v>0</v>
      </c>
    </row>
    <row r="320" spans="1:10" x14ac:dyDescent="0.25">
      <c r="A320" s="4" t="s">
        <v>1180</v>
      </c>
      <c r="B320" s="5"/>
      <c r="C320" s="5"/>
      <c r="D320" s="5"/>
      <c r="E320" s="5">
        <v>0</v>
      </c>
      <c r="F320" s="5">
        <v>0</v>
      </c>
      <c r="G320" s="5">
        <v>0</v>
      </c>
      <c r="H320" s="5"/>
      <c r="I320" s="5"/>
      <c r="J320" s="5">
        <v>0</v>
      </c>
    </row>
    <row r="321" spans="1:10" x14ac:dyDescent="0.25">
      <c r="A321" s="4" t="s">
        <v>1233</v>
      </c>
      <c r="B321" s="5"/>
      <c r="C321" s="5"/>
      <c r="D321" s="5"/>
      <c r="E321" s="5"/>
      <c r="F321" s="5">
        <v>25205973.600000001</v>
      </c>
      <c r="G321" s="5"/>
      <c r="H321" s="5"/>
      <c r="I321" s="5"/>
      <c r="J321" s="5">
        <v>25205973.600000001</v>
      </c>
    </row>
    <row r="322" spans="1:10" x14ac:dyDescent="0.25">
      <c r="A322" s="4" t="s">
        <v>1307</v>
      </c>
      <c r="B322" s="5"/>
      <c r="C322" s="5"/>
      <c r="D322" s="5"/>
      <c r="E322" s="5"/>
      <c r="F322" s="5"/>
      <c r="G322" s="5"/>
      <c r="H322" s="5">
        <v>0</v>
      </c>
      <c r="I322" s="5">
        <v>0</v>
      </c>
      <c r="J322" s="5">
        <v>0</v>
      </c>
    </row>
    <row r="323" spans="1:10" x14ac:dyDescent="0.25">
      <c r="A323" s="4" t="s">
        <v>1256</v>
      </c>
      <c r="B323" s="5"/>
      <c r="C323" s="5"/>
      <c r="D323" s="5"/>
      <c r="E323" s="5"/>
      <c r="F323" s="5">
        <v>0</v>
      </c>
      <c r="G323" s="5"/>
      <c r="H323" s="5">
        <v>0</v>
      </c>
      <c r="I323" s="5">
        <v>0</v>
      </c>
      <c r="J323" s="5">
        <v>0</v>
      </c>
    </row>
    <row r="324" spans="1:10" x14ac:dyDescent="0.25">
      <c r="A324" s="4" t="s">
        <v>1125</v>
      </c>
      <c r="B324" s="5"/>
      <c r="C324" s="5"/>
      <c r="D324" s="5">
        <v>0</v>
      </c>
      <c r="E324" s="5"/>
      <c r="F324" s="5">
        <v>0</v>
      </c>
      <c r="G324" s="5">
        <v>0</v>
      </c>
      <c r="H324" s="5">
        <v>0</v>
      </c>
      <c r="I324" s="5">
        <v>0</v>
      </c>
      <c r="J324" s="5">
        <v>0</v>
      </c>
    </row>
    <row r="325" spans="1:10" x14ac:dyDescent="0.25">
      <c r="A325" s="4" t="s">
        <v>179</v>
      </c>
      <c r="B325" s="5">
        <v>0</v>
      </c>
      <c r="C325" s="5">
        <v>0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</row>
    <row r="326" spans="1:10" x14ac:dyDescent="0.25">
      <c r="A326" s="4" t="s">
        <v>811</v>
      </c>
      <c r="B326" s="5">
        <v>0</v>
      </c>
      <c r="C326" s="5">
        <v>227183.64</v>
      </c>
      <c r="D326" s="5">
        <v>0</v>
      </c>
      <c r="E326" s="5">
        <v>115000.36</v>
      </c>
      <c r="F326" s="5">
        <v>0</v>
      </c>
      <c r="G326" s="5">
        <v>982606.33</v>
      </c>
      <c r="H326" s="5">
        <v>185570.86</v>
      </c>
      <c r="I326" s="5">
        <v>-330892.61</v>
      </c>
      <c r="J326" s="5">
        <v>147433.57250000001</v>
      </c>
    </row>
    <row r="327" spans="1:10" x14ac:dyDescent="0.25">
      <c r="A327" s="4" t="s">
        <v>280</v>
      </c>
      <c r="B327" s="5">
        <v>0</v>
      </c>
      <c r="C327" s="5">
        <v>0</v>
      </c>
      <c r="D327" s="5">
        <v>0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</row>
    <row r="328" spans="1:10" x14ac:dyDescent="0.25">
      <c r="A328" s="4" t="s">
        <v>1170</v>
      </c>
      <c r="B328" s="5"/>
      <c r="C328" s="5"/>
      <c r="D328" s="5"/>
      <c r="E328" s="5">
        <v>1063376</v>
      </c>
      <c r="F328" s="5"/>
      <c r="G328" s="5">
        <v>112922901</v>
      </c>
      <c r="H328" s="5"/>
      <c r="I328" s="5"/>
      <c r="J328" s="5">
        <v>56993138.5</v>
      </c>
    </row>
    <row r="329" spans="1:10" x14ac:dyDescent="0.25">
      <c r="A329" s="4" t="s">
        <v>983</v>
      </c>
      <c r="B329" s="5"/>
      <c r="C329" s="5">
        <v>0</v>
      </c>
      <c r="D329" s="5"/>
      <c r="E329" s="5">
        <v>0</v>
      </c>
      <c r="F329" s="5">
        <v>0</v>
      </c>
      <c r="G329" s="5">
        <v>57530.23</v>
      </c>
      <c r="H329" s="5">
        <v>0</v>
      </c>
      <c r="I329" s="5">
        <v>140000</v>
      </c>
      <c r="J329" s="5">
        <v>32921.705000000002</v>
      </c>
    </row>
    <row r="330" spans="1:10" x14ac:dyDescent="0.25">
      <c r="A330" s="4" t="s">
        <v>1015</v>
      </c>
      <c r="B330" s="5"/>
      <c r="C330" s="5">
        <v>952746.4</v>
      </c>
      <c r="D330" s="5">
        <v>181404.69</v>
      </c>
      <c r="E330" s="5"/>
      <c r="F330" s="5">
        <v>29557.54</v>
      </c>
      <c r="G330" s="5">
        <v>2279449.17</v>
      </c>
      <c r="H330" s="5">
        <v>126414.31</v>
      </c>
      <c r="I330" s="5">
        <v>49242.26</v>
      </c>
      <c r="J330" s="5">
        <v>603135.72833333327</v>
      </c>
    </row>
    <row r="331" spans="1:10" x14ac:dyDescent="0.25">
      <c r="A331" s="4" t="s">
        <v>1218</v>
      </c>
      <c r="B331" s="5"/>
      <c r="C331" s="5"/>
      <c r="D331" s="5"/>
      <c r="E331" s="5"/>
      <c r="F331" s="5">
        <v>0</v>
      </c>
      <c r="G331" s="5"/>
      <c r="H331" s="5"/>
      <c r="I331" s="5"/>
      <c r="J331" s="5">
        <v>0</v>
      </c>
    </row>
    <row r="332" spans="1:10" x14ac:dyDescent="0.25">
      <c r="A332" s="4" t="s">
        <v>99</v>
      </c>
      <c r="B332" s="5">
        <v>0</v>
      </c>
      <c r="C332" s="5">
        <v>0</v>
      </c>
      <c r="D332" s="5">
        <v>4104824.44</v>
      </c>
      <c r="E332" s="5">
        <v>0</v>
      </c>
      <c r="F332" s="5"/>
      <c r="G332" s="5"/>
      <c r="H332" s="5"/>
      <c r="I332" s="5"/>
      <c r="J332" s="5">
        <v>1026206.11</v>
      </c>
    </row>
    <row r="333" spans="1:10" x14ac:dyDescent="0.25">
      <c r="A333" s="4" t="s">
        <v>455</v>
      </c>
      <c r="B333" s="5">
        <v>0</v>
      </c>
      <c r="C333" s="5">
        <v>0</v>
      </c>
      <c r="D333" s="5"/>
      <c r="E333" s="5"/>
      <c r="F333" s="5">
        <v>2000000</v>
      </c>
      <c r="G333" s="5"/>
      <c r="H333" s="5">
        <v>0</v>
      </c>
      <c r="I333" s="5">
        <v>1000000</v>
      </c>
      <c r="J333" s="5">
        <v>600000</v>
      </c>
    </row>
    <row r="334" spans="1:10" x14ac:dyDescent="0.25">
      <c r="A334" s="4" t="s">
        <v>608</v>
      </c>
      <c r="B334" s="5">
        <v>0</v>
      </c>
      <c r="C334" s="5">
        <v>7719135</v>
      </c>
      <c r="D334" s="5">
        <v>250000</v>
      </c>
      <c r="E334" s="5">
        <v>15550000</v>
      </c>
      <c r="F334" s="5">
        <v>0</v>
      </c>
      <c r="G334" s="5">
        <v>61787685.520000003</v>
      </c>
      <c r="H334" s="5">
        <v>0</v>
      </c>
      <c r="I334" s="5">
        <v>0</v>
      </c>
      <c r="J334" s="5">
        <v>10663352.565000001</v>
      </c>
    </row>
    <row r="335" spans="1:10" x14ac:dyDescent="0.25">
      <c r="A335" s="4" t="s">
        <v>510</v>
      </c>
      <c r="B335" s="5">
        <v>0</v>
      </c>
      <c r="C335" s="5">
        <v>0</v>
      </c>
      <c r="D335" s="5">
        <v>18978844</v>
      </c>
      <c r="E335" s="5">
        <v>105946713</v>
      </c>
      <c r="F335" s="5">
        <v>-2406779.66</v>
      </c>
      <c r="G335" s="5">
        <v>3221559.66</v>
      </c>
      <c r="H335" s="5">
        <v>0</v>
      </c>
      <c r="I335" s="5">
        <v>0</v>
      </c>
      <c r="J335" s="5">
        <v>15717542.125</v>
      </c>
    </row>
    <row r="336" spans="1:10" x14ac:dyDescent="0.25">
      <c r="A336" s="4" t="s">
        <v>369</v>
      </c>
      <c r="B336" s="5">
        <v>0</v>
      </c>
      <c r="C336" s="5">
        <v>1011922.13</v>
      </c>
      <c r="D336" s="5">
        <v>94541.89</v>
      </c>
      <c r="E336" s="5">
        <v>161641.68</v>
      </c>
      <c r="F336" s="5">
        <v>8000</v>
      </c>
      <c r="G336" s="5">
        <v>934081.12</v>
      </c>
      <c r="H336" s="5">
        <v>3148625.91</v>
      </c>
      <c r="I336" s="5">
        <v>351011.03</v>
      </c>
      <c r="J336" s="5">
        <v>713727.97000000009</v>
      </c>
    </row>
    <row r="337" spans="1:10" x14ac:dyDescent="0.25">
      <c r="A337" s="4" t="s">
        <v>211</v>
      </c>
      <c r="B337" s="5">
        <v>0</v>
      </c>
      <c r="C337" s="5">
        <v>10316448</v>
      </c>
      <c r="D337" s="5">
        <v>0</v>
      </c>
      <c r="E337" s="5">
        <v>0</v>
      </c>
      <c r="F337" s="5">
        <v>520000</v>
      </c>
      <c r="G337" s="5">
        <v>0</v>
      </c>
      <c r="H337" s="5">
        <v>0</v>
      </c>
      <c r="I337" s="5">
        <v>0</v>
      </c>
      <c r="J337" s="5">
        <v>1354556</v>
      </c>
    </row>
    <row r="338" spans="1:10" x14ac:dyDescent="0.25">
      <c r="A338" s="4" t="s">
        <v>366</v>
      </c>
      <c r="B338" s="5">
        <v>0</v>
      </c>
      <c r="C338" s="5">
        <v>2400000</v>
      </c>
      <c r="D338" s="5">
        <v>143600.85</v>
      </c>
      <c r="E338" s="5">
        <v>0</v>
      </c>
      <c r="F338" s="5">
        <v>32161.41</v>
      </c>
      <c r="G338" s="5">
        <v>1238343.1599999999</v>
      </c>
      <c r="H338" s="5">
        <v>448326.83</v>
      </c>
      <c r="I338" s="5">
        <v>441030.52</v>
      </c>
      <c r="J338" s="5">
        <v>587932.84624999994</v>
      </c>
    </row>
    <row r="339" spans="1:10" x14ac:dyDescent="0.25">
      <c r="A339" s="4" t="s">
        <v>1040</v>
      </c>
      <c r="B339" s="5"/>
      <c r="C339" s="5">
        <v>0</v>
      </c>
      <c r="D339" s="5">
        <v>0</v>
      </c>
      <c r="E339" s="5"/>
      <c r="F339" s="5"/>
      <c r="G339" s="5"/>
      <c r="H339" s="5"/>
      <c r="I339" s="5"/>
      <c r="J339" s="5">
        <v>0</v>
      </c>
    </row>
    <row r="340" spans="1:10" x14ac:dyDescent="0.25">
      <c r="A340" s="4" t="s">
        <v>58</v>
      </c>
      <c r="B340" s="5">
        <v>0</v>
      </c>
      <c r="C340" s="5"/>
      <c r="D340" s="5">
        <v>3208993</v>
      </c>
      <c r="E340" s="5">
        <v>0</v>
      </c>
      <c r="F340" s="5">
        <v>0</v>
      </c>
      <c r="G340" s="5">
        <v>0</v>
      </c>
      <c r="H340" s="5">
        <v>0</v>
      </c>
      <c r="I340" s="5"/>
      <c r="J340" s="5">
        <v>534832.16666666663</v>
      </c>
    </row>
    <row r="341" spans="1:10" x14ac:dyDescent="0.25">
      <c r="A341" s="4" t="s">
        <v>675</v>
      </c>
      <c r="B341" s="5">
        <v>1457486.35</v>
      </c>
      <c r="C341" s="5">
        <v>2478448.89</v>
      </c>
      <c r="D341" s="5">
        <v>27128652.300000001</v>
      </c>
      <c r="E341" s="5">
        <v>288332.08</v>
      </c>
      <c r="F341" s="5">
        <v>3109016.35</v>
      </c>
      <c r="G341" s="5">
        <v>11607955.279999999</v>
      </c>
      <c r="H341" s="5">
        <v>3005129.28</v>
      </c>
      <c r="I341" s="5">
        <v>8892743.2100000009</v>
      </c>
      <c r="J341" s="5">
        <v>7245970.4675000003</v>
      </c>
    </row>
    <row r="342" spans="1:10" x14ac:dyDescent="0.25">
      <c r="A342" s="4" t="s">
        <v>1196</v>
      </c>
      <c r="B342" s="5"/>
      <c r="C342" s="5"/>
      <c r="D342" s="5"/>
      <c r="E342" s="5">
        <v>380000</v>
      </c>
      <c r="F342" s="5">
        <v>0</v>
      </c>
      <c r="G342" s="5">
        <v>0</v>
      </c>
      <c r="H342" s="5"/>
      <c r="I342" s="5"/>
      <c r="J342" s="5">
        <v>126666.66666666667</v>
      </c>
    </row>
    <row r="343" spans="1:10" x14ac:dyDescent="0.25">
      <c r="A343" s="4" t="s">
        <v>1330</v>
      </c>
      <c r="B343" s="5"/>
      <c r="C343" s="5"/>
      <c r="D343" s="5"/>
      <c r="E343" s="5"/>
      <c r="F343" s="5"/>
      <c r="G343" s="5"/>
      <c r="H343" s="5"/>
      <c r="I343" s="5">
        <v>0</v>
      </c>
      <c r="J343" s="5">
        <v>0</v>
      </c>
    </row>
    <row r="344" spans="1:10" x14ac:dyDescent="0.25">
      <c r="A344" s="4" t="s">
        <v>969</v>
      </c>
      <c r="B344" s="5"/>
      <c r="C344" s="5">
        <v>0</v>
      </c>
      <c r="D344" s="5">
        <v>3500000</v>
      </c>
      <c r="E344" s="5">
        <v>51610923</v>
      </c>
      <c r="F344" s="5">
        <v>0</v>
      </c>
      <c r="G344" s="5">
        <v>0</v>
      </c>
      <c r="H344" s="5">
        <v>0</v>
      </c>
      <c r="I344" s="5">
        <v>-28321776.16</v>
      </c>
      <c r="J344" s="5">
        <v>3827020.9771428569</v>
      </c>
    </row>
    <row r="345" spans="1:10" x14ac:dyDescent="0.25">
      <c r="A345" s="4" t="s">
        <v>709</v>
      </c>
      <c r="B345" s="5">
        <v>0</v>
      </c>
      <c r="C345" s="5"/>
      <c r="D345" s="5"/>
      <c r="E345" s="5"/>
      <c r="F345" s="5"/>
      <c r="G345" s="5"/>
      <c r="H345" s="5"/>
      <c r="I345" s="5"/>
      <c r="J345" s="5">
        <v>0</v>
      </c>
    </row>
    <row r="346" spans="1:10" x14ac:dyDescent="0.25">
      <c r="A346" s="4" t="s">
        <v>1105</v>
      </c>
      <c r="B346" s="5"/>
      <c r="C346" s="5"/>
      <c r="D346" s="5">
        <v>48979581</v>
      </c>
      <c r="E346" s="5">
        <v>1020000</v>
      </c>
      <c r="F346" s="5"/>
      <c r="G346" s="5">
        <v>1000000</v>
      </c>
      <c r="H346" s="5">
        <v>0</v>
      </c>
      <c r="I346" s="5">
        <v>2250000</v>
      </c>
      <c r="J346" s="5">
        <v>10649916.199999999</v>
      </c>
    </row>
    <row r="347" spans="1:10" x14ac:dyDescent="0.25">
      <c r="A347" s="4" t="s">
        <v>482</v>
      </c>
      <c r="B347" s="5">
        <v>10000</v>
      </c>
      <c r="C347" s="5">
        <v>10060000</v>
      </c>
      <c r="D347" s="5">
        <v>108973.88499999999</v>
      </c>
      <c r="E347" s="5">
        <v>3167.23</v>
      </c>
      <c r="F347" s="5">
        <v>18368672.359999999</v>
      </c>
      <c r="G347" s="5">
        <v>13377062.779999999</v>
      </c>
      <c r="H347" s="5">
        <v>570637.15</v>
      </c>
      <c r="I347" s="5">
        <v>-19804968.329999998</v>
      </c>
      <c r="J347" s="5">
        <v>2281251.8960000002</v>
      </c>
    </row>
    <row r="348" spans="1:10" x14ac:dyDescent="0.25">
      <c r="A348" s="4" t="s">
        <v>523</v>
      </c>
      <c r="B348" s="5">
        <v>0</v>
      </c>
      <c r="C348" s="5">
        <v>467723</v>
      </c>
      <c r="D348" s="5"/>
      <c r="E348" s="5">
        <v>3000000</v>
      </c>
      <c r="F348" s="5"/>
      <c r="G348" s="5">
        <v>0</v>
      </c>
      <c r="H348" s="5">
        <v>2770000</v>
      </c>
      <c r="I348" s="5">
        <v>0</v>
      </c>
      <c r="J348" s="5">
        <v>1039620.5</v>
      </c>
    </row>
    <row r="349" spans="1:10" x14ac:dyDescent="0.25">
      <c r="A349" s="4" t="s">
        <v>1273</v>
      </c>
      <c r="B349" s="5"/>
      <c r="C349" s="5"/>
      <c r="D349" s="5"/>
      <c r="E349" s="5"/>
      <c r="F349" s="5"/>
      <c r="G349" s="5">
        <v>0</v>
      </c>
      <c r="H349" s="5">
        <v>0</v>
      </c>
      <c r="I349" s="5"/>
      <c r="J349" s="5">
        <v>0</v>
      </c>
    </row>
    <row r="350" spans="1:10" x14ac:dyDescent="0.25">
      <c r="A350" s="4" t="s">
        <v>51</v>
      </c>
      <c r="B350" s="5">
        <v>0</v>
      </c>
      <c r="C350" s="5"/>
      <c r="D350" s="5">
        <v>0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</row>
    <row r="351" spans="1:10" x14ac:dyDescent="0.25">
      <c r="A351" s="4" t="s">
        <v>97</v>
      </c>
      <c r="B351" s="5">
        <v>0</v>
      </c>
      <c r="C351" s="5"/>
      <c r="D351" s="5"/>
      <c r="E351" s="5"/>
      <c r="F351" s="5"/>
      <c r="G351" s="5"/>
      <c r="H351" s="5"/>
      <c r="I351" s="5"/>
      <c r="J351" s="5">
        <v>0</v>
      </c>
    </row>
    <row r="352" spans="1:10" x14ac:dyDescent="0.25">
      <c r="A352" s="4" t="s">
        <v>343</v>
      </c>
      <c r="B352" s="5">
        <v>0</v>
      </c>
      <c r="C352" s="5">
        <v>0</v>
      </c>
      <c r="D352" s="5">
        <v>200424427.65000001</v>
      </c>
      <c r="E352" s="5">
        <v>1015051955.97</v>
      </c>
      <c r="F352" s="5">
        <v>43539906</v>
      </c>
      <c r="G352" s="5">
        <v>-630313011.21000004</v>
      </c>
      <c r="H352" s="5">
        <v>486807914.54000002</v>
      </c>
      <c r="I352" s="5">
        <v>-4042283.4</v>
      </c>
      <c r="J352" s="5">
        <v>138933613.69374999</v>
      </c>
    </row>
    <row r="353" spans="1:10" x14ac:dyDescent="0.25">
      <c r="A353" s="4" t="s">
        <v>681</v>
      </c>
      <c r="B353" s="5">
        <v>122291816.8</v>
      </c>
      <c r="C353" s="5">
        <v>152837.39000000001</v>
      </c>
      <c r="D353" s="5">
        <v>92698889.980000004</v>
      </c>
      <c r="E353" s="5">
        <v>-117798.78</v>
      </c>
      <c r="F353" s="5">
        <v>362924443.08999997</v>
      </c>
      <c r="G353" s="5">
        <v>-3676792.09</v>
      </c>
      <c r="H353" s="5">
        <v>17959600.699999999</v>
      </c>
      <c r="I353" s="5">
        <v>7847264.5499999998</v>
      </c>
      <c r="J353" s="5">
        <v>75010032.704999998</v>
      </c>
    </row>
    <row r="354" spans="1:10" x14ac:dyDescent="0.25">
      <c r="A354" s="4" t="s">
        <v>198</v>
      </c>
      <c r="B354" s="5">
        <v>33790.875</v>
      </c>
      <c r="C354" s="5">
        <v>129527.61</v>
      </c>
      <c r="D354" s="5">
        <v>564135.60499999998</v>
      </c>
      <c r="E354" s="5">
        <v>6730370.5999999996</v>
      </c>
      <c r="F354" s="5">
        <v>74396769.079999998</v>
      </c>
      <c r="G354" s="5">
        <v>11657195.960000001</v>
      </c>
      <c r="H354" s="5">
        <v>20287670.645</v>
      </c>
      <c r="I354" s="5">
        <v>5875362.8099999996</v>
      </c>
      <c r="J354" s="5">
        <v>12160998.390769232</v>
      </c>
    </row>
    <row r="355" spans="1:10" x14ac:dyDescent="0.25">
      <c r="A355" s="4" t="s">
        <v>854</v>
      </c>
      <c r="B355" s="5">
        <v>2697485.75</v>
      </c>
      <c r="C355" s="5">
        <v>23632095.879999999</v>
      </c>
      <c r="D355" s="5">
        <v>26372276.859999999</v>
      </c>
      <c r="E355" s="5">
        <v>190492844.34</v>
      </c>
      <c r="F355" s="5">
        <v>-72374598.810000002</v>
      </c>
      <c r="G355" s="5">
        <v>67665371.790000007</v>
      </c>
      <c r="H355" s="5">
        <v>-23752345.940000001</v>
      </c>
      <c r="I355" s="5">
        <v>-18736218.010000002</v>
      </c>
      <c r="J355" s="5">
        <v>24499613.982500002</v>
      </c>
    </row>
    <row r="356" spans="1:10" x14ac:dyDescent="0.25">
      <c r="A356" s="4" t="s">
        <v>1260</v>
      </c>
      <c r="B356" s="5"/>
      <c r="C356" s="5"/>
      <c r="D356" s="5"/>
      <c r="E356" s="5"/>
      <c r="F356" s="5"/>
      <c r="G356" s="5">
        <v>0</v>
      </c>
      <c r="H356" s="5">
        <v>0</v>
      </c>
      <c r="I356" s="5">
        <v>0</v>
      </c>
      <c r="J356" s="5">
        <v>0</v>
      </c>
    </row>
    <row r="357" spans="1:10" x14ac:dyDescent="0.25">
      <c r="A357" s="4" t="s">
        <v>1124</v>
      </c>
      <c r="B357" s="5"/>
      <c r="C357" s="5"/>
      <c r="D357" s="5">
        <v>0</v>
      </c>
      <c r="E357" s="5"/>
      <c r="F357" s="5"/>
      <c r="G357" s="5"/>
      <c r="H357" s="5"/>
      <c r="I357" s="5"/>
      <c r="J357" s="5">
        <v>0</v>
      </c>
    </row>
    <row r="358" spans="1:10" x14ac:dyDescent="0.25">
      <c r="A358" s="4" t="s">
        <v>363</v>
      </c>
      <c r="B358" s="5">
        <v>0</v>
      </c>
      <c r="C358" s="5">
        <v>376</v>
      </c>
      <c r="D358" s="5">
        <v>361547.21500000003</v>
      </c>
      <c r="E358" s="5">
        <v>563415.89500000002</v>
      </c>
      <c r="F358" s="5">
        <v>1323467.5249999999</v>
      </c>
      <c r="G358" s="5">
        <v>225208.33499999999</v>
      </c>
      <c r="H358" s="5">
        <v>10267176</v>
      </c>
      <c r="I358" s="5">
        <v>1381147.81</v>
      </c>
      <c r="J358" s="5">
        <v>1918796.6964285711</v>
      </c>
    </row>
    <row r="359" spans="1:10" x14ac:dyDescent="0.25">
      <c r="A359" s="4" t="s">
        <v>483</v>
      </c>
      <c r="B359" s="5">
        <v>0</v>
      </c>
      <c r="C359" s="5">
        <v>0</v>
      </c>
      <c r="D359" s="5">
        <v>17781502</v>
      </c>
      <c r="E359" s="5">
        <v>28485329</v>
      </c>
      <c r="F359" s="5">
        <v>33631958</v>
      </c>
      <c r="G359" s="5">
        <v>0</v>
      </c>
      <c r="H359" s="5">
        <v>10077969</v>
      </c>
      <c r="I359" s="5">
        <v>0</v>
      </c>
      <c r="J359" s="5">
        <v>8997675.8000000007</v>
      </c>
    </row>
    <row r="360" spans="1:10" x14ac:dyDescent="0.25">
      <c r="A360" s="4" t="s">
        <v>210</v>
      </c>
      <c r="B360" s="5">
        <v>0</v>
      </c>
      <c r="C360" s="5"/>
      <c r="D360" s="5"/>
      <c r="E360" s="5"/>
      <c r="F360" s="5"/>
      <c r="G360" s="5"/>
      <c r="H360" s="5">
        <v>0</v>
      </c>
      <c r="I360" s="5"/>
      <c r="J360" s="5">
        <v>0</v>
      </c>
    </row>
    <row r="361" spans="1:10" x14ac:dyDescent="0.25">
      <c r="A361" s="4" t="s">
        <v>964</v>
      </c>
      <c r="B361" s="5"/>
      <c r="C361" s="5">
        <v>0</v>
      </c>
      <c r="D361" s="5">
        <v>0</v>
      </c>
      <c r="E361" s="5">
        <v>0</v>
      </c>
      <c r="F361" s="5">
        <v>0</v>
      </c>
      <c r="G361" s="5">
        <v>0</v>
      </c>
      <c r="H361" s="5">
        <v>0</v>
      </c>
      <c r="I361" s="5"/>
      <c r="J361" s="5">
        <v>0</v>
      </c>
    </row>
    <row r="362" spans="1:10" x14ac:dyDescent="0.25">
      <c r="A362" s="4" t="s">
        <v>625</v>
      </c>
      <c r="B362" s="5">
        <v>0</v>
      </c>
      <c r="C362" s="5">
        <v>5416.2</v>
      </c>
      <c r="D362" s="5">
        <v>7148.4</v>
      </c>
      <c r="E362" s="5">
        <v>1100000</v>
      </c>
      <c r="F362" s="5">
        <v>9782474.1999999993</v>
      </c>
      <c r="G362" s="5">
        <v>-470515.7</v>
      </c>
      <c r="H362" s="5">
        <v>255257.85</v>
      </c>
      <c r="I362" s="5">
        <v>581675.81999999995</v>
      </c>
      <c r="J362" s="5">
        <v>1151671.4619999998</v>
      </c>
    </row>
    <row r="363" spans="1:10" x14ac:dyDescent="0.25">
      <c r="A363" s="4" t="s">
        <v>941</v>
      </c>
      <c r="B363" s="5"/>
      <c r="C363" s="5">
        <v>4742920</v>
      </c>
      <c r="D363" s="5"/>
      <c r="E363" s="5">
        <v>22975827.489999998</v>
      </c>
      <c r="F363" s="5"/>
      <c r="G363" s="5"/>
      <c r="H363" s="5"/>
      <c r="I363" s="5"/>
      <c r="J363" s="5">
        <v>13859373.744999999</v>
      </c>
    </row>
    <row r="364" spans="1:10" x14ac:dyDescent="0.25">
      <c r="A364" s="4" t="s">
        <v>347</v>
      </c>
      <c r="B364" s="5">
        <v>0</v>
      </c>
      <c r="C364" s="5">
        <v>0</v>
      </c>
      <c r="D364" s="5">
        <v>0</v>
      </c>
      <c r="E364" s="5">
        <v>207332584.06999999</v>
      </c>
      <c r="F364" s="5">
        <v>99197756.25</v>
      </c>
      <c r="G364" s="5">
        <v>-1360850.31</v>
      </c>
      <c r="H364" s="5">
        <v>2717512.06</v>
      </c>
      <c r="I364" s="5">
        <v>35356815.659999996</v>
      </c>
      <c r="J364" s="5">
        <v>42905477.216250002</v>
      </c>
    </row>
    <row r="365" spans="1:10" x14ac:dyDescent="0.25">
      <c r="A365" s="4" t="s">
        <v>588</v>
      </c>
      <c r="B365" s="5">
        <v>0</v>
      </c>
      <c r="C365" s="5"/>
      <c r="D365" s="5"/>
      <c r="E365" s="5"/>
      <c r="F365" s="5"/>
      <c r="G365" s="5"/>
      <c r="H365" s="5">
        <v>0</v>
      </c>
      <c r="I365" s="5"/>
      <c r="J365" s="5">
        <v>0</v>
      </c>
    </row>
    <row r="366" spans="1:10" x14ac:dyDescent="0.25">
      <c r="A366" s="4" t="s">
        <v>1208</v>
      </c>
      <c r="B366" s="5"/>
      <c r="C366" s="5"/>
      <c r="D366" s="5"/>
      <c r="E366" s="5">
        <v>1000000</v>
      </c>
      <c r="F366" s="5"/>
      <c r="G366" s="5">
        <v>0</v>
      </c>
      <c r="H366" s="5"/>
      <c r="I366" s="5"/>
      <c r="J366" s="5">
        <v>500000</v>
      </c>
    </row>
    <row r="367" spans="1:10" x14ac:dyDescent="0.25">
      <c r="A367" s="4" t="s">
        <v>940</v>
      </c>
      <c r="B367" s="5"/>
      <c r="C367" s="5">
        <v>0</v>
      </c>
      <c r="D367" s="5"/>
      <c r="E367" s="5"/>
      <c r="F367" s="5"/>
      <c r="G367" s="5"/>
      <c r="H367" s="5">
        <v>0</v>
      </c>
      <c r="I367" s="5"/>
      <c r="J367" s="5">
        <v>0</v>
      </c>
    </row>
    <row r="368" spans="1:10" x14ac:dyDescent="0.25">
      <c r="A368" s="4" t="s">
        <v>1020</v>
      </c>
      <c r="B368" s="5"/>
      <c r="C368" s="5">
        <v>0</v>
      </c>
      <c r="D368" s="5">
        <v>206048</v>
      </c>
      <c r="E368" s="5">
        <v>2065233.9</v>
      </c>
      <c r="F368" s="5">
        <v>1355016.32</v>
      </c>
      <c r="G368" s="5">
        <v>312455.14</v>
      </c>
      <c r="H368" s="5">
        <v>35934.629999999997</v>
      </c>
      <c r="I368" s="5">
        <v>248180.88</v>
      </c>
      <c r="J368" s="5">
        <v>603266.98142857139</v>
      </c>
    </row>
    <row r="369" spans="1:10" x14ac:dyDescent="0.25">
      <c r="A369" s="4" t="s">
        <v>222</v>
      </c>
      <c r="B369" s="5">
        <v>0</v>
      </c>
      <c r="C369" s="5">
        <v>0</v>
      </c>
      <c r="D369" s="5">
        <v>22738399.850000001</v>
      </c>
      <c r="E369" s="5">
        <v>2400</v>
      </c>
      <c r="F369" s="5">
        <v>11191.27</v>
      </c>
      <c r="G369" s="5">
        <v>0</v>
      </c>
      <c r="H369" s="5">
        <v>9855155.4399999995</v>
      </c>
      <c r="I369" s="5">
        <v>-149.55000000000001</v>
      </c>
      <c r="J369" s="5">
        <v>4075874.6262500002</v>
      </c>
    </row>
    <row r="370" spans="1:10" x14ac:dyDescent="0.25">
      <c r="A370" s="4" t="s">
        <v>489</v>
      </c>
      <c r="B370" s="5">
        <v>0</v>
      </c>
      <c r="C370" s="5"/>
      <c r="D370" s="5"/>
      <c r="E370" s="5"/>
      <c r="F370" s="5"/>
      <c r="G370" s="5"/>
      <c r="H370" s="5"/>
      <c r="I370" s="5"/>
      <c r="J370" s="5">
        <v>0</v>
      </c>
    </row>
    <row r="371" spans="1:10" x14ac:dyDescent="0.25">
      <c r="A371" s="4" t="s">
        <v>982</v>
      </c>
      <c r="B371" s="5"/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</row>
    <row r="372" spans="1:10" x14ac:dyDescent="0.25">
      <c r="A372" s="4" t="s">
        <v>113</v>
      </c>
      <c r="B372" s="5">
        <v>0</v>
      </c>
      <c r="C372" s="5"/>
      <c r="D372" s="5"/>
      <c r="E372" s="5"/>
      <c r="F372" s="5"/>
      <c r="G372" s="5"/>
      <c r="H372" s="5"/>
      <c r="I372" s="5"/>
      <c r="J372" s="5">
        <v>0</v>
      </c>
    </row>
    <row r="373" spans="1:10" x14ac:dyDescent="0.25">
      <c r="A373" s="4" t="s">
        <v>52</v>
      </c>
      <c r="B373" s="5">
        <v>0</v>
      </c>
      <c r="C373" s="5">
        <v>0</v>
      </c>
      <c r="D373" s="5">
        <v>0</v>
      </c>
      <c r="E373" s="5"/>
      <c r="F373" s="5">
        <v>0</v>
      </c>
      <c r="G373" s="5"/>
      <c r="H373" s="5"/>
      <c r="I373" s="5">
        <v>0</v>
      </c>
      <c r="J373" s="5">
        <v>0</v>
      </c>
    </row>
    <row r="374" spans="1:10" x14ac:dyDescent="0.25">
      <c r="A374" s="4" t="s">
        <v>628</v>
      </c>
      <c r="B374" s="5">
        <v>12176.8</v>
      </c>
      <c r="C374" s="5">
        <v>3782535.66</v>
      </c>
      <c r="D374" s="5">
        <v>1675758.38</v>
      </c>
      <c r="E374" s="5">
        <v>5400292.79</v>
      </c>
      <c r="F374" s="5">
        <v>16636809.609999999</v>
      </c>
      <c r="G374" s="5">
        <v>26500567.649999999</v>
      </c>
      <c r="H374" s="5">
        <v>38506386.329999998</v>
      </c>
      <c r="I374" s="5">
        <v>353439.48</v>
      </c>
      <c r="J374" s="5">
        <v>11608495.8375</v>
      </c>
    </row>
    <row r="375" spans="1:10" x14ac:dyDescent="0.25">
      <c r="A375" s="4" t="s">
        <v>494</v>
      </c>
      <c r="B375" s="5">
        <v>0</v>
      </c>
      <c r="C375" s="5"/>
      <c r="D375" s="5"/>
      <c r="E375" s="5"/>
      <c r="F375" s="5"/>
      <c r="G375" s="5"/>
      <c r="H375" s="5"/>
      <c r="I375" s="5"/>
      <c r="J375" s="5">
        <v>0</v>
      </c>
    </row>
    <row r="376" spans="1:10" x14ac:dyDescent="0.25">
      <c r="A376" s="4" t="s">
        <v>950</v>
      </c>
      <c r="B376" s="5"/>
      <c r="C376" s="5">
        <v>0</v>
      </c>
      <c r="D376" s="5">
        <v>0</v>
      </c>
      <c r="E376" s="5"/>
      <c r="F376" s="5">
        <v>0</v>
      </c>
      <c r="G376" s="5">
        <v>0</v>
      </c>
      <c r="H376" s="5">
        <v>0</v>
      </c>
      <c r="I376" s="5">
        <v>0</v>
      </c>
      <c r="J376" s="5">
        <v>0</v>
      </c>
    </row>
    <row r="377" spans="1:10" x14ac:dyDescent="0.25">
      <c r="A377" s="4" t="s">
        <v>1070</v>
      </c>
      <c r="B377" s="5"/>
      <c r="C377" s="5"/>
      <c r="D377" s="5">
        <v>0</v>
      </c>
      <c r="E377" s="5"/>
      <c r="F377" s="5"/>
      <c r="G377" s="5"/>
      <c r="H377" s="5">
        <v>0</v>
      </c>
      <c r="I377" s="5"/>
      <c r="J377" s="5">
        <v>0</v>
      </c>
    </row>
    <row r="378" spans="1:10" x14ac:dyDescent="0.25">
      <c r="A378" s="4" t="s">
        <v>896</v>
      </c>
      <c r="B378" s="5">
        <v>1144735.69</v>
      </c>
      <c r="C378" s="5">
        <v>13543025.73</v>
      </c>
      <c r="D378" s="5">
        <v>6024516.9500000002</v>
      </c>
      <c r="E378" s="5">
        <v>10214070.539999999</v>
      </c>
      <c r="F378" s="5">
        <v>35171625.5</v>
      </c>
      <c r="G378" s="5">
        <v>27959926.239999998</v>
      </c>
      <c r="H378" s="5">
        <v>8981315.8200000003</v>
      </c>
      <c r="I378" s="5">
        <v>20095910.91</v>
      </c>
      <c r="J378" s="5">
        <v>15391890.922499999</v>
      </c>
    </row>
    <row r="379" spans="1:10" x14ac:dyDescent="0.25">
      <c r="A379" s="4" t="s">
        <v>74</v>
      </c>
      <c r="B379" s="5">
        <v>0</v>
      </c>
      <c r="C379" s="5">
        <v>0</v>
      </c>
      <c r="D379" s="5">
        <v>0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</row>
    <row r="380" spans="1:10" x14ac:dyDescent="0.25">
      <c r="A380" s="4" t="s">
        <v>1244</v>
      </c>
      <c r="B380" s="5"/>
      <c r="C380" s="5"/>
      <c r="D380" s="5"/>
      <c r="E380" s="5"/>
      <c r="F380" s="5">
        <v>0</v>
      </c>
      <c r="G380" s="5">
        <v>0</v>
      </c>
      <c r="H380" s="5">
        <v>0</v>
      </c>
      <c r="I380" s="5"/>
      <c r="J380" s="5">
        <v>0</v>
      </c>
    </row>
    <row r="381" spans="1:10" x14ac:dyDescent="0.25">
      <c r="A381" s="4" t="s">
        <v>657</v>
      </c>
      <c r="B381" s="5">
        <v>0</v>
      </c>
      <c r="C381" s="5">
        <v>0</v>
      </c>
      <c r="D381" s="5">
        <v>0</v>
      </c>
      <c r="E381" s="5">
        <v>0</v>
      </c>
      <c r="F381" s="5">
        <v>0</v>
      </c>
      <c r="G381" s="5">
        <v>0</v>
      </c>
      <c r="H381" s="5">
        <v>0</v>
      </c>
      <c r="I381" s="5"/>
      <c r="J381" s="5">
        <v>0</v>
      </c>
    </row>
    <row r="382" spans="1:10" x14ac:dyDescent="0.25">
      <c r="A382" s="4" t="s">
        <v>341</v>
      </c>
      <c r="B382" s="5">
        <v>0</v>
      </c>
      <c r="C382" s="5"/>
      <c r="D382" s="5"/>
      <c r="E382" s="5"/>
      <c r="F382" s="5"/>
      <c r="G382" s="5"/>
      <c r="H382" s="5"/>
      <c r="I382" s="5"/>
      <c r="J382" s="5">
        <v>0</v>
      </c>
    </row>
    <row r="383" spans="1:10" x14ac:dyDescent="0.25">
      <c r="A383" s="4" t="s">
        <v>119</v>
      </c>
      <c r="B383" s="5">
        <v>0</v>
      </c>
      <c r="C383" s="5">
        <v>0</v>
      </c>
      <c r="D383" s="5"/>
      <c r="E383" s="5"/>
      <c r="F383" s="5"/>
      <c r="G383" s="5"/>
      <c r="H383" s="5"/>
      <c r="I383" s="5">
        <v>0</v>
      </c>
      <c r="J383" s="5">
        <v>0</v>
      </c>
    </row>
    <row r="384" spans="1:10" x14ac:dyDescent="0.25">
      <c r="A384" s="4" t="s">
        <v>1141</v>
      </c>
      <c r="B384" s="5"/>
      <c r="C384" s="5"/>
      <c r="D384" s="5">
        <v>0</v>
      </c>
      <c r="E384" s="5">
        <v>0</v>
      </c>
      <c r="F384" s="5"/>
      <c r="G384" s="5">
        <v>0</v>
      </c>
      <c r="H384" s="5">
        <v>0</v>
      </c>
      <c r="I384" s="5">
        <v>0</v>
      </c>
      <c r="J384" s="5">
        <v>0</v>
      </c>
    </row>
    <row r="385" spans="1:10" x14ac:dyDescent="0.25">
      <c r="A385" s="4" t="s">
        <v>1063</v>
      </c>
      <c r="B385" s="5"/>
      <c r="C385" s="5">
        <v>0</v>
      </c>
      <c r="D385" s="5"/>
      <c r="E385" s="5">
        <v>0</v>
      </c>
      <c r="F385" s="5"/>
      <c r="G385" s="5"/>
      <c r="H385" s="5"/>
      <c r="I385" s="5"/>
      <c r="J385" s="5">
        <v>0</v>
      </c>
    </row>
    <row r="386" spans="1:10" x14ac:dyDescent="0.25">
      <c r="A386" s="4" t="s">
        <v>539</v>
      </c>
      <c r="B386" s="5">
        <v>0</v>
      </c>
      <c r="C386" s="5">
        <v>0</v>
      </c>
      <c r="D386" s="5">
        <v>107876.24</v>
      </c>
      <c r="E386" s="5">
        <v>0</v>
      </c>
      <c r="F386" s="5">
        <v>11892122.76</v>
      </c>
      <c r="G386" s="5">
        <v>-1646160.31</v>
      </c>
      <c r="H386" s="5">
        <v>846160.31</v>
      </c>
      <c r="I386" s="5">
        <v>325764.11</v>
      </c>
      <c r="J386" s="5">
        <v>1440720.3887499999</v>
      </c>
    </row>
    <row r="387" spans="1:10" x14ac:dyDescent="0.25">
      <c r="A387" s="4" t="s">
        <v>547</v>
      </c>
      <c r="B387" s="5">
        <v>2316.84</v>
      </c>
      <c r="C387" s="5">
        <v>224372.81</v>
      </c>
      <c r="D387" s="5">
        <v>290985.23</v>
      </c>
      <c r="E387" s="5">
        <v>695663.29</v>
      </c>
      <c r="F387" s="5">
        <v>1471460.04</v>
      </c>
      <c r="G387" s="5">
        <v>3001016.92</v>
      </c>
      <c r="H387" s="5">
        <v>562142.26</v>
      </c>
      <c r="I387" s="5">
        <v>2339520.2599999998</v>
      </c>
      <c r="J387" s="5">
        <v>1073434.7062499998</v>
      </c>
    </row>
    <row r="388" spans="1:10" x14ac:dyDescent="0.25">
      <c r="A388" s="4" t="s">
        <v>963</v>
      </c>
      <c r="B388" s="5"/>
      <c r="C388" s="5">
        <v>0</v>
      </c>
      <c r="D388" s="5">
        <v>0</v>
      </c>
      <c r="E388" s="5">
        <v>5517811.9400000004</v>
      </c>
      <c r="F388" s="5">
        <v>0</v>
      </c>
      <c r="G388" s="5">
        <v>0</v>
      </c>
      <c r="H388" s="5">
        <v>0</v>
      </c>
      <c r="I388" s="5">
        <v>0</v>
      </c>
      <c r="J388" s="5">
        <v>788258.84857142868</v>
      </c>
    </row>
    <row r="389" spans="1:10" x14ac:dyDescent="0.25">
      <c r="A389" s="4" t="s">
        <v>1055</v>
      </c>
      <c r="B389" s="5"/>
      <c r="C389" s="5">
        <v>149033</v>
      </c>
      <c r="D389" s="5">
        <v>254545.86</v>
      </c>
      <c r="E389" s="5">
        <v>620794.65</v>
      </c>
      <c r="F389" s="5">
        <v>0</v>
      </c>
      <c r="G389" s="5"/>
      <c r="H389" s="5">
        <v>0</v>
      </c>
      <c r="I389" s="5">
        <v>0</v>
      </c>
      <c r="J389" s="5">
        <v>170728.91833333333</v>
      </c>
    </row>
    <row r="390" spans="1:10" x14ac:dyDescent="0.25">
      <c r="A390" s="4" t="s">
        <v>1176</v>
      </c>
      <c r="B390" s="5"/>
      <c r="C390" s="5"/>
      <c r="D390" s="5"/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</row>
    <row r="391" spans="1:10" x14ac:dyDescent="0.25">
      <c r="A391" s="4" t="s">
        <v>1093</v>
      </c>
      <c r="B391" s="5"/>
      <c r="C391" s="5"/>
      <c r="D391" s="5">
        <v>0</v>
      </c>
      <c r="E391" s="5"/>
      <c r="F391" s="5"/>
      <c r="G391" s="5">
        <v>0</v>
      </c>
      <c r="H391" s="5"/>
      <c r="I391" s="5"/>
      <c r="J391" s="5">
        <v>0</v>
      </c>
    </row>
    <row r="392" spans="1:10" x14ac:dyDescent="0.25">
      <c r="A392" s="4" t="s">
        <v>36</v>
      </c>
      <c r="B392" s="5">
        <v>0</v>
      </c>
      <c r="C392" s="5">
        <v>0</v>
      </c>
      <c r="D392" s="5"/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</row>
    <row r="393" spans="1:10" x14ac:dyDescent="0.25">
      <c r="A393" s="4" t="s">
        <v>180</v>
      </c>
      <c r="B393" s="5">
        <v>0</v>
      </c>
      <c r="C393" s="5">
        <v>0</v>
      </c>
      <c r="D393" s="5">
        <v>0</v>
      </c>
      <c r="E393" s="5">
        <v>0</v>
      </c>
      <c r="F393" s="5">
        <v>0</v>
      </c>
      <c r="G393" s="5">
        <v>0</v>
      </c>
      <c r="H393" s="5">
        <v>101653.75</v>
      </c>
      <c r="I393" s="5">
        <v>159762.35</v>
      </c>
      <c r="J393" s="5">
        <v>32677.012500000001</v>
      </c>
    </row>
    <row r="394" spans="1:10" x14ac:dyDescent="0.25">
      <c r="A394" s="4" t="s">
        <v>654</v>
      </c>
      <c r="B394" s="5">
        <v>0</v>
      </c>
      <c r="C394" s="5">
        <v>0</v>
      </c>
      <c r="D394" s="5">
        <v>0</v>
      </c>
      <c r="E394" s="5">
        <v>0</v>
      </c>
      <c r="F394" s="5">
        <v>0</v>
      </c>
      <c r="G394" s="5"/>
      <c r="H394" s="5">
        <v>17452.07</v>
      </c>
      <c r="I394" s="5">
        <v>0</v>
      </c>
      <c r="J394" s="5">
        <v>2493.1528571428571</v>
      </c>
    </row>
    <row r="395" spans="1:10" x14ac:dyDescent="0.25">
      <c r="A395" s="4" t="s">
        <v>1062</v>
      </c>
      <c r="B395" s="5"/>
      <c r="C395" s="5">
        <v>0</v>
      </c>
      <c r="D395" s="5">
        <v>0</v>
      </c>
      <c r="E395" s="5">
        <v>0</v>
      </c>
      <c r="F395" s="5"/>
      <c r="G395" s="5">
        <v>0</v>
      </c>
      <c r="H395" s="5">
        <v>0</v>
      </c>
      <c r="I395" s="5">
        <v>0</v>
      </c>
      <c r="J395" s="5">
        <v>0</v>
      </c>
    </row>
    <row r="396" spans="1:10" x14ac:dyDescent="0.25">
      <c r="A396" s="4" t="s">
        <v>262</v>
      </c>
      <c r="B396" s="5">
        <v>13787.54</v>
      </c>
      <c r="C396" s="5">
        <v>124100.01</v>
      </c>
      <c r="D396" s="5">
        <v>321686.87</v>
      </c>
      <c r="E396" s="5">
        <v>5846392.0949999997</v>
      </c>
      <c r="F396" s="5">
        <v>2220084.52</v>
      </c>
      <c r="G396" s="5">
        <v>18945428.18</v>
      </c>
      <c r="H396" s="5">
        <v>9562907.6300000008</v>
      </c>
      <c r="I396" s="5">
        <v>1097612.4450000001</v>
      </c>
      <c r="J396" s="5">
        <v>3784289.8533333335</v>
      </c>
    </row>
    <row r="397" spans="1:10" x14ac:dyDescent="0.25">
      <c r="A397" s="4" t="s">
        <v>638</v>
      </c>
      <c r="B397" s="5">
        <v>0</v>
      </c>
      <c r="C397" s="5">
        <v>0</v>
      </c>
      <c r="D397" s="5">
        <v>0</v>
      </c>
      <c r="E397" s="5">
        <v>150000</v>
      </c>
      <c r="F397" s="5">
        <v>0</v>
      </c>
      <c r="G397" s="5">
        <v>26370169.140000001</v>
      </c>
      <c r="H397" s="5">
        <v>9791568.3249999993</v>
      </c>
      <c r="I397" s="5">
        <v>16800263.039999999</v>
      </c>
      <c r="J397" s="5">
        <v>6142602.4515384622</v>
      </c>
    </row>
    <row r="398" spans="1:10" x14ac:dyDescent="0.25">
      <c r="A398" s="4" t="s">
        <v>942</v>
      </c>
      <c r="B398" s="5"/>
      <c r="C398" s="5">
        <v>545787</v>
      </c>
      <c r="D398" s="5"/>
      <c r="E398" s="5"/>
      <c r="F398" s="5"/>
      <c r="G398" s="5"/>
      <c r="H398" s="5"/>
      <c r="I398" s="5"/>
      <c r="J398" s="5">
        <v>545787</v>
      </c>
    </row>
    <row r="399" spans="1:10" x14ac:dyDescent="0.25">
      <c r="A399" s="4" t="s">
        <v>221</v>
      </c>
      <c r="B399" s="5">
        <v>40547062.210000001</v>
      </c>
      <c r="C399" s="5">
        <v>52035442.82</v>
      </c>
      <c r="D399" s="5">
        <v>-38974505.140000001</v>
      </c>
      <c r="E399" s="5">
        <v>20029628.449999999</v>
      </c>
      <c r="F399" s="5">
        <v>122306180.79000001</v>
      </c>
      <c r="G399" s="5">
        <v>10427119.51</v>
      </c>
      <c r="H399" s="5">
        <v>23955.18</v>
      </c>
      <c r="I399" s="5">
        <v>-792683.38</v>
      </c>
      <c r="J399" s="5">
        <v>25700275.055</v>
      </c>
    </row>
    <row r="400" spans="1:10" x14ac:dyDescent="0.25">
      <c r="A400" s="4" t="s">
        <v>69</v>
      </c>
      <c r="B400" s="5">
        <v>0</v>
      </c>
      <c r="C400" s="5">
        <v>0</v>
      </c>
      <c r="D400" s="5">
        <v>0</v>
      </c>
      <c r="E400" s="5">
        <v>0</v>
      </c>
      <c r="F400" s="5">
        <v>0</v>
      </c>
      <c r="G400" s="5">
        <v>0</v>
      </c>
      <c r="H400" s="5">
        <v>0</v>
      </c>
      <c r="I400" s="5"/>
      <c r="J400" s="5">
        <v>0</v>
      </c>
    </row>
    <row r="401" spans="1:10" x14ac:dyDescent="0.25">
      <c r="A401" s="4" t="s">
        <v>1092</v>
      </c>
      <c r="B401" s="5"/>
      <c r="C401" s="5"/>
      <c r="D401" s="5">
        <v>0</v>
      </c>
      <c r="E401" s="5">
        <v>0</v>
      </c>
      <c r="F401" s="5">
        <v>6388601.2000000002</v>
      </c>
      <c r="G401" s="5">
        <v>-62409.39</v>
      </c>
      <c r="H401" s="5">
        <v>-17525.150000000001</v>
      </c>
      <c r="I401" s="5">
        <v>0</v>
      </c>
      <c r="J401" s="5">
        <v>1051444.4433333334</v>
      </c>
    </row>
    <row r="402" spans="1:10" x14ac:dyDescent="0.25">
      <c r="A402" s="4" t="s">
        <v>142</v>
      </c>
      <c r="B402" s="5">
        <v>0</v>
      </c>
      <c r="C402" s="5">
        <v>0</v>
      </c>
      <c r="D402" s="5">
        <v>0</v>
      </c>
      <c r="E402" s="5">
        <v>0</v>
      </c>
      <c r="F402" s="5">
        <v>2431578.91</v>
      </c>
      <c r="G402" s="5">
        <v>2838250.14</v>
      </c>
      <c r="H402" s="5">
        <v>1320232.56</v>
      </c>
      <c r="I402" s="5">
        <v>471200.95</v>
      </c>
      <c r="J402" s="5">
        <v>882657.82000000018</v>
      </c>
    </row>
    <row r="403" spans="1:10" x14ac:dyDescent="0.25">
      <c r="A403" s="4" t="s">
        <v>944</v>
      </c>
      <c r="B403" s="5"/>
      <c r="C403" s="5">
        <v>0</v>
      </c>
      <c r="D403" s="5">
        <v>0</v>
      </c>
      <c r="E403" s="5">
        <v>0</v>
      </c>
      <c r="F403" s="5">
        <v>2436000</v>
      </c>
      <c r="G403" s="5">
        <v>-2436000</v>
      </c>
      <c r="H403" s="5">
        <v>1925049</v>
      </c>
      <c r="I403" s="5">
        <v>0</v>
      </c>
      <c r="J403" s="5">
        <v>275007</v>
      </c>
    </row>
    <row r="404" spans="1:10" x14ac:dyDescent="0.25">
      <c r="A404" s="4" t="s">
        <v>64</v>
      </c>
      <c r="B404" s="5">
        <v>0</v>
      </c>
      <c r="C404" s="5">
        <v>0</v>
      </c>
      <c r="D404" s="5">
        <v>0</v>
      </c>
      <c r="E404" s="5">
        <v>0</v>
      </c>
      <c r="F404" s="5">
        <v>2388309.31</v>
      </c>
      <c r="G404" s="5">
        <v>635706.44999999995</v>
      </c>
      <c r="H404" s="5">
        <v>-3000</v>
      </c>
      <c r="I404" s="5">
        <v>159696</v>
      </c>
      <c r="J404" s="5">
        <v>397588.97</v>
      </c>
    </row>
    <row r="405" spans="1:10" x14ac:dyDescent="0.25">
      <c r="A405" s="4" t="s">
        <v>456</v>
      </c>
      <c r="B405" s="5">
        <v>0</v>
      </c>
      <c r="C405" s="5">
        <v>0</v>
      </c>
      <c r="D405" s="5">
        <v>1480000</v>
      </c>
      <c r="E405" s="5">
        <v>0</v>
      </c>
      <c r="F405" s="5">
        <v>100000</v>
      </c>
      <c r="G405" s="5">
        <v>500000</v>
      </c>
      <c r="H405" s="5">
        <v>0</v>
      </c>
      <c r="I405" s="5">
        <v>1250000</v>
      </c>
      <c r="J405" s="5">
        <v>416250</v>
      </c>
    </row>
    <row r="406" spans="1:10" x14ac:dyDescent="0.25">
      <c r="A406" s="4" t="s">
        <v>111</v>
      </c>
      <c r="B406" s="5">
        <v>0</v>
      </c>
      <c r="C406" s="5"/>
      <c r="D406" s="5">
        <v>74276.08</v>
      </c>
      <c r="E406" s="5">
        <v>0</v>
      </c>
      <c r="F406" s="5">
        <v>0</v>
      </c>
      <c r="G406" s="5">
        <v>383333.34</v>
      </c>
      <c r="H406" s="5">
        <v>0</v>
      </c>
      <c r="I406" s="5"/>
      <c r="J406" s="5">
        <v>76268.236666666679</v>
      </c>
    </row>
    <row r="407" spans="1:10" x14ac:dyDescent="0.25">
      <c r="A407" s="4" t="s">
        <v>614</v>
      </c>
      <c r="B407" s="5">
        <v>34940.199999999997</v>
      </c>
      <c r="C407" s="5">
        <v>4156905.12</v>
      </c>
      <c r="D407" s="5">
        <v>4309771.3899999997</v>
      </c>
      <c r="E407" s="5">
        <v>8763177.5899999999</v>
      </c>
      <c r="F407" s="5">
        <v>20207703.84</v>
      </c>
      <c r="G407" s="5">
        <v>0</v>
      </c>
      <c r="H407" s="5">
        <v>114540</v>
      </c>
      <c r="I407" s="5">
        <v>0</v>
      </c>
      <c r="J407" s="5">
        <v>4698379.7675000001</v>
      </c>
    </row>
    <row r="408" spans="1:10" x14ac:dyDescent="0.25">
      <c r="A408" s="4" t="s">
        <v>1173</v>
      </c>
      <c r="B408" s="5"/>
      <c r="C408" s="5"/>
      <c r="D408" s="5"/>
      <c r="E408" s="5">
        <v>0</v>
      </c>
      <c r="F408" s="5"/>
      <c r="G408" s="5">
        <v>0</v>
      </c>
      <c r="H408" s="5">
        <v>0</v>
      </c>
      <c r="I408" s="5"/>
      <c r="J408" s="5">
        <v>0</v>
      </c>
    </row>
    <row r="409" spans="1:10" x14ac:dyDescent="0.25">
      <c r="A409" s="4" t="s">
        <v>16</v>
      </c>
      <c r="B409" s="5">
        <v>60559.62</v>
      </c>
      <c r="C409" s="5">
        <v>95111.17</v>
      </c>
      <c r="D409" s="5">
        <v>578779.57999999996</v>
      </c>
      <c r="E409" s="5">
        <v>265549.63</v>
      </c>
      <c r="F409" s="5">
        <v>0</v>
      </c>
      <c r="G409" s="5">
        <v>0</v>
      </c>
      <c r="H409" s="5"/>
      <c r="I409" s="5"/>
      <c r="J409" s="5">
        <v>166666.66666666666</v>
      </c>
    </row>
    <row r="410" spans="1:10" x14ac:dyDescent="0.25">
      <c r="A410" s="4" t="s">
        <v>1003</v>
      </c>
      <c r="B410" s="5"/>
      <c r="C410" s="5">
        <v>0</v>
      </c>
      <c r="D410" s="5"/>
      <c r="E410" s="5"/>
      <c r="F410" s="5"/>
      <c r="G410" s="5"/>
      <c r="H410" s="5"/>
      <c r="I410" s="5"/>
      <c r="J410" s="5">
        <v>0</v>
      </c>
    </row>
    <row r="411" spans="1:10" x14ac:dyDescent="0.25">
      <c r="A411" s="4" t="s">
        <v>989</v>
      </c>
      <c r="B411" s="5"/>
      <c r="C411" s="5">
        <v>11796.06</v>
      </c>
      <c r="D411" s="5">
        <v>0</v>
      </c>
      <c r="E411" s="5">
        <v>0</v>
      </c>
      <c r="F411" s="5">
        <v>938408.59</v>
      </c>
      <c r="G411" s="5">
        <v>0</v>
      </c>
      <c r="H411" s="5"/>
      <c r="I411" s="5">
        <v>-38409</v>
      </c>
      <c r="J411" s="5">
        <v>151965.94166666668</v>
      </c>
    </row>
    <row r="412" spans="1:10" x14ac:dyDescent="0.25">
      <c r="A412" s="4" t="s">
        <v>1231</v>
      </c>
      <c r="B412" s="5"/>
      <c r="C412" s="5"/>
      <c r="D412" s="5"/>
      <c r="E412" s="5"/>
      <c r="F412" s="5">
        <v>0</v>
      </c>
      <c r="G412" s="5">
        <v>0</v>
      </c>
      <c r="H412" s="5"/>
      <c r="I412" s="5"/>
      <c r="J412" s="5">
        <v>0</v>
      </c>
    </row>
    <row r="413" spans="1:10" x14ac:dyDescent="0.25">
      <c r="A413" s="4" t="s">
        <v>603</v>
      </c>
      <c r="B413" s="5">
        <v>0</v>
      </c>
      <c r="C413" s="5">
        <v>1163455.1599999999</v>
      </c>
      <c r="D413" s="5">
        <v>93114.78</v>
      </c>
      <c r="E413" s="5">
        <v>796508.17</v>
      </c>
      <c r="F413" s="5">
        <v>1781886.68</v>
      </c>
      <c r="G413" s="5">
        <v>3437426.76</v>
      </c>
      <c r="H413" s="5">
        <v>1698843.36</v>
      </c>
      <c r="I413" s="5">
        <v>0</v>
      </c>
      <c r="J413" s="5">
        <v>1121404.36375</v>
      </c>
    </row>
    <row r="414" spans="1:10" x14ac:dyDescent="0.25">
      <c r="A414" s="4" t="s">
        <v>1085</v>
      </c>
      <c r="B414" s="5"/>
      <c r="C414" s="5"/>
      <c r="D414" s="5">
        <v>0</v>
      </c>
      <c r="E414" s="5">
        <v>0</v>
      </c>
      <c r="F414" s="5"/>
      <c r="G414" s="5">
        <v>0</v>
      </c>
      <c r="H414" s="5"/>
      <c r="I414" s="5"/>
      <c r="J414" s="5">
        <v>0</v>
      </c>
    </row>
    <row r="415" spans="1:10" x14ac:dyDescent="0.25">
      <c r="A415" s="4" t="s">
        <v>1216</v>
      </c>
      <c r="B415" s="5"/>
      <c r="C415" s="5"/>
      <c r="D415" s="5"/>
      <c r="E415" s="5"/>
      <c r="F415" s="5">
        <v>0</v>
      </c>
      <c r="G415" s="5"/>
      <c r="H415" s="5"/>
      <c r="I415" s="5"/>
      <c r="J415" s="5">
        <v>0</v>
      </c>
    </row>
    <row r="416" spans="1:10" x14ac:dyDescent="0.25">
      <c r="A416" s="4" t="s">
        <v>1269</v>
      </c>
      <c r="B416" s="5"/>
      <c r="C416" s="5"/>
      <c r="D416" s="5"/>
      <c r="E416" s="5"/>
      <c r="F416" s="5"/>
      <c r="G416" s="5">
        <v>0</v>
      </c>
      <c r="H416" s="5"/>
      <c r="I416" s="5"/>
      <c r="J416" s="5">
        <v>0</v>
      </c>
    </row>
    <row r="417" spans="1:10" x14ac:dyDescent="0.25">
      <c r="A417" s="4" t="s">
        <v>813</v>
      </c>
      <c r="B417" s="5">
        <v>0</v>
      </c>
      <c r="C417" s="5">
        <v>1873125</v>
      </c>
      <c r="D417" s="5">
        <v>0</v>
      </c>
      <c r="E417" s="5"/>
      <c r="F417" s="5">
        <v>26612469.309999999</v>
      </c>
      <c r="G417" s="5">
        <v>0</v>
      </c>
      <c r="H417" s="5">
        <v>0</v>
      </c>
      <c r="I417" s="5">
        <v>0</v>
      </c>
      <c r="J417" s="5">
        <v>4069370.6157142855</v>
      </c>
    </row>
    <row r="418" spans="1:10" x14ac:dyDescent="0.25">
      <c r="A418" s="4" t="s">
        <v>1177</v>
      </c>
      <c r="B418" s="5"/>
      <c r="C418" s="5"/>
      <c r="D418" s="5"/>
      <c r="E418" s="5">
        <v>0</v>
      </c>
      <c r="F418" s="5"/>
      <c r="G418" s="5"/>
      <c r="H418" s="5"/>
      <c r="I418" s="5"/>
      <c r="J418" s="5">
        <v>0</v>
      </c>
    </row>
    <row r="419" spans="1:10" x14ac:dyDescent="0.25">
      <c r="A419" s="4" t="s">
        <v>129</v>
      </c>
      <c r="B419" s="5">
        <v>0</v>
      </c>
      <c r="C419" s="5">
        <v>0</v>
      </c>
      <c r="D419" s="5">
        <v>0</v>
      </c>
      <c r="E419" s="5">
        <v>1620736.95</v>
      </c>
      <c r="F419" s="5">
        <v>0</v>
      </c>
      <c r="G419" s="5">
        <v>2389478.2000000002</v>
      </c>
      <c r="H419" s="5">
        <v>4844114.3600000003</v>
      </c>
      <c r="I419" s="5">
        <v>2051419.55</v>
      </c>
      <c r="J419" s="5">
        <v>1363218.6325000003</v>
      </c>
    </row>
    <row r="420" spans="1:10" x14ac:dyDescent="0.25">
      <c r="A420" s="4" t="s">
        <v>438</v>
      </c>
      <c r="B420" s="5">
        <v>0</v>
      </c>
      <c r="C420" s="5">
        <v>61046.720000000001</v>
      </c>
      <c r="D420" s="5">
        <v>0</v>
      </c>
      <c r="E420" s="5">
        <v>0</v>
      </c>
      <c r="F420" s="5">
        <v>3772482.28</v>
      </c>
      <c r="G420" s="5">
        <v>0</v>
      </c>
      <c r="H420" s="5">
        <v>0</v>
      </c>
      <c r="I420" s="5">
        <v>0</v>
      </c>
      <c r="J420" s="5">
        <v>479191.125</v>
      </c>
    </row>
    <row r="421" spans="1:10" x14ac:dyDescent="0.25">
      <c r="A421" s="4" t="s">
        <v>1048</v>
      </c>
      <c r="B421" s="5"/>
      <c r="C421" s="5">
        <v>32863.199999999997</v>
      </c>
      <c r="D421" s="5">
        <v>0</v>
      </c>
      <c r="E421" s="5">
        <v>1766545.41</v>
      </c>
      <c r="F421" s="5">
        <v>3034120.39</v>
      </c>
      <c r="G421" s="5"/>
      <c r="H421" s="5">
        <v>-20000</v>
      </c>
      <c r="I421" s="5">
        <v>0</v>
      </c>
      <c r="J421" s="5">
        <v>802254.83333333337</v>
      </c>
    </row>
    <row r="422" spans="1:10" x14ac:dyDescent="0.25">
      <c r="A422" s="4" t="s">
        <v>1010</v>
      </c>
      <c r="B422" s="5"/>
      <c r="C422" s="5">
        <v>30000</v>
      </c>
      <c r="D422" s="5">
        <v>254.59</v>
      </c>
      <c r="E422" s="5"/>
      <c r="F422" s="5">
        <v>400000</v>
      </c>
      <c r="G422" s="5"/>
      <c r="H422" s="5">
        <v>-20000</v>
      </c>
      <c r="I422" s="5">
        <v>0</v>
      </c>
      <c r="J422" s="5">
        <v>82050.918000000005</v>
      </c>
    </row>
    <row r="423" spans="1:10" x14ac:dyDescent="0.25">
      <c r="A423" s="4" t="s">
        <v>294</v>
      </c>
      <c r="B423" s="5">
        <v>0</v>
      </c>
      <c r="C423" s="5">
        <v>0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</row>
    <row r="424" spans="1:10" x14ac:dyDescent="0.25">
      <c r="A424" s="4" t="s">
        <v>1286</v>
      </c>
      <c r="B424" s="5"/>
      <c r="C424" s="5"/>
      <c r="D424" s="5"/>
      <c r="E424" s="5"/>
      <c r="F424" s="5"/>
      <c r="G424" s="5">
        <v>6766941</v>
      </c>
      <c r="H424" s="5">
        <v>0</v>
      </c>
      <c r="I424" s="5">
        <v>2000000</v>
      </c>
      <c r="J424" s="5">
        <v>2922313.6666666665</v>
      </c>
    </row>
    <row r="425" spans="1:10" x14ac:dyDescent="0.25">
      <c r="A425" s="4" t="s">
        <v>1267</v>
      </c>
      <c r="B425" s="5"/>
      <c r="C425" s="5"/>
      <c r="D425" s="5"/>
      <c r="E425" s="5"/>
      <c r="F425" s="5"/>
      <c r="G425" s="5">
        <v>10872990.220000001</v>
      </c>
      <c r="H425" s="5">
        <v>-196332.23</v>
      </c>
      <c r="I425" s="5">
        <v>727702.93</v>
      </c>
      <c r="J425" s="5">
        <v>3801453.64</v>
      </c>
    </row>
    <row r="426" spans="1:10" x14ac:dyDescent="0.25">
      <c r="A426" s="4" t="s">
        <v>1011</v>
      </c>
      <c r="B426" s="5"/>
      <c r="C426" s="5">
        <v>4603445.37</v>
      </c>
      <c r="D426" s="5">
        <v>-3685284.18</v>
      </c>
      <c r="E426" s="5">
        <v>4703734.18</v>
      </c>
      <c r="F426" s="5">
        <v>6519396.2599999998</v>
      </c>
      <c r="G426" s="5">
        <v>0</v>
      </c>
      <c r="H426" s="5">
        <v>1386650</v>
      </c>
      <c r="I426" s="5">
        <v>13995.22</v>
      </c>
      <c r="J426" s="5">
        <v>1934562.4071428571</v>
      </c>
    </row>
    <row r="427" spans="1:10" x14ac:dyDescent="0.25">
      <c r="A427" s="4" t="s">
        <v>1083</v>
      </c>
      <c r="B427" s="5"/>
      <c r="C427" s="5"/>
      <c r="D427" s="5">
        <v>2391601.31</v>
      </c>
      <c r="E427" s="5">
        <v>0</v>
      </c>
      <c r="F427" s="5">
        <v>0</v>
      </c>
      <c r="G427" s="5">
        <v>-2391601.31</v>
      </c>
      <c r="H427" s="5"/>
      <c r="I427" s="5"/>
      <c r="J427" s="5">
        <v>0</v>
      </c>
    </row>
    <row r="428" spans="1:10" x14ac:dyDescent="0.25">
      <c r="A428" s="4" t="s">
        <v>1150</v>
      </c>
      <c r="B428" s="5"/>
      <c r="C428" s="5"/>
      <c r="D428" s="5">
        <v>80000</v>
      </c>
      <c r="E428" s="5"/>
      <c r="F428" s="5">
        <v>0</v>
      </c>
      <c r="G428" s="5">
        <v>25259069.510000002</v>
      </c>
      <c r="H428" s="5">
        <v>3867982.35</v>
      </c>
      <c r="I428" s="5">
        <v>0</v>
      </c>
      <c r="J428" s="5">
        <v>5841410.3720000004</v>
      </c>
    </row>
    <row r="429" spans="1:10" x14ac:dyDescent="0.25">
      <c r="A429" s="4" t="s">
        <v>425</v>
      </c>
      <c r="B429" s="5">
        <v>0</v>
      </c>
      <c r="C429" s="5">
        <v>0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</row>
    <row r="430" spans="1:10" x14ac:dyDescent="0.25">
      <c r="A430" s="4" t="s">
        <v>568</v>
      </c>
      <c r="B430" s="5">
        <v>0</v>
      </c>
      <c r="C430" s="5">
        <v>1.01</v>
      </c>
      <c r="D430" s="5">
        <v>0</v>
      </c>
      <c r="E430" s="5">
        <v>0</v>
      </c>
      <c r="F430" s="5"/>
      <c r="G430" s="5">
        <v>0</v>
      </c>
      <c r="H430" s="5"/>
      <c r="I430" s="5">
        <v>72998.990000000005</v>
      </c>
      <c r="J430" s="5">
        <v>12166.666666666666</v>
      </c>
    </row>
    <row r="431" spans="1:10" x14ac:dyDescent="0.25">
      <c r="A431" s="4" t="s">
        <v>1202</v>
      </c>
      <c r="B431" s="5"/>
      <c r="C431" s="5"/>
      <c r="D431" s="5"/>
      <c r="E431" s="5">
        <v>28067.09</v>
      </c>
      <c r="F431" s="5">
        <v>3714.19</v>
      </c>
      <c r="G431" s="5"/>
      <c r="H431" s="5"/>
      <c r="I431" s="5">
        <v>0</v>
      </c>
      <c r="J431" s="5">
        <v>10593.76</v>
      </c>
    </row>
    <row r="432" spans="1:10" x14ac:dyDescent="0.25">
      <c r="A432" s="4" t="s">
        <v>1145</v>
      </c>
      <c r="B432" s="5"/>
      <c r="C432" s="5"/>
      <c r="D432" s="5">
        <v>1203.28</v>
      </c>
      <c r="E432" s="5"/>
      <c r="F432" s="5"/>
      <c r="G432" s="5"/>
      <c r="H432" s="5"/>
      <c r="I432" s="5"/>
      <c r="J432" s="5">
        <v>1203.28</v>
      </c>
    </row>
    <row r="433" spans="1:10" x14ac:dyDescent="0.25">
      <c r="A433" s="4" t="s">
        <v>672</v>
      </c>
      <c r="B433" s="5">
        <v>0</v>
      </c>
      <c r="C433" s="5">
        <v>0</v>
      </c>
      <c r="D433" s="5">
        <v>0</v>
      </c>
      <c r="E433" s="5"/>
      <c r="F433" s="5">
        <v>0</v>
      </c>
      <c r="G433" s="5"/>
      <c r="H433" s="5"/>
      <c r="I433" s="5"/>
      <c r="J433" s="5">
        <v>0</v>
      </c>
    </row>
    <row r="434" spans="1:10" x14ac:dyDescent="0.25">
      <c r="A434" s="4" t="s">
        <v>1323</v>
      </c>
      <c r="B434" s="5"/>
      <c r="C434" s="5"/>
      <c r="D434" s="5"/>
      <c r="E434" s="5"/>
      <c r="F434" s="5"/>
      <c r="G434" s="5"/>
      <c r="H434" s="5"/>
      <c r="I434" s="5">
        <v>1988471.81</v>
      </c>
      <c r="J434" s="5">
        <v>1988471.81</v>
      </c>
    </row>
    <row r="435" spans="1:10" x14ac:dyDescent="0.25">
      <c r="A435" s="4" t="s">
        <v>1211</v>
      </c>
      <c r="B435" s="5"/>
      <c r="C435" s="5"/>
      <c r="D435" s="5"/>
      <c r="E435" s="5">
        <v>0</v>
      </c>
      <c r="F435" s="5"/>
      <c r="G435" s="5"/>
      <c r="H435" s="5"/>
      <c r="I435" s="5"/>
      <c r="J435" s="5">
        <v>0</v>
      </c>
    </row>
    <row r="436" spans="1:10" x14ac:dyDescent="0.25">
      <c r="A436" s="4" t="s">
        <v>1054</v>
      </c>
      <c r="B436" s="5"/>
      <c r="C436" s="5">
        <v>56185.98</v>
      </c>
      <c r="D436" s="5">
        <v>0</v>
      </c>
      <c r="E436" s="5">
        <v>230000</v>
      </c>
      <c r="F436" s="5">
        <v>249000</v>
      </c>
      <c r="G436" s="5">
        <v>17598.47</v>
      </c>
      <c r="H436" s="5">
        <v>127443.24</v>
      </c>
      <c r="I436" s="5">
        <v>0</v>
      </c>
      <c r="J436" s="5">
        <v>97175.384285714274</v>
      </c>
    </row>
    <row r="437" spans="1:10" x14ac:dyDescent="0.25">
      <c r="A437" s="4" t="s">
        <v>1278</v>
      </c>
      <c r="B437" s="5"/>
      <c r="C437" s="5"/>
      <c r="D437" s="5"/>
      <c r="E437" s="5"/>
      <c r="F437" s="5"/>
      <c r="G437" s="5">
        <v>77501</v>
      </c>
      <c r="H437" s="5">
        <v>0</v>
      </c>
      <c r="I437" s="5"/>
      <c r="J437" s="5">
        <v>38750.5</v>
      </c>
    </row>
    <row r="438" spans="1:10" x14ac:dyDescent="0.25">
      <c r="A438" s="4" t="s">
        <v>345</v>
      </c>
      <c r="B438" s="5">
        <v>0</v>
      </c>
      <c r="C438" s="5"/>
      <c r="D438" s="5"/>
      <c r="E438" s="5"/>
      <c r="F438" s="5"/>
      <c r="G438" s="5"/>
      <c r="H438" s="5"/>
      <c r="I438" s="5"/>
      <c r="J438" s="5">
        <v>0</v>
      </c>
    </row>
    <row r="439" spans="1:10" x14ac:dyDescent="0.25">
      <c r="A439" s="4" t="s">
        <v>1148</v>
      </c>
      <c r="B439" s="5"/>
      <c r="C439" s="5"/>
      <c r="D439" s="5">
        <v>139662.68</v>
      </c>
      <c r="E439" s="5">
        <v>22340.799999999999</v>
      </c>
      <c r="F439" s="5">
        <v>0</v>
      </c>
      <c r="G439" s="5">
        <v>-20358.330000000002</v>
      </c>
      <c r="H439" s="5"/>
      <c r="I439" s="5">
        <v>34925.879999999997</v>
      </c>
      <c r="J439" s="5">
        <v>35314.205999999991</v>
      </c>
    </row>
    <row r="440" spans="1:10" x14ac:dyDescent="0.25">
      <c r="A440" s="4" t="s">
        <v>1156</v>
      </c>
      <c r="B440" s="5"/>
      <c r="C440" s="5"/>
      <c r="D440" s="5"/>
      <c r="E440" s="5">
        <v>198824</v>
      </c>
      <c r="F440" s="5">
        <v>5760</v>
      </c>
      <c r="G440" s="5">
        <v>0</v>
      </c>
      <c r="H440" s="5">
        <v>0</v>
      </c>
      <c r="I440" s="5">
        <v>0</v>
      </c>
      <c r="J440" s="5">
        <v>40916.800000000003</v>
      </c>
    </row>
    <row r="441" spans="1:10" x14ac:dyDescent="0.25">
      <c r="A441" s="4" t="s">
        <v>276</v>
      </c>
      <c r="B441" s="5">
        <v>0</v>
      </c>
      <c r="C441" s="5">
        <v>3571733.2</v>
      </c>
      <c r="D441" s="5">
        <v>0</v>
      </c>
      <c r="E441" s="5">
        <v>7210305.9900000002</v>
      </c>
      <c r="F441" s="5">
        <v>82454.53</v>
      </c>
      <c r="G441" s="5">
        <v>13930183.880000001</v>
      </c>
      <c r="H441" s="5">
        <v>0</v>
      </c>
      <c r="I441" s="5">
        <v>9278471.5199999996</v>
      </c>
      <c r="J441" s="5">
        <v>4259143.6400000006</v>
      </c>
    </row>
    <row r="442" spans="1:10" x14ac:dyDescent="0.25">
      <c r="A442" s="4" t="s">
        <v>658</v>
      </c>
      <c r="B442" s="5">
        <v>0</v>
      </c>
      <c r="C442" s="5">
        <v>0</v>
      </c>
      <c r="D442" s="5">
        <v>0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</row>
    <row r="443" spans="1:10" x14ac:dyDescent="0.25">
      <c r="A443" s="4" t="s">
        <v>215</v>
      </c>
      <c r="B443" s="5">
        <v>0</v>
      </c>
      <c r="C443" s="5">
        <v>0</v>
      </c>
      <c r="D443" s="5">
        <v>0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</row>
    <row r="444" spans="1:10" x14ac:dyDescent="0.25">
      <c r="A444" s="4" t="s">
        <v>246</v>
      </c>
      <c r="B444" s="5">
        <v>0</v>
      </c>
      <c r="C444" s="5">
        <v>0</v>
      </c>
      <c r="D444" s="5">
        <v>0</v>
      </c>
      <c r="E444" s="5"/>
      <c r="F444" s="5"/>
      <c r="G444" s="5"/>
      <c r="H444" s="5"/>
      <c r="I444" s="5"/>
      <c r="J444" s="5">
        <v>0</v>
      </c>
    </row>
    <row r="445" spans="1:10" x14ac:dyDescent="0.25">
      <c r="A445" s="4" t="s">
        <v>248</v>
      </c>
      <c r="B445" s="5">
        <v>0</v>
      </c>
      <c r="C445" s="5">
        <v>0</v>
      </c>
      <c r="D445" s="5">
        <v>8372279.5499999998</v>
      </c>
      <c r="E445" s="5">
        <v>153</v>
      </c>
      <c r="F445" s="5">
        <v>2105667.79</v>
      </c>
      <c r="G445" s="5">
        <v>8731961.6699999999</v>
      </c>
      <c r="H445" s="5">
        <v>874492.28</v>
      </c>
      <c r="I445" s="5">
        <v>1791851.45</v>
      </c>
      <c r="J445" s="5">
        <v>2734550.7174999998</v>
      </c>
    </row>
    <row r="446" spans="1:10" x14ac:dyDescent="0.25">
      <c r="A446" s="4" t="s">
        <v>1004</v>
      </c>
      <c r="B446" s="5"/>
      <c r="C446" s="5">
        <v>22500</v>
      </c>
      <c r="D446" s="5">
        <v>8768896.4499999993</v>
      </c>
      <c r="E446" s="5">
        <v>1389559.42</v>
      </c>
      <c r="F446" s="5">
        <v>18431.900000000001</v>
      </c>
      <c r="G446" s="5">
        <v>4578868.01</v>
      </c>
      <c r="H446" s="5">
        <v>585010.43000000005</v>
      </c>
      <c r="I446" s="5">
        <v>5224999.33</v>
      </c>
      <c r="J446" s="5">
        <v>2941180.7914285711</v>
      </c>
    </row>
    <row r="447" spans="1:10" x14ac:dyDescent="0.25">
      <c r="A447" s="4" t="s">
        <v>1221</v>
      </c>
      <c r="B447" s="5"/>
      <c r="C447" s="5"/>
      <c r="D447" s="5"/>
      <c r="E447" s="5"/>
      <c r="F447" s="5">
        <v>0</v>
      </c>
      <c r="G447" s="5">
        <v>0</v>
      </c>
      <c r="H447" s="5">
        <v>0</v>
      </c>
      <c r="I447" s="5">
        <v>0</v>
      </c>
      <c r="J447" s="5">
        <v>0</v>
      </c>
    </row>
    <row r="448" spans="1:10" x14ac:dyDescent="0.25">
      <c r="A448" s="4" t="s">
        <v>374</v>
      </c>
      <c r="B448" s="5">
        <v>0</v>
      </c>
      <c r="C448" s="5">
        <v>0</v>
      </c>
      <c r="D448" s="5"/>
      <c r="E448" s="5">
        <v>0</v>
      </c>
      <c r="F448" s="5">
        <v>0</v>
      </c>
      <c r="G448" s="5">
        <v>1000000</v>
      </c>
      <c r="H448" s="5"/>
      <c r="I448" s="5">
        <v>0</v>
      </c>
      <c r="J448" s="5">
        <v>166666.66666666666</v>
      </c>
    </row>
    <row r="449" spans="1:10" x14ac:dyDescent="0.25">
      <c r="A449" s="4" t="s">
        <v>1199</v>
      </c>
      <c r="B449" s="5"/>
      <c r="C449" s="5"/>
      <c r="D449" s="5"/>
      <c r="E449" s="5">
        <v>0</v>
      </c>
      <c r="F449" s="5">
        <v>0</v>
      </c>
      <c r="G449" s="5"/>
      <c r="H449" s="5">
        <v>0</v>
      </c>
      <c r="I449" s="5"/>
      <c r="J449" s="5">
        <v>0</v>
      </c>
    </row>
    <row r="450" spans="1:10" x14ac:dyDescent="0.25">
      <c r="A450" s="4" t="s">
        <v>95</v>
      </c>
      <c r="B450" s="5">
        <v>111286487.26142858</v>
      </c>
      <c r="C450" s="5">
        <v>195567378.12166667</v>
      </c>
      <c r="D450" s="5">
        <v>67301469.745714292</v>
      </c>
      <c r="E450" s="5">
        <v>323817745.81999999</v>
      </c>
      <c r="F450" s="5">
        <v>244262992.03857142</v>
      </c>
      <c r="G450" s="5">
        <v>152932540.65833333</v>
      </c>
      <c r="H450" s="5">
        <v>123226087.87</v>
      </c>
      <c r="I450" s="5">
        <v>125752388.91666667</v>
      </c>
      <c r="J450" s="5">
        <v>168580704.2515094</v>
      </c>
    </row>
    <row r="451" spans="1:10" x14ac:dyDescent="0.25">
      <c r="A451" s="4" t="s">
        <v>177</v>
      </c>
      <c r="B451" s="5">
        <v>820690370.33500004</v>
      </c>
      <c r="C451" s="5">
        <v>356944155.62</v>
      </c>
      <c r="D451" s="5">
        <v>424229429.11000001</v>
      </c>
      <c r="E451" s="5">
        <v>198208999.08500001</v>
      </c>
      <c r="F451" s="5">
        <v>449955136.98000002</v>
      </c>
      <c r="G451" s="5">
        <v>464360490.81</v>
      </c>
      <c r="H451" s="5">
        <v>345064568.13999999</v>
      </c>
      <c r="I451" s="5">
        <v>265078685.27000001</v>
      </c>
      <c r="J451" s="5">
        <v>434343120.47700006</v>
      </c>
    </row>
    <row r="452" spans="1:10" x14ac:dyDescent="0.25">
      <c r="A452" s="4" t="s">
        <v>1155</v>
      </c>
      <c r="B452" s="5"/>
      <c r="C452" s="5"/>
      <c r="D452" s="5"/>
      <c r="E452" s="5">
        <v>260129.87</v>
      </c>
      <c r="F452" s="5"/>
      <c r="G452" s="5"/>
      <c r="H452" s="5">
        <v>10200</v>
      </c>
      <c r="I452" s="5">
        <v>4000</v>
      </c>
      <c r="J452" s="5">
        <v>91443.29</v>
      </c>
    </row>
    <row r="453" spans="1:10" x14ac:dyDescent="0.25">
      <c r="A453" s="4" t="s">
        <v>409</v>
      </c>
      <c r="B453" s="5">
        <v>1200213.8999999999</v>
      </c>
      <c r="C453" s="5">
        <v>8000000</v>
      </c>
      <c r="D453" s="5">
        <v>1300000</v>
      </c>
      <c r="E453" s="5">
        <v>0</v>
      </c>
      <c r="F453" s="5">
        <v>540000</v>
      </c>
      <c r="G453" s="5">
        <v>900000</v>
      </c>
      <c r="H453" s="5">
        <v>0</v>
      </c>
      <c r="I453" s="5">
        <v>-800000</v>
      </c>
      <c r="J453" s="5">
        <v>1392526.7375</v>
      </c>
    </row>
    <row r="454" spans="1:10" x14ac:dyDescent="0.25">
      <c r="A454" s="4" t="s">
        <v>555</v>
      </c>
      <c r="B454" s="5">
        <v>30000</v>
      </c>
      <c r="C454" s="5">
        <v>24685794.710000001</v>
      </c>
      <c r="D454" s="5">
        <v>35052545.939999998</v>
      </c>
      <c r="E454" s="5">
        <v>71848761.799999997</v>
      </c>
      <c r="F454" s="5">
        <v>15228797.640000001</v>
      </c>
      <c r="G454" s="5">
        <v>-138944989.56999999</v>
      </c>
      <c r="H454" s="5">
        <v>206265303.11000001</v>
      </c>
      <c r="I454" s="5">
        <v>68800432.5</v>
      </c>
      <c r="J454" s="5">
        <v>35370830.766249999</v>
      </c>
    </row>
    <row r="455" spans="1:10" x14ac:dyDescent="0.25">
      <c r="A455" s="4" t="s">
        <v>123</v>
      </c>
      <c r="B455" s="5">
        <v>17242706</v>
      </c>
      <c r="C455" s="5">
        <v>168580935.38</v>
      </c>
      <c r="D455" s="5">
        <v>30000</v>
      </c>
      <c r="E455" s="5">
        <v>1706723.57</v>
      </c>
      <c r="F455" s="5">
        <v>121312.91</v>
      </c>
      <c r="G455" s="5">
        <v>0</v>
      </c>
      <c r="H455" s="5">
        <v>0</v>
      </c>
      <c r="I455" s="5">
        <v>55489764.140000001</v>
      </c>
      <c r="J455" s="5">
        <v>30396430.25</v>
      </c>
    </row>
    <row r="456" spans="1:10" x14ac:dyDescent="0.25">
      <c r="A456" s="4" t="s">
        <v>776</v>
      </c>
      <c r="B456" s="5">
        <v>20882.3</v>
      </c>
      <c r="C456" s="5">
        <v>14232942.390000001</v>
      </c>
      <c r="D456" s="5">
        <v>45392900.240000002</v>
      </c>
      <c r="E456" s="5">
        <v>91582229.099999994</v>
      </c>
      <c r="F456" s="5">
        <v>351897290.25</v>
      </c>
      <c r="G456" s="5">
        <v>54406170.43</v>
      </c>
      <c r="H456" s="5">
        <v>6081472.6399999997</v>
      </c>
      <c r="I456" s="5">
        <v>323745.61</v>
      </c>
      <c r="J456" s="5">
        <v>70492204.11999999</v>
      </c>
    </row>
    <row r="457" spans="1:10" x14ac:dyDescent="0.25">
      <c r="A457" s="4" t="s">
        <v>365</v>
      </c>
      <c r="B457" s="5">
        <v>9292656.0099999998</v>
      </c>
      <c r="C457" s="5">
        <v>-7496637.29</v>
      </c>
      <c r="D457" s="5">
        <v>-22334.03</v>
      </c>
      <c r="E457" s="5">
        <v>3283990.27</v>
      </c>
      <c r="F457" s="5">
        <v>747970.62</v>
      </c>
      <c r="G457" s="5">
        <v>1857507.27</v>
      </c>
      <c r="H457" s="5">
        <v>693647.27</v>
      </c>
      <c r="I457" s="5">
        <v>51102.99</v>
      </c>
      <c r="J457" s="5">
        <v>1050987.8887499999</v>
      </c>
    </row>
    <row r="458" spans="1:10" x14ac:dyDescent="0.25">
      <c r="A458" s="4" t="s">
        <v>815</v>
      </c>
      <c r="B458" s="5">
        <v>89131.89</v>
      </c>
      <c r="C458" s="5">
        <v>81433</v>
      </c>
      <c r="D458" s="5">
        <v>25000</v>
      </c>
      <c r="E458" s="5">
        <v>55000</v>
      </c>
      <c r="F458" s="5">
        <v>85979.65</v>
      </c>
      <c r="G458" s="5">
        <v>346525.93</v>
      </c>
      <c r="H458" s="5">
        <v>90.22</v>
      </c>
      <c r="I458" s="5">
        <v>-2000</v>
      </c>
      <c r="J458" s="5">
        <v>85145.086249999993</v>
      </c>
    </row>
    <row r="459" spans="1:10" x14ac:dyDescent="0.25">
      <c r="A459" s="4" t="s">
        <v>450</v>
      </c>
      <c r="B459" s="5">
        <v>380771.84000000003</v>
      </c>
      <c r="C459" s="5">
        <v>414597.05</v>
      </c>
      <c r="D459" s="5">
        <v>575314.23</v>
      </c>
      <c r="E459" s="5">
        <v>1756934.29</v>
      </c>
      <c r="F459" s="5">
        <v>2160600.52</v>
      </c>
      <c r="G459" s="5">
        <v>45768.160000000003</v>
      </c>
      <c r="H459" s="5">
        <v>19584.16</v>
      </c>
      <c r="I459" s="5">
        <v>-1362.7</v>
      </c>
      <c r="J459" s="5">
        <v>669025.94374999998</v>
      </c>
    </row>
    <row r="460" spans="1:10" x14ac:dyDescent="0.25">
      <c r="A460" s="4" t="s">
        <v>717</v>
      </c>
      <c r="B460" s="5">
        <v>10640207.59</v>
      </c>
      <c r="C460" s="5">
        <v>268383653.91</v>
      </c>
      <c r="D460" s="5">
        <v>133514515.37</v>
      </c>
      <c r="E460" s="5">
        <v>334957.73</v>
      </c>
      <c r="F460" s="5">
        <v>155376490.38</v>
      </c>
      <c r="G460" s="5">
        <v>11115320.390000001</v>
      </c>
      <c r="H460" s="5">
        <v>6501529.6500000004</v>
      </c>
      <c r="I460" s="5">
        <v>2673084.59</v>
      </c>
      <c r="J460" s="5">
        <v>73567469.951250002</v>
      </c>
    </row>
    <row r="461" spans="1:10" x14ac:dyDescent="0.25">
      <c r="A461" s="4" t="s">
        <v>1052</v>
      </c>
      <c r="B461" s="5"/>
      <c r="C461" s="5">
        <v>122827956</v>
      </c>
      <c r="D461" s="5">
        <v>0</v>
      </c>
      <c r="E461" s="5">
        <v>0</v>
      </c>
      <c r="F461" s="5">
        <v>0</v>
      </c>
      <c r="G461" s="5">
        <v>0</v>
      </c>
      <c r="H461" s="5"/>
      <c r="I461" s="5">
        <v>122919348</v>
      </c>
      <c r="J461" s="5">
        <v>40957884</v>
      </c>
    </row>
    <row r="462" spans="1:10" x14ac:dyDescent="0.25">
      <c r="A462" s="4" t="s">
        <v>304</v>
      </c>
      <c r="B462" s="5">
        <v>213478570.03999999</v>
      </c>
      <c r="C462" s="5">
        <v>104244143.64</v>
      </c>
      <c r="D462" s="5">
        <v>60266041.484999999</v>
      </c>
      <c r="E462" s="5">
        <v>98626064.209999993</v>
      </c>
      <c r="F462" s="5">
        <v>298901216.05000001</v>
      </c>
      <c r="G462" s="5">
        <v>104185859.58</v>
      </c>
      <c r="H462" s="5">
        <v>63144516.740000002</v>
      </c>
      <c r="I462" s="5">
        <v>104169734.09999999</v>
      </c>
      <c r="J462" s="5">
        <v>122053928.64769229</v>
      </c>
    </row>
    <row r="463" spans="1:10" x14ac:dyDescent="0.25">
      <c r="A463" s="4" t="s">
        <v>833</v>
      </c>
      <c r="B463" s="5">
        <v>4636.2</v>
      </c>
      <c r="C463" s="5">
        <v>65457.91</v>
      </c>
      <c r="D463" s="5">
        <v>81516.479999999996</v>
      </c>
      <c r="E463" s="5">
        <v>-5000</v>
      </c>
      <c r="F463" s="5">
        <v>-16284.69</v>
      </c>
      <c r="G463" s="5">
        <v>0</v>
      </c>
      <c r="H463" s="5">
        <v>-38545.57</v>
      </c>
      <c r="I463" s="5"/>
      <c r="J463" s="5">
        <v>13111.475714285712</v>
      </c>
    </row>
    <row r="464" spans="1:10" x14ac:dyDescent="0.25">
      <c r="A464" s="4" t="s">
        <v>731</v>
      </c>
      <c r="B464" s="5">
        <v>0</v>
      </c>
      <c r="C464" s="5">
        <v>0</v>
      </c>
      <c r="D464" s="5"/>
      <c r="E464" s="5">
        <v>0</v>
      </c>
      <c r="F464" s="5"/>
      <c r="G464" s="5"/>
      <c r="H464" s="5"/>
      <c r="I464" s="5">
        <v>0</v>
      </c>
      <c r="J464" s="5">
        <v>0</v>
      </c>
    </row>
    <row r="465" spans="1:10" x14ac:dyDescent="0.25">
      <c r="A465" s="4" t="s">
        <v>968</v>
      </c>
      <c r="B465" s="5"/>
      <c r="C465" s="5">
        <v>25864754</v>
      </c>
      <c r="D465" s="5">
        <v>12636000</v>
      </c>
      <c r="E465" s="5">
        <v>0</v>
      </c>
      <c r="F465" s="5"/>
      <c r="G465" s="5">
        <v>0</v>
      </c>
      <c r="H465" s="5">
        <v>12858000</v>
      </c>
      <c r="I465" s="5"/>
      <c r="J465" s="5">
        <v>10271750.800000001</v>
      </c>
    </row>
    <row r="466" spans="1:10" x14ac:dyDescent="0.25">
      <c r="A466" s="4" t="s">
        <v>144</v>
      </c>
      <c r="B466" s="5">
        <v>2055500</v>
      </c>
      <c r="C466" s="5">
        <v>2091500</v>
      </c>
      <c r="D466" s="5">
        <v>2094000</v>
      </c>
      <c r="E466" s="5">
        <v>2105000</v>
      </c>
      <c r="F466" s="5">
        <v>2116000</v>
      </c>
      <c r="G466" s="5">
        <v>2106000</v>
      </c>
      <c r="H466" s="5">
        <v>2042000</v>
      </c>
      <c r="I466" s="5">
        <v>2036000</v>
      </c>
      <c r="J466" s="5">
        <v>2080750</v>
      </c>
    </row>
    <row r="467" spans="1:10" x14ac:dyDescent="0.25">
      <c r="A467" s="4" t="s">
        <v>178</v>
      </c>
      <c r="B467" s="5">
        <v>16970817.149999999</v>
      </c>
      <c r="C467" s="5">
        <v>219603749.81999999</v>
      </c>
      <c r="D467" s="5">
        <v>202937086.52000001</v>
      </c>
      <c r="E467" s="5">
        <v>113827366.13</v>
      </c>
      <c r="F467" s="5">
        <v>110220327.48999999</v>
      </c>
      <c r="G467" s="5">
        <v>54987215.509999998</v>
      </c>
      <c r="H467" s="5">
        <v>54821931.905000001</v>
      </c>
      <c r="I467" s="5">
        <v>184166928.36000001</v>
      </c>
      <c r="J467" s="5">
        <v>106734457.03</v>
      </c>
    </row>
    <row r="468" spans="1:10" x14ac:dyDescent="0.25">
      <c r="A468" s="4" t="s">
        <v>1042</v>
      </c>
      <c r="B468" s="5"/>
      <c r="C468" s="5">
        <v>0</v>
      </c>
      <c r="D468" s="5"/>
      <c r="E468" s="5"/>
      <c r="F468" s="5"/>
      <c r="G468" s="5"/>
      <c r="H468" s="5"/>
      <c r="I468" s="5">
        <v>0</v>
      </c>
      <c r="J468" s="5">
        <v>0</v>
      </c>
    </row>
    <row r="469" spans="1:10" x14ac:dyDescent="0.25">
      <c r="A469" s="4" t="s">
        <v>1166</v>
      </c>
      <c r="B469" s="5"/>
      <c r="C469" s="5"/>
      <c r="D469" s="5"/>
      <c r="E469" s="5">
        <v>0</v>
      </c>
      <c r="F469" s="5">
        <v>0</v>
      </c>
      <c r="G469" s="5">
        <v>0</v>
      </c>
      <c r="H469" s="5">
        <v>0</v>
      </c>
      <c r="I469" s="5"/>
      <c r="J469" s="5">
        <v>0</v>
      </c>
    </row>
    <row r="470" spans="1:10" x14ac:dyDescent="0.25">
      <c r="A470" s="4" t="s">
        <v>71</v>
      </c>
      <c r="B470" s="5">
        <v>6738785.2000000002</v>
      </c>
      <c r="C470" s="5">
        <v>5484597.7300000004</v>
      </c>
      <c r="D470" s="5">
        <v>9151774.6500000004</v>
      </c>
      <c r="E470" s="5">
        <v>17038188.870000001</v>
      </c>
      <c r="F470" s="5">
        <v>13794092.029999999</v>
      </c>
      <c r="G470" s="5">
        <v>7151714.5300000003</v>
      </c>
      <c r="H470" s="5">
        <v>11737831</v>
      </c>
      <c r="I470" s="5">
        <v>6595888.4100000001</v>
      </c>
      <c r="J470" s="5">
        <v>9711609.0525000002</v>
      </c>
    </row>
    <row r="471" spans="1:10" x14ac:dyDescent="0.25">
      <c r="A471" s="4" t="s">
        <v>1259</v>
      </c>
      <c r="B471" s="5"/>
      <c r="C471" s="5"/>
      <c r="D471" s="5"/>
      <c r="E471" s="5"/>
      <c r="F471" s="5"/>
      <c r="G471" s="5">
        <v>0</v>
      </c>
      <c r="H471" s="5"/>
      <c r="I471" s="5"/>
      <c r="J471" s="5">
        <v>0</v>
      </c>
    </row>
    <row r="472" spans="1:10" x14ac:dyDescent="0.25">
      <c r="A472" s="4" t="s">
        <v>639</v>
      </c>
      <c r="B472" s="5">
        <v>20760818.57</v>
      </c>
      <c r="C472" s="5">
        <v>45200242</v>
      </c>
      <c r="D472" s="5">
        <v>3993204.43</v>
      </c>
      <c r="E472" s="5">
        <v>200000</v>
      </c>
      <c r="F472" s="5">
        <v>0</v>
      </c>
      <c r="G472" s="5">
        <v>0</v>
      </c>
      <c r="H472" s="5">
        <v>8952913.8900000006</v>
      </c>
      <c r="I472" s="5">
        <v>687085.61</v>
      </c>
      <c r="J472" s="5">
        <v>9974283.0625</v>
      </c>
    </row>
    <row r="473" spans="1:10" x14ac:dyDescent="0.25">
      <c r="A473" s="4" t="s">
        <v>1333</v>
      </c>
      <c r="B473" s="5"/>
      <c r="C473" s="5"/>
      <c r="D473" s="5"/>
      <c r="E473" s="5"/>
      <c r="F473" s="5"/>
      <c r="G473" s="5"/>
      <c r="H473" s="5"/>
      <c r="I473" s="5">
        <v>6330</v>
      </c>
      <c r="J473" s="5">
        <v>6330</v>
      </c>
    </row>
    <row r="474" spans="1:10" x14ac:dyDescent="0.25">
      <c r="A474" s="4" t="s">
        <v>956</v>
      </c>
      <c r="B474" s="5"/>
      <c r="C474" s="5">
        <v>0</v>
      </c>
      <c r="D474" s="5">
        <v>0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</row>
    <row r="475" spans="1:10" x14ac:dyDescent="0.25">
      <c r="A475" s="4" t="s">
        <v>649</v>
      </c>
      <c r="B475" s="5">
        <v>0</v>
      </c>
      <c r="C475" s="5">
        <v>463850</v>
      </c>
      <c r="D475" s="5">
        <v>2293693.4</v>
      </c>
      <c r="E475" s="5">
        <v>4081309.4</v>
      </c>
      <c r="F475" s="5">
        <v>7927221.9699999997</v>
      </c>
      <c r="G475" s="5">
        <v>1039718.61</v>
      </c>
      <c r="H475" s="5">
        <v>615887.31000000006</v>
      </c>
      <c r="I475" s="5">
        <v>116000</v>
      </c>
      <c r="J475" s="5">
        <v>1889058.9655555552</v>
      </c>
    </row>
    <row r="476" spans="1:10" x14ac:dyDescent="0.25">
      <c r="A476" s="4" t="s">
        <v>423</v>
      </c>
      <c r="B476" s="5">
        <v>0</v>
      </c>
      <c r="C476" s="5">
        <v>0</v>
      </c>
      <c r="D476" s="5">
        <v>0</v>
      </c>
      <c r="E476" s="5">
        <v>0</v>
      </c>
      <c r="F476" s="5">
        <v>28764960.050000001</v>
      </c>
      <c r="G476" s="5">
        <v>0</v>
      </c>
      <c r="H476" s="5">
        <v>13157447.859999999</v>
      </c>
      <c r="I476" s="5">
        <v>0</v>
      </c>
      <c r="J476" s="5">
        <v>5240300.9887499996</v>
      </c>
    </row>
    <row r="477" spans="1:10" x14ac:dyDescent="0.25">
      <c r="A477" s="4" t="s">
        <v>1029</v>
      </c>
      <c r="B477" s="5"/>
      <c r="C477" s="5">
        <v>0</v>
      </c>
      <c r="D477" s="5"/>
      <c r="E477" s="5"/>
      <c r="F477" s="5"/>
      <c r="G477" s="5">
        <v>400000</v>
      </c>
      <c r="H477" s="5">
        <v>3021621</v>
      </c>
      <c r="I477" s="5">
        <v>3079206</v>
      </c>
      <c r="J477" s="5">
        <v>1625206.75</v>
      </c>
    </row>
    <row r="478" spans="1:10" x14ac:dyDescent="0.25">
      <c r="A478" s="4" t="s">
        <v>926</v>
      </c>
      <c r="B478" s="5">
        <v>12029813.82</v>
      </c>
      <c r="C478" s="5">
        <v>75813240.219999999</v>
      </c>
      <c r="D478" s="5">
        <v>8292044.0999999996</v>
      </c>
      <c r="E478" s="5">
        <v>23827977.504999999</v>
      </c>
      <c r="F478" s="5">
        <v>20417349.66</v>
      </c>
      <c r="G478" s="5">
        <v>67369770.049999997</v>
      </c>
      <c r="H478" s="5">
        <v>33100806.039999999</v>
      </c>
      <c r="I478" s="5">
        <v>19800792.364999998</v>
      </c>
      <c r="J478" s="5">
        <v>30961466.677142855</v>
      </c>
    </row>
    <row r="479" spans="1:10" x14ac:dyDescent="0.25">
      <c r="A479" s="4" t="s">
        <v>635</v>
      </c>
      <c r="B479" s="5">
        <v>79140</v>
      </c>
      <c r="C479" s="5">
        <v>376780.55</v>
      </c>
      <c r="D479" s="5">
        <v>-186279.56</v>
      </c>
      <c r="E479" s="5">
        <v>125866</v>
      </c>
      <c r="F479" s="5">
        <v>-4996.99</v>
      </c>
      <c r="G479" s="5">
        <v>9490</v>
      </c>
      <c r="H479" s="5">
        <v>-18652.75</v>
      </c>
      <c r="I479" s="5">
        <v>18652.75</v>
      </c>
      <c r="J479" s="5">
        <v>50000</v>
      </c>
    </row>
    <row r="480" spans="1:10" x14ac:dyDescent="0.25">
      <c r="A480" s="4" t="s">
        <v>521</v>
      </c>
      <c r="B480" s="5">
        <v>0</v>
      </c>
      <c r="C480" s="5">
        <v>0</v>
      </c>
      <c r="D480" s="5">
        <v>100000</v>
      </c>
      <c r="E480" s="5">
        <v>0</v>
      </c>
      <c r="F480" s="5">
        <v>0</v>
      </c>
      <c r="G480" s="5">
        <v>0</v>
      </c>
      <c r="H480" s="5">
        <v>27731.439999999999</v>
      </c>
      <c r="I480" s="5">
        <v>0</v>
      </c>
      <c r="J480" s="5">
        <v>15966.43</v>
      </c>
    </row>
    <row r="481" spans="1:10" x14ac:dyDescent="0.25">
      <c r="A481" s="4" t="s">
        <v>350</v>
      </c>
      <c r="B481" s="5">
        <v>70144925.109999999</v>
      </c>
      <c r="C481" s="5">
        <v>63804132.520000003</v>
      </c>
      <c r="D481" s="5">
        <v>28881860.390000001</v>
      </c>
      <c r="E481" s="5">
        <v>10502555</v>
      </c>
      <c r="F481" s="5">
        <v>1986593.45</v>
      </c>
      <c r="G481" s="5">
        <v>27246645.390000001</v>
      </c>
      <c r="H481" s="5">
        <v>16735545.15</v>
      </c>
      <c r="I481" s="5">
        <v>12090098.210000001</v>
      </c>
      <c r="J481" s="5">
        <v>28924044.402499996</v>
      </c>
    </row>
    <row r="482" spans="1:10" x14ac:dyDescent="0.25">
      <c r="A482" s="4" t="s">
        <v>903</v>
      </c>
      <c r="B482" s="5">
        <v>301261.03000000003</v>
      </c>
      <c r="C482" s="5">
        <v>839824.88</v>
      </c>
      <c r="D482" s="5">
        <v>1597218.26</v>
      </c>
      <c r="E482" s="5">
        <v>3445248.3</v>
      </c>
      <c r="F482" s="5">
        <v>1086877.43</v>
      </c>
      <c r="G482" s="5">
        <v>954747.14</v>
      </c>
      <c r="H482" s="5">
        <v>10324245.23</v>
      </c>
      <c r="I482" s="5">
        <v>1258042.2</v>
      </c>
      <c r="J482" s="5">
        <v>2475933.0587499999</v>
      </c>
    </row>
    <row r="483" spans="1:10" x14ac:dyDescent="0.25">
      <c r="A483" s="4" t="s">
        <v>702</v>
      </c>
      <c r="B483" s="5">
        <v>92.26</v>
      </c>
      <c r="C483" s="5">
        <v>1144636.74</v>
      </c>
      <c r="D483" s="5">
        <v>-260064</v>
      </c>
      <c r="E483" s="5">
        <v>684063.22</v>
      </c>
      <c r="F483" s="5">
        <v>1501005.02</v>
      </c>
      <c r="G483" s="5">
        <v>2431068.66</v>
      </c>
      <c r="H483" s="5">
        <v>318446.14</v>
      </c>
      <c r="I483" s="5">
        <v>2502629.15</v>
      </c>
      <c r="J483" s="5">
        <v>1040234.6487499999</v>
      </c>
    </row>
    <row r="484" spans="1:10" x14ac:dyDescent="0.25">
      <c r="A484" s="4" t="s">
        <v>1096</v>
      </c>
      <c r="B484" s="5"/>
      <c r="C484" s="5"/>
      <c r="D484" s="5">
        <v>0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</row>
    <row r="485" spans="1:10" x14ac:dyDescent="0.25">
      <c r="A485" s="4" t="s">
        <v>882</v>
      </c>
      <c r="B485" s="5">
        <v>0</v>
      </c>
      <c r="C485" s="5">
        <v>0</v>
      </c>
      <c r="D485" s="5">
        <v>0</v>
      </c>
      <c r="E485" s="5">
        <v>758805.11</v>
      </c>
      <c r="F485" s="5">
        <v>96448.05</v>
      </c>
      <c r="G485" s="5">
        <v>635249.48</v>
      </c>
      <c r="H485" s="5">
        <v>0</v>
      </c>
      <c r="I485" s="5">
        <v>1219606.03</v>
      </c>
      <c r="J485" s="5">
        <v>338763.58374999999</v>
      </c>
    </row>
    <row r="486" spans="1:10" x14ac:dyDescent="0.25">
      <c r="A486" s="4" t="s">
        <v>102</v>
      </c>
      <c r="B486" s="5">
        <v>0</v>
      </c>
      <c r="C486" s="5">
        <v>0</v>
      </c>
      <c r="D486" s="5">
        <v>144950.20000000001</v>
      </c>
      <c r="E486" s="5">
        <v>-2162.04</v>
      </c>
      <c r="F486" s="5">
        <v>0</v>
      </c>
      <c r="G486" s="5">
        <v>245002.42</v>
      </c>
      <c r="H486" s="5">
        <v>0</v>
      </c>
      <c r="I486" s="5">
        <v>480515.3</v>
      </c>
      <c r="J486" s="5">
        <v>108538.235</v>
      </c>
    </row>
    <row r="487" spans="1:10" x14ac:dyDescent="0.25">
      <c r="A487" s="4" t="s">
        <v>394</v>
      </c>
      <c r="B487" s="5">
        <v>0</v>
      </c>
      <c r="C487" s="5">
        <v>0</v>
      </c>
      <c r="D487" s="5">
        <v>0</v>
      </c>
      <c r="E487" s="5">
        <v>9000000</v>
      </c>
      <c r="F487" s="5">
        <v>5108171.4800000004</v>
      </c>
      <c r="G487" s="5">
        <v>-37339.160000000003</v>
      </c>
      <c r="H487" s="5">
        <v>-10485.19</v>
      </c>
      <c r="I487" s="5">
        <v>250000</v>
      </c>
      <c r="J487" s="5">
        <v>1788793.3912500001</v>
      </c>
    </row>
    <row r="488" spans="1:10" x14ac:dyDescent="0.25">
      <c r="A488" s="4" t="s">
        <v>922</v>
      </c>
      <c r="B488" s="5">
        <v>0</v>
      </c>
      <c r="C488" s="5">
        <v>0</v>
      </c>
      <c r="D488" s="5">
        <v>0</v>
      </c>
      <c r="E488" s="5">
        <v>0</v>
      </c>
      <c r="F488" s="5">
        <v>6947557</v>
      </c>
      <c r="G488" s="5">
        <v>450000</v>
      </c>
      <c r="H488" s="5">
        <v>150000</v>
      </c>
      <c r="I488" s="5">
        <v>450000</v>
      </c>
      <c r="J488" s="5">
        <v>999694.625</v>
      </c>
    </row>
    <row r="489" spans="1:10" x14ac:dyDescent="0.25">
      <c r="A489" s="4" t="s">
        <v>645</v>
      </c>
      <c r="B489" s="5">
        <v>0</v>
      </c>
      <c r="C489" s="5">
        <v>2097959.09</v>
      </c>
      <c r="D489" s="5">
        <v>-2097959.09</v>
      </c>
      <c r="E489" s="5">
        <v>0</v>
      </c>
      <c r="F489" s="5">
        <v>17031319</v>
      </c>
      <c r="G489" s="5">
        <v>91521530.775000006</v>
      </c>
      <c r="H489" s="5">
        <v>16833847.835000001</v>
      </c>
      <c r="I489" s="5">
        <v>5214962.41</v>
      </c>
      <c r="J489" s="5">
        <v>20092563.080000002</v>
      </c>
    </row>
    <row r="490" spans="1:10" x14ac:dyDescent="0.25">
      <c r="A490" s="4" t="s">
        <v>1242</v>
      </c>
      <c r="B490" s="5"/>
      <c r="C490" s="5"/>
      <c r="D490" s="5"/>
      <c r="E490" s="5"/>
      <c r="F490" s="5">
        <v>0</v>
      </c>
      <c r="G490" s="5"/>
      <c r="H490" s="5"/>
      <c r="I490" s="5"/>
      <c r="J490" s="5">
        <v>0</v>
      </c>
    </row>
    <row r="491" spans="1:10" x14ac:dyDescent="0.25">
      <c r="A491" s="4" t="s">
        <v>1041</v>
      </c>
      <c r="B491" s="5"/>
      <c r="C491" s="5">
        <v>0</v>
      </c>
      <c r="D491" s="5">
        <v>200000</v>
      </c>
      <c r="E491" s="5">
        <v>0</v>
      </c>
      <c r="F491" s="5">
        <v>76620614.989999995</v>
      </c>
      <c r="G491" s="5">
        <v>756244</v>
      </c>
      <c r="H491" s="5">
        <v>0</v>
      </c>
      <c r="I491" s="5">
        <v>0</v>
      </c>
      <c r="J491" s="5">
        <v>11082408.427142857</v>
      </c>
    </row>
    <row r="492" spans="1:10" x14ac:dyDescent="0.25">
      <c r="A492" s="4" t="s">
        <v>359</v>
      </c>
      <c r="B492" s="5">
        <v>0</v>
      </c>
      <c r="C492" s="5">
        <v>0</v>
      </c>
      <c r="D492" s="5">
        <v>0</v>
      </c>
      <c r="E492" s="5">
        <v>0</v>
      </c>
      <c r="F492" s="5">
        <v>0</v>
      </c>
      <c r="G492" s="5">
        <v>80000</v>
      </c>
      <c r="H492" s="5">
        <v>127246.39999999999</v>
      </c>
      <c r="I492" s="5">
        <v>2311685.73</v>
      </c>
      <c r="J492" s="5">
        <v>314866.51624999999</v>
      </c>
    </row>
    <row r="493" spans="1:10" x14ac:dyDescent="0.25">
      <c r="A493" s="4" t="s">
        <v>550</v>
      </c>
      <c r="B493" s="5">
        <v>0</v>
      </c>
      <c r="C493" s="5">
        <v>0</v>
      </c>
      <c r="D493" s="5"/>
      <c r="E493" s="5"/>
      <c r="F493" s="5">
        <v>0</v>
      </c>
      <c r="G493" s="5">
        <v>0</v>
      </c>
      <c r="H493" s="5">
        <v>0</v>
      </c>
      <c r="I493" s="5">
        <v>0</v>
      </c>
      <c r="J493" s="5">
        <v>0</v>
      </c>
    </row>
    <row r="494" spans="1:10" x14ac:dyDescent="0.25">
      <c r="A494" s="4" t="s">
        <v>732</v>
      </c>
      <c r="B494" s="5">
        <v>0</v>
      </c>
      <c r="C494" s="5">
        <v>0</v>
      </c>
      <c r="D494" s="5">
        <v>1294880</v>
      </c>
      <c r="E494" s="5">
        <v>6317036</v>
      </c>
      <c r="F494" s="5">
        <v>1880389</v>
      </c>
      <c r="G494" s="5">
        <v>0</v>
      </c>
      <c r="H494" s="5">
        <v>2200000</v>
      </c>
      <c r="I494" s="5">
        <v>0</v>
      </c>
      <c r="J494" s="5">
        <v>1461538.125</v>
      </c>
    </row>
    <row r="495" spans="1:10" x14ac:dyDescent="0.25">
      <c r="A495" s="4" t="s">
        <v>979</v>
      </c>
      <c r="B495" s="5"/>
      <c r="C495" s="5">
        <v>0</v>
      </c>
      <c r="D495" s="5"/>
      <c r="E495" s="5"/>
      <c r="F495" s="5"/>
      <c r="G495" s="5"/>
      <c r="H495" s="5"/>
      <c r="I495" s="5"/>
      <c r="J495" s="5">
        <v>0</v>
      </c>
    </row>
    <row r="496" spans="1:10" x14ac:dyDescent="0.25">
      <c r="A496" s="4" t="s">
        <v>948</v>
      </c>
      <c r="B496" s="5"/>
      <c r="C496" s="5">
        <v>0</v>
      </c>
      <c r="D496" s="5">
        <v>2496450.5</v>
      </c>
      <c r="E496" s="5">
        <v>0</v>
      </c>
      <c r="F496" s="5">
        <v>96537.76</v>
      </c>
      <c r="G496" s="5">
        <v>494652.21</v>
      </c>
      <c r="H496" s="5">
        <v>209350</v>
      </c>
      <c r="I496" s="5">
        <v>1020673.61</v>
      </c>
      <c r="J496" s="5">
        <v>647272.93999999994</v>
      </c>
    </row>
    <row r="497" spans="1:10" x14ac:dyDescent="0.25">
      <c r="A497" s="4" t="s">
        <v>947</v>
      </c>
      <c r="B497" s="5"/>
      <c r="C497" s="5">
        <v>0</v>
      </c>
      <c r="D497" s="5"/>
      <c r="E497" s="5"/>
      <c r="F497" s="5"/>
      <c r="G497" s="5"/>
      <c r="H497" s="5"/>
      <c r="I497" s="5"/>
      <c r="J497" s="5">
        <v>0</v>
      </c>
    </row>
    <row r="498" spans="1:10" x14ac:dyDescent="0.25">
      <c r="A498" s="4" t="s">
        <v>844</v>
      </c>
      <c r="B498" s="5">
        <v>8411.8700000000008</v>
      </c>
      <c r="C498" s="5">
        <v>96758.67</v>
      </c>
      <c r="D498" s="5">
        <v>205341.72</v>
      </c>
      <c r="E498" s="5">
        <v>113224.41</v>
      </c>
      <c r="F498" s="5">
        <v>683059.83</v>
      </c>
      <c r="G498" s="5">
        <v>416545.71</v>
      </c>
      <c r="H498" s="5">
        <v>234764.51</v>
      </c>
      <c r="I498" s="5">
        <v>106456.51</v>
      </c>
      <c r="J498" s="5">
        <v>233070.40375</v>
      </c>
    </row>
    <row r="499" spans="1:10" x14ac:dyDescent="0.25">
      <c r="A499" s="4" t="s">
        <v>765</v>
      </c>
      <c r="B499" s="5">
        <v>331544.38</v>
      </c>
      <c r="C499" s="5">
        <v>1873099.14</v>
      </c>
      <c r="D499" s="5">
        <v>327143.62</v>
      </c>
      <c r="E499" s="5">
        <v>689168.06</v>
      </c>
      <c r="F499" s="5">
        <v>547384.5</v>
      </c>
      <c r="G499" s="5">
        <v>594595.75</v>
      </c>
      <c r="H499" s="5">
        <v>183382.51</v>
      </c>
      <c r="I499" s="5">
        <v>238778.21</v>
      </c>
      <c r="J499" s="5">
        <v>598137.02124999999</v>
      </c>
    </row>
    <row r="500" spans="1:10" x14ac:dyDescent="0.25">
      <c r="A500" s="4" t="s">
        <v>892</v>
      </c>
      <c r="B500" s="5">
        <v>16312.69</v>
      </c>
      <c r="C500" s="5">
        <v>222797.96</v>
      </c>
      <c r="D500" s="5">
        <v>389318.44</v>
      </c>
      <c r="E500" s="5">
        <v>417206.6</v>
      </c>
      <c r="F500" s="5">
        <v>82699.37</v>
      </c>
      <c r="G500" s="5">
        <v>11096.53</v>
      </c>
      <c r="H500" s="5">
        <v>26490.81</v>
      </c>
      <c r="I500" s="5">
        <v>391958.91</v>
      </c>
      <c r="J500" s="5">
        <v>194735.16375000001</v>
      </c>
    </row>
    <row r="501" spans="1:10" x14ac:dyDescent="0.25">
      <c r="A501" s="4" t="s">
        <v>733</v>
      </c>
      <c r="B501" s="5">
        <v>208919.58</v>
      </c>
      <c r="C501" s="5">
        <v>399123.92</v>
      </c>
      <c r="D501" s="5">
        <v>-540000</v>
      </c>
      <c r="E501" s="5">
        <v>4820808.07</v>
      </c>
      <c r="F501" s="5">
        <v>0</v>
      </c>
      <c r="G501" s="5">
        <v>0</v>
      </c>
      <c r="H501" s="5">
        <v>0</v>
      </c>
      <c r="I501" s="5">
        <v>0</v>
      </c>
      <c r="J501" s="5">
        <v>611106.44625000004</v>
      </c>
    </row>
    <row r="502" spans="1:10" x14ac:dyDescent="0.25">
      <c r="A502" s="4" t="s">
        <v>20</v>
      </c>
      <c r="B502" s="5">
        <v>367956.15</v>
      </c>
      <c r="C502" s="5">
        <v>254549.14</v>
      </c>
      <c r="D502" s="5">
        <v>-100161.88</v>
      </c>
      <c r="E502" s="5">
        <v>1611216.13</v>
      </c>
      <c r="F502" s="5">
        <v>-5824.24</v>
      </c>
      <c r="G502" s="5">
        <v>432870.8</v>
      </c>
      <c r="H502" s="5">
        <v>6000</v>
      </c>
      <c r="I502" s="5">
        <v>0</v>
      </c>
      <c r="J502" s="5">
        <v>320825.76249999995</v>
      </c>
    </row>
    <row r="503" spans="1:10" x14ac:dyDescent="0.25">
      <c r="A503" s="4" t="s">
        <v>297</v>
      </c>
      <c r="B503" s="5">
        <v>157874.35</v>
      </c>
      <c r="C503" s="5">
        <v>60022955.880000003</v>
      </c>
      <c r="D503" s="5">
        <v>2356799.15</v>
      </c>
      <c r="E503" s="5">
        <v>24465833.66</v>
      </c>
      <c r="F503" s="5">
        <v>-15690888.6</v>
      </c>
      <c r="G503" s="5">
        <v>613391.80000000005</v>
      </c>
      <c r="H503" s="5">
        <v>-6749291.3399999999</v>
      </c>
      <c r="I503" s="5">
        <v>12936661.48</v>
      </c>
      <c r="J503" s="5">
        <v>9764167.0475000013</v>
      </c>
    </row>
    <row r="504" spans="1:10" x14ac:dyDescent="0.25">
      <c r="A504" s="4" t="s">
        <v>552</v>
      </c>
      <c r="B504" s="5">
        <v>1291248.77</v>
      </c>
      <c r="C504" s="5">
        <v>42935339.130000003</v>
      </c>
      <c r="D504" s="5">
        <v>1208584.1000000001</v>
      </c>
      <c r="E504" s="5">
        <v>0</v>
      </c>
      <c r="F504" s="5">
        <v>-387220.6</v>
      </c>
      <c r="G504" s="5">
        <v>347871.38</v>
      </c>
      <c r="H504" s="5">
        <v>0</v>
      </c>
      <c r="I504" s="5">
        <v>-1649181.18</v>
      </c>
      <c r="J504" s="5">
        <v>5468330.2000000011</v>
      </c>
    </row>
    <row r="505" spans="1:10" x14ac:dyDescent="0.25">
      <c r="A505" s="4" t="s">
        <v>751</v>
      </c>
      <c r="B505" s="5">
        <v>0</v>
      </c>
      <c r="C505" s="5"/>
      <c r="D505" s="5"/>
      <c r="E505" s="5">
        <v>0</v>
      </c>
      <c r="F505" s="5"/>
      <c r="G505" s="5">
        <v>10000</v>
      </c>
      <c r="H505" s="5"/>
      <c r="I505" s="5"/>
      <c r="J505" s="5">
        <v>3333.3333333333335</v>
      </c>
    </row>
    <row r="506" spans="1:10" x14ac:dyDescent="0.25">
      <c r="A506" s="4" t="s">
        <v>1053</v>
      </c>
      <c r="B506" s="5"/>
      <c r="C506" s="5">
        <v>0</v>
      </c>
      <c r="D506" s="5"/>
      <c r="E506" s="5"/>
      <c r="F506" s="5"/>
      <c r="G506" s="5"/>
      <c r="H506" s="5"/>
      <c r="I506" s="5"/>
      <c r="J506" s="5">
        <v>0</v>
      </c>
    </row>
    <row r="507" spans="1:10" x14ac:dyDescent="0.25">
      <c r="A507" s="4" t="s">
        <v>735</v>
      </c>
      <c r="B507" s="5">
        <v>249806</v>
      </c>
      <c r="C507" s="5">
        <v>58958.28</v>
      </c>
      <c r="D507" s="5">
        <v>116617.4</v>
      </c>
      <c r="E507" s="5">
        <v>135836.20000000001</v>
      </c>
      <c r="F507" s="5">
        <v>269543.14</v>
      </c>
      <c r="G507" s="5">
        <v>73312.41</v>
      </c>
      <c r="H507" s="5">
        <v>48596.63</v>
      </c>
      <c r="I507" s="5">
        <v>548265.46</v>
      </c>
      <c r="J507" s="5">
        <v>187616.94</v>
      </c>
    </row>
    <row r="508" spans="1:10" x14ac:dyDescent="0.25">
      <c r="A508" s="4" t="s">
        <v>1281</v>
      </c>
      <c r="B508" s="5"/>
      <c r="C508" s="5"/>
      <c r="D508" s="5"/>
      <c r="E508" s="5"/>
      <c r="F508" s="5"/>
      <c r="G508" s="5">
        <v>0</v>
      </c>
      <c r="H508" s="5"/>
      <c r="I508" s="5"/>
      <c r="J508" s="5">
        <v>0</v>
      </c>
    </row>
    <row r="509" spans="1:10" x14ac:dyDescent="0.25">
      <c r="A509" s="4" t="s">
        <v>1168</v>
      </c>
      <c r="B509" s="5"/>
      <c r="C509" s="5"/>
      <c r="D509" s="5"/>
      <c r="E509" s="5">
        <v>0</v>
      </c>
      <c r="F509" s="5">
        <v>0</v>
      </c>
      <c r="G509" s="5">
        <v>0</v>
      </c>
      <c r="H509" s="5"/>
      <c r="I509" s="5"/>
      <c r="J509" s="5">
        <v>0</v>
      </c>
    </row>
    <row r="510" spans="1:10" x14ac:dyDescent="0.25">
      <c r="A510" s="4" t="s">
        <v>960</v>
      </c>
      <c r="B510" s="5"/>
      <c r="C510" s="5">
        <v>0</v>
      </c>
      <c r="D510" s="5">
        <v>0</v>
      </c>
      <c r="E510" s="5">
        <v>0</v>
      </c>
      <c r="F510" s="5">
        <v>0</v>
      </c>
      <c r="G510" s="5"/>
      <c r="H510" s="5"/>
      <c r="I510" s="5"/>
      <c r="J510" s="5">
        <v>0</v>
      </c>
    </row>
    <row r="511" spans="1:10" x14ac:dyDescent="0.25">
      <c r="A511" s="4" t="s">
        <v>86</v>
      </c>
      <c r="B511" s="5">
        <v>1414072.9</v>
      </c>
      <c r="C511" s="5">
        <v>455225.72</v>
      </c>
      <c r="D511" s="5">
        <v>143902.14000000001</v>
      </c>
      <c r="E511" s="5">
        <v>311693.32</v>
      </c>
      <c r="F511" s="5">
        <v>4115870.06</v>
      </c>
      <c r="G511" s="5">
        <v>458910.25</v>
      </c>
      <c r="H511" s="5">
        <v>474519.57</v>
      </c>
      <c r="I511" s="5">
        <v>2176627.06</v>
      </c>
      <c r="J511" s="5">
        <v>1193852.6274999999</v>
      </c>
    </row>
    <row r="512" spans="1:10" x14ac:dyDescent="0.25">
      <c r="A512" s="4" t="s">
        <v>855</v>
      </c>
      <c r="B512" s="5">
        <v>123000</v>
      </c>
      <c r="C512" s="5">
        <v>339920.7</v>
      </c>
      <c r="D512" s="5">
        <v>268950</v>
      </c>
      <c r="E512" s="5">
        <v>-5122.92</v>
      </c>
      <c r="F512" s="5">
        <v>-50776.07</v>
      </c>
      <c r="G512" s="5"/>
      <c r="H512" s="5">
        <v>-223116.51</v>
      </c>
      <c r="I512" s="5"/>
      <c r="J512" s="5">
        <v>75475.866666666654</v>
      </c>
    </row>
    <row r="513" spans="1:10" x14ac:dyDescent="0.25">
      <c r="A513" s="4" t="s">
        <v>693</v>
      </c>
      <c r="B513" s="5">
        <v>2581172.4900000002</v>
      </c>
      <c r="C513" s="5">
        <v>4388796.4400000004</v>
      </c>
      <c r="D513" s="5">
        <v>9291472.3000000007</v>
      </c>
      <c r="E513" s="5">
        <v>10050227.58</v>
      </c>
      <c r="F513" s="5">
        <v>837365.6</v>
      </c>
      <c r="G513" s="5">
        <v>2055684.02</v>
      </c>
      <c r="H513" s="5">
        <v>17809802.510000002</v>
      </c>
      <c r="I513" s="5">
        <v>3706572.66</v>
      </c>
      <c r="J513" s="5">
        <v>6340136.7000000011</v>
      </c>
    </row>
    <row r="514" spans="1:10" x14ac:dyDescent="0.25">
      <c r="A514" s="4" t="s">
        <v>587</v>
      </c>
      <c r="B514" s="5">
        <v>100000</v>
      </c>
      <c r="C514" s="5">
        <v>50000</v>
      </c>
      <c r="D514" s="5">
        <v>0</v>
      </c>
      <c r="E514" s="5">
        <v>100000</v>
      </c>
      <c r="F514" s="5">
        <v>250000</v>
      </c>
      <c r="G514" s="5">
        <v>70000</v>
      </c>
      <c r="H514" s="5">
        <v>110000</v>
      </c>
      <c r="I514" s="5">
        <v>50000</v>
      </c>
      <c r="J514" s="5">
        <v>91250</v>
      </c>
    </row>
    <row r="515" spans="1:10" x14ac:dyDescent="0.25">
      <c r="A515" s="4" t="s">
        <v>473</v>
      </c>
      <c r="B515" s="5">
        <v>0</v>
      </c>
      <c r="C515" s="5">
        <v>156138.78</v>
      </c>
      <c r="D515" s="5">
        <v>4139.12</v>
      </c>
      <c r="E515" s="5">
        <v>69371.78</v>
      </c>
      <c r="F515" s="5">
        <v>26956.86</v>
      </c>
      <c r="G515" s="5">
        <v>1632164.26</v>
      </c>
      <c r="H515" s="5">
        <v>38298.080000000002</v>
      </c>
      <c r="I515" s="5">
        <v>22149.88</v>
      </c>
      <c r="J515" s="5">
        <v>243652.345</v>
      </c>
    </row>
    <row r="516" spans="1:10" x14ac:dyDescent="0.25">
      <c r="A516" s="4" t="s">
        <v>1184</v>
      </c>
      <c r="B516" s="5"/>
      <c r="C516" s="5"/>
      <c r="D516" s="5"/>
      <c r="E516" s="5">
        <v>1500000</v>
      </c>
      <c r="F516" s="5">
        <v>0</v>
      </c>
      <c r="G516" s="5">
        <v>100000</v>
      </c>
      <c r="H516" s="5">
        <v>250000</v>
      </c>
      <c r="I516" s="5">
        <v>0</v>
      </c>
      <c r="J516" s="5">
        <v>370000</v>
      </c>
    </row>
    <row r="517" spans="1:10" x14ac:dyDescent="0.25">
      <c r="A517" s="4" t="s">
        <v>1322</v>
      </c>
      <c r="B517" s="5"/>
      <c r="C517" s="5"/>
      <c r="D517" s="5"/>
      <c r="E517" s="5"/>
      <c r="F517" s="5"/>
      <c r="G517" s="5"/>
      <c r="H517" s="5"/>
      <c r="I517" s="5">
        <v>0</v>
      </c>
      <c r="J517" s="5">
        <v>0</v>
      </c>
    </row>
    <row r="518" spans="1:10" x14ac:dyDescent="0.25">
      <c r="A518" s="4" t="s">
        <v>259</v>
      </c>
      <c r="B518" s="5">
        <v>46000</v>
      </c>
      <c r="C518" s="5">
        <v>-10568.83</v>
      </c>
      <c r="D518" s="5">
        <v>0</v>
      </c>
      <c r="E518" s="5">
        <v>1039569</v>
      </c>
      <c r="F518" s="5">
        <v>0</v>
      </c>
      <c r="G518" s="5">
        <v>0</v>
      </c>
      <c r="H518" s="5">
        <v>-20000</v>
      </c>
      <c r="I518" s="5">
        <v>50000</v>
      </c>
      <c r="J518" s="5">
        <v>138125.02124999999</v>
      </c>
    </row>
    <row r="519" spans="1:10" x14ac:dyDescent="0.25">
      <c r="A519" s="4" t="s">
        <v>1108</v>
      </c>
      <c r="B519" s="5"/>
      <c r="C519" s="5"/>
      <c r="D519" s="5">
        <v>0</v>
      </c>
      <c r="E519" s="5"/>
      <c r="F519" s="5"/>
      <c r="G519" s="5"/>
      <c r="H519" s="5">
        <v>0</v>
      </c>
      <c r="I519" s="5"/>
      <c r="J519" s="5">
        <v>0</v>
      </c>
    </row>
    <row r="520" spans="1:10" x14ac:dyDescent="0.25">
      <c r="A520" s="4" t="s">
        <v>753</v>
      </c>
      <c r="B520" s="5">
        <v>0</v>
      </c>
      <c r="C520" s="5">
        <v>0</v>
      </c>
      <c r="D520" s="5">
        <v>8466998.0099999998</v>
      </c>
      <c r="E520" s="5">
        <v>52448038.490000002</v>
      </c>
      <c r="F520" s="5">
        <v>6570809.1200000001</v>
      </c>
      <c r="G520" s="5">
        <v>39716691.75</v>
      </c>
      <c r="H520" s="5">
        <v>31581953.23</v>
      </c>
      <c r="I520" s="5">
        <v>4330146.8499999996</v>
      </c>
      <c r="J520" s="5">
        <v>19410732.297777779</v>
      </c>
    </row>
    <row r="521" spans="1:10" x14ac:dyDescent="0.25">
      <c r="A521" s="4" t="s">
        <v>806</v>
      </c>
      <c r="B521" s="5">
        <v>353370.05</v>
      </c>
      <c r="C521" s="5">
        <v>2310892.835</v>
      </c>
      <c r="D521" s="5">
        <v>2810054.66</v>
      </c>
      <c r="E521" s="5">
        <v>3773818.1850000001</v>
      </c>
      <c r="F521" s="5">
        <v>4558589.585</v>
      </c>
      <c r="G521" s="5">
        <v>26587132.120000001</v>
      </c>
      <c r="H521" s="5">
        <v>21116234.504999999</v>
      </c>
      <c r="I521" s="5">
        <v>34304529.539999999</v>
      </c>
      <c r="J521" s="5">
        <v>10488314.227999998</v>
      </c>
    </row>
    <row r="522" spans="1:10" x14ac:dyDescent="0.25">
      <c r="A522" s="4" t="s">
        <v>766</v>
      </c>
      <c r="B522" s="5">
        <v>1804325.92</v>
      </c>
      <c r="C522" s="5">
        <v>233400</v>
      </c>
      <c r="D522" s="5">
        <v>4984209.28</v>
      </c>
      <c r="E522" s="5">
        <v>8181729.0700000003</v>
      </c>
      <c r="F522" s="5">
        <v>5095566.03</v>
      </c>
      <c r="G522" s="5">
        <v>21816300.969999999</v>
      </c>
      <c r="H522" s="5">
        <v>24063036.789999999</v>
      </c>
      <c r="I522" s="5">
        <v>9512315.0700000003</v>
      </c>
      <c r="J522" s="5">
        <v>9461360.3912499994</v>
      </c>
    </row>
    <row r="523" spans="1:10" x14ac:dyDescent="0.25">
      <c r="A523" s="4" t="s">
        <v>875</v>
      </c>
      <c r="B523" s="5">
        <v>7508405.1500000004</v>
      </c>
      <c r="C523" s="5">
        <v>4777789.2850000001</v>
      </c>
      <c r="D523" s="5">
        <v>-4427820.46</v>
      </c>
      <c r="E523" s="5">
        <v>5653914.0350000001</v>
      </c>
      <c r="F523" s="5">
        <v>14035123.23</v>
      </c>
      <c r="G523" s="5">
        <v>3420694.11</v>
      </c>
      <c r="H523" s="5">
        <v>4748043.38</v>
      </c>
      <c r="I523" s="5">
        <v>3816013.94</v>
      </c>
      <c r="J523" s="5">
        <v>4996386.5990000004</v>
      </c>
    </row>
    <row r="524" spans="1:10" x14ac:dyDescent="0.25">
      <c r="A524" s="4" t="s">
        <v>880</v>
      </c>
      <c r="B524" s="5">
        <v>0</v>
      </c>
      <c r="C524" s="5">
        <v>0</v>
      </c>
      <c r="D524" s="5">
        <v>395404.79999999999</v>
      </c>
      <c r="E524" s="5">
        <v>597679.995</v>
      </c>
      <c r="F524" s="5">
        <v>809869.81</v>
      </c>
      <c r="G524" s="5">
        <v>11340488.560000001</v>
      </c>
      <c r="H524" s="5">
        <v>5290093.5999999996</v>
      </c>
      <c r="I524" s="5">
        <v>5240433.28</v>
      </c>
      <c r="J524" s="5">
        <v>2123077.0541666667</v>
      </c>
    </row>
    <row r="525" spans="1:10" x14ac:dyDescent="0.25">
      <c r="A525" s="4" t="s">
        <v>897</v>
      </c>
      <c r="B525" s="5">
        <v>141492656.09</v>
      </c>
      <c r="C525" s="5">
        <v>111275801.33</v>
      </c>
      <c r="D525" s="5">
        <v>176707347.655</v>
      </c>
      <c r="E525" s="5">
        <v>277121555.16000003</v>
      </c>
      <c r="F525" s="5">
        <v>290599887.39499998</v>
      </c>
      <c r="G525" s="5">
        <v>164794100.56999999</v>
      </c>
      <c r="H525" s="5">
        <v>300171261.38499999</v>
      </c>
      <c r="I525" s="5">
        <v>156826365.62</v>
      </c>
      <c r="J525" s="5">
        <v>201465294.82777774</v>
      </c>
    </row>
    <row r="526" spans="1:10" x14ac:dyDescent="0.25">
      <c r="A526" s="4" t="s">
        <v>468</v>
      </c>
      <c r="B526" s="5">
        <v>65769449.994999997</v>
      </c>
      <c r="C526" s="5">
        <v>58667415.575000003</v>
      </c>
      <c r="D526" s="5">
        <v>66972685.030000001</v>
      </c>
      <c r="E526" s="5">
        <v>229209935.44999999</v>
      </c>
      <c r="F526" s="5">
        <v>106834559.92666666</v>
      </c>
      <c r="G526" s="5">
        <v>69202372.61333333</v>
      </c>
      <c r="H526" s="5">
        <v>84524023.530000001</v>
      </c>
      <c r="I526" s="5">
        <v>45191669.049999997</v>
      </c>
      <c r="J526" s="5">
        <v>90487841.937777758</v>
      </c>
    </row>
    <row r="527" spans="1:10" x14ac:dyDescent="0.25">
      <c r="A527" s="4" t="s">
        <v>883</v>
      </c>
      <c r="B527" s="5">
        <v>8444474.6799999997</v>
      </c>
      <c r="C527" s="5">
        <v>10867029.130000001</v>
      </c>
      <c r="D527" s="5">
        <v>184936988.47</v>
      </c>
      <c r="E527" s="5">
        <v>65488167.549999997</v>
      </c>
      <c r="F527" s="5">
        <v>46068812.979999997</v>
      </c>
      <c r="G527" s="5">
        <v>29472391.620000001</v>
      </c>
      <c r="H527" s="5">
        <v>289073432.66000003</v>
      </c>
      <c r="I527" s="5">
        <v>16351886.25</v>
      </c>
      <c r="J527" s="5">
        <v>81337897.917500004</v>
      </c>
    </row>
    <row r="528" spans="1:10" x14ac:dyDescent="0.25">
      <c r="A528" s="4" t="s">
        <v>834</v>
      </c>
      <c r="B528" s="5">
        <v>2089919.04</v>
      </c>
      <c r="C528" s="5">
        <v>5156378.71</v>
      </c>
      <c r="D528" s="5">
        <v>6011740.4800000004</v>
      </c>
      <c r="E528" s="5">
        <v>7570999.2800000003</v>
      </c>
      <c r="F528" s="5">
        <v>19084589.620000001</v>
      </c>
      <c r="G528" s="5">
        <v>31008777.48</v>
      </c>
      <c r="H528" s="5">
        <v>17716496.09</v>
      </c>
      <c r="I528" s="5">
        <v>5197397.32</v>
      </c>
      <c r="J528" s="5">
        <v>11729537.252500001</v>
      </c>
    </row>
    <row r="529" spans="1:10" x14ac:dyDescent="0.25">
      <c r="A529" s="4" t="s">
        <v>491</v>
      </c>
      <c r="B529" s="5">
        <v>0</v>
      </c>
      <c r="C529" s="5">
        <v>0</v>
      </c>
      <c r="D529" s="5">
        <v>57492162.594999999</v>
      </c>
      <c r="E529" s="5">
        <v>25970264.260000002</v>
      </c>
      <c r="F529" s="5">
        <v>7858644.375</v>
      </c>
      <c r="G529" s="5">
        <v>13642305.105</v>
      </c>
      <c r="H529" s="5">
        <v>16268866.765000001</v>
      </c>
      <c r="I529" s="5">
        <v>27410423.565000001</v>
      </c>
      <c r="J529" s="5">
        <v>19819022.222000003</v>
      </c>
    </row>
    <row r="530" spans="1:10" x14ac:dyDescent="0.25">
      <c r="A530" s="4" t="s">
        <v>512</v>
      </c>
      <c r="B530" s="5">
        <v>0</v>
      </c>
      <c r="C530" s="5">
        <v>14733881.82</v>
      </c>
      <c r="D530" s="5">
        <v>337756834.86000001</v>
      </c>
      <c r="E530" s="5">
        <v>5709623.3499999996</v>
      </c>
      <c r="F530" s="5">
        <v>59408409.25</v>
      </c>
      <c r="G530" s="5">
        <v>20842494.02</v>
      </c>
      <c r="H530" s="5">
        <v>702055868.45000005</v>
      </c>
      <c r="I530" s="5">
        <v>5500000</v>
      </c>
      <c r="J530" s="5">
        <v>143250888.96875</v>
      </c>
    </row>
    <row r="531" spans="1:10" x14ac:dyDescent="0.25">
      <c r="A531" s="4" t="s">
        <v>612</v>
      </c>
      <c r="B531" s="5">
        <v>0</v>
      </c>
      <c r="C531" s="5">
        <v>0</v>
      </c>
      <c r="D531" s="5">
        <v>0</v>
      </c>
      <c r="E531" s="5">
        <v>0</v>
      </c>
      <c r="F531" s="5">
        <v>0</v>
      </c>
      <c r="G531" s="5"/>
      <c r="H531" s="5">
        <v>0</v>
      </c>
      <c r="I531" s="5">
        <v>0</v>
      </c>
      <c r="J531" s="5">
        <v>0</v>
      </c>
    </row>
    <row r="532" spans="1:10" x14ac:dyDescent="0.25">
      <c r="A532" s="4" t="s">
        <v>197</v>
      </c>
      <c r="B532" s="5">
        <v>7313192.04</v>
      </c>
      <c r="C532" s="5">
        <v>39850630.600000001</v>
      </c>
      <c r="D532" s="5">
        <v>49463402.280000001</v>
      </c>
      <c r="E532" s="5">
        <v>18363144.690000001</v>
      </c>
      <c r="F532" s="5">
        <v>51574655.880000003</v>
      </c>
      <c r="G532" s="5">
        <v>38020679.920000002</v>
      </c>
      <c r="H532" s="5">
        <v>32700615.710000001</v>
      </c>
      <c r="I532" s="5">
        <v>62339486</v>
      </c>
      <c r="J532" s="5">
        <v>34104333.239999995</v>
      </c>
    </row>
    <row r="533" spans="1:10" x14ac:dyDescent="0.25">
      <c r="A533" s="4" t="s">
        <v>108</v>
      </c>
      <c r="B533" s="5">
        <v>4000000</v>
      </c>
      <c r="C533" s="5">
        <v>1000</v>
      </c>
      <c r="D533" s="5">
        <v>33000000</v>
      </c>
      <c r="E533" s="5">
        <v>43000000</v>
      </c>
      <c r="F533" s="5">
        <v>505000000</v>
      </c>
      <c r="G533" s="5">
        <v>0</v>
      </c>
      <c r="H533" s="5">
        <v>0</v>
      </c>
      <c r="I533" s="5">
        <v>0</v>
      </c>
      <c r="J533" s="5">
        <v>73125125</v>
      </c>
    </row>
    <row r="534" spans="1:10" x14ac:dyDescent="0.25">
      <c r="A534" s="4" t="s">
        <v>807</v>
      </c>
      <c r="B534" s="5">
        <v>401716.47</v>
      </c>
      <c r="C534" s="5">
        <v>78199</v>
      </c>
      <c r="D534" s="5">
        <v>1704369.53</v>
      </c>
      <c r="E534" s="5">
        <v>280297.65999999997</v>
      </c>
      <c r="F534" s="5">
        <v>1574319.83</v>
      </c>
      <c r="G534" s="5">
        <v>1086242.46</v>
      </c>
      <c r="H534" s="5">
        <v>3471919.33</v>
      </c>
      <c r="I534" s="5">
        <v>327703.90999999997</v>
      </c>
      <c r="J534" s="5">
        <v>1115596.0237500002</v>
      </c>
    </row>
    <row r="535" spans="1:10" x14ac:dyDescent="0.25">
      <c r="A535" s="4" t="s">
        <v>1230</v>
      </c>
      <c r="B535" s="5"/>
      <c r="C535" s="5"/>
      <c r="D535" s="5"/>
      <c r="E535" s="5"/>
      <c r="F535" s="5">
        <v>0</v>
      </c>
      <c r="G535" s="5"/>
      <c r="H535" s="5"/>
      <c r="I535" s="5"/>
      <c r="J535" s="5">
        <v>0</v>
      </c>
    </row>
    <row r="536" spans="1:10" x14ac:dyDescent="0.25">
      <c r="A536" s="4" t="s">
        <v>375</v>
      </c>
      <c r="B536" s="5">
        <v>2180000</v>
      </c>
      <c r="C536" s="5">
        <v>1090000</v>
      </c>
      <c r="D536" s="5">
        <v>1090000</v>
      </c>
      <c r="E536" s="5">
        <v>1090000</v>
      </c>
      <c r="F536" s="5">
        <v>1090000</v>
      </c>
      <c r="G536" s="5">
        <v>1090000</v>
      </c>
      <c r="H536" s="5">
        <v>1090000</v>
      </c>
      <c r="I536" s="5">
        <v>483812.8</v>
      </c>
      <c r="J536" s="5">
        <v>1150476.6000000001</v>
      </c>
    </row>
    <row r="537" spans="1:10" x14ac:dyDescent="0.25">
      <c r="A537" s="4" t="s">
        <v>1135</v>
      </c>
      <c r="B537" s="5"/>
      <c r="C537" s="5"/>
      <c r="D537" s="5">
        <v>1000000</v>
      </c>
      <c r="E537" s="5">
        <v>0</v>
      </c>
      <c r="F537" s="5">
        <v>0</v>
      </c>
      <c r="G537" s="5">
        <v>0</v>
      </c>
      <c r="H537" s="5">
        <v>0</v>
      </c>
      <c r="I537" s="5"/>
      <c r="J537" s="5">
        <v>200000</v>
      </c>
    </row>
    <row r="538" spans="1:10" x14ac:dyDescent="0.25">
      <c r="A538" s="4" t="s">
        <v>551</v>
      </c>
      <c r="B538" s="5">
        <v>198735.4</v>
      </c>
      <c r="C538" s="5">
        <v>96736.92</v>
      </c>
      <c r="D538" s="5">
        <v>257639.98</v>
      </c>
      <c r="E538" s="5">
        <v>363622.88</v>
      </c>
      <c r="F538" s="5">
        <v>127795.49</v>
      </c>
      <c r="G538" s="5">
        <v>16335.78</v>
      </c>
      <c r="H538" s="5">
        <v>284316.96000000002</v>
      </c>
      <c r="I538" s="5">
        <v>96747.89</v>
      </c>
      <c r="J538" s="5">
        <v>180241.41249999998</v>
      </c>
    </row>
    <row r="539" spans="1:10" x14ac:dyDescent="0.25">
      <c r="A539" s="4" t="s">
        <v>376</v>
      </c>
      <c r="B539" s="5">
        <v>0</v>
      </c>
      <c r="C539" s="5">
        <v>0</v>
      </c>
      <c r="D539" s="5">
        <v>0</v>
      </c>
      <c r="E539" s="5">
        <v>0</v>
      </c>
      <c r="F539" s="5"/>
      <c r="G539" s="5">
        <v>0</v>
      </c>
      <c r="H539" s="5">
        <v>0</v>
      </c>
      <c r="I539" s="5">
        <v>0</v>
      </c>
      <c r="J539" s="5">
        <v>0</v>
      </c>
    </row>
    <row r="540" spans="1:10" x14ac:dyDescent="0.25">
      <c r="A540" s="4" t="s">
        <v>910</v>
      </c>
      <c r="B540" s="5">
        <v>66972179959.949997</v>
      </c>
      <c r="C540" s="5">
        <v>2875732237</v>
      </c>
      <c r="D540" s="5">
        <v>3762377084.54</v>
      </c>
      <c r="E540" s="5">
        <v>2419403907.7800002</v>
      </c>
      <c r="F540" s="5">
        <v>2351943203.1399999</v>
      </c>
      <c r="G540" s="5">
        <v>3348216759.3200002</v>
      </c>
      <c r="H540" s="5">
        <v>2949067378.8800001</v>
      </c>
      <c r="I540" s="5">
        <v>596530842.19500005</v>
      </c>
      <c r="J540" s="5">
        <v>9541331357.2222214</v>
      </c>
    </row>
    <row r="541" spans="1:10" x14ac:dyDescent="0.25">
      <c r="A541" s="4" t="s">
        <v>1118</v>
      </c>
      <c r="B541" s="5"/>
      <c r="C541" s="5"/>
      <c r="D541" s="5">
        <v>150000</v>
      </c>
      <c r="E541" s="5"/>
      <c r="F541" s="5"/>
      <c r="G541" s="5"/>
      <c r="H541" s="5"/>
      <c r="I541" s="5">
        <v>35000</v>
      </c>
      <c r="J541" s="5">
        <v>92500</v>
      </c>
    </row>
    <row r="542" spans="1:10" x14ac:dyDescent="0.25">
      <c r="A542" s="4" t="s">
        <v>453</v>
      </c>
      <c r="B542" s="5">
        <v>0</v>
      </c>
      <c r="C542" s="5">
        <v>0</v>
      </c>
      <c r="D542" s="5"/>
      <c r="E542" s="5">
        <v>29995257</v>
      </c>
      <c r="F542" s="5">
        <v>17824499</v>
      </c>
      <c r="G542" s="5">
        <v>0</v>
      </c>
      <c r="H542" s="5">
        <v>0</v>
      </c>
      <c r="I542" s="5"/>
      <c r="J542" s="5">
        <v>7969959.333333333</v>
      </c>
    </row>
    <row r="543" spans="1:10" x14ac:dyDescent="0.25">
      <c r="A543" s="4" t="s">
        <v>706</v>
      </c>
      <c r="B543" s="5">
        <v>110846.09</v>
      </c>
      <c r="C543" s="5">
        <v>1384482.49</v>
      </c>
      <c r="D543" s="5">
        <v>3368034.53</v>
      </c>
      <c r="E543" s="5">
        <v>3206000</v>
      </c>
      <c r="F543" s="5">
        <v>1576824.1</v>
      </c>
      <c r="G543" s="5">
        <v>573891.98</v>
      </c>
      <c r="H543" s="5">
        <v>-1458775</v>
      </c>
      <c r="I543" s="5">
        <v>150000</v>
      </c>
      <c r="J543" s="5">
        <v>1113913.0237499999</v>
      </c>
    </row>
    <row r="544" spans="1:10" x14ac:dyDescent="0.25">
      <c r="A544" s="4" t="s">
        <v>878</v>
      </c>
      <c r="B544" s="5">
        <v>1648150.39</v>
      </c>
      <c r="C544" s="5">
        <v>7996182.2999999998</v>
      </c>
      <c r="D544" s="5">
        <v>5556213.9000000004</v>
      </c>
      <c r="E544" s="5">
        <v>11922503.51</v>
      </c>
      <c r="F544" s="5">
        <v>1811488.19</v>
      </c>
      <c r="G544" s="5">
        <v>6095599.1100000003</v>
      </c>
      <c r="H544" s="5">
        <v>10746645.210000001</v>
      </c>
      <c r="I544" s="5">
        <v>4279441.8600000003</v>
      </c>
      <c r="J544" s="5">
        <v>6257028.0587500008</v>
      </c>
    </row>
    <row r="545" spans="1:10" x14ac:dyDescent="0.25">
      <c r="A545" s="4" t="s">
        <v>513</v>
      </c>
      <c r="B545" s="5">
        <v>9000</v>
      </c>
      <c r="C545" s="5">
        <v>711039.14</v>
      </c>
      <c r="D545" s="5">
        <v>-306454.87</v>
      </c>
      <c r="E545" s="5">
        <v>25666.639999999999</v>
      </c>
      <c r="F545" s="5">
        <v>109551.03999999999</v>
      </c>
      <c r="G545" s="5">
        <v>-7858.6</v>
      </c>
      <c r="H545" s="5">
        <v>3693.34</v>
      </c>
      <c r="I545" s="5">
        <v>62200.17</v>
      </c>
      <c r="J545" s="5">
        <v>75854.607500000013</v>
      </c>
    </row>
    <row r="546" spans="1:10" x14ac:dyDescent="0.25">
      <c r="A546" s="4" t="s">
        <v>801</v>
      </c>
      <c r="B546" s="5">
        <v>2390529.41</v>
      </c>
      <c r="C546" s="5">
        <v>5448537.5199999996</v>
      </c>
      <c r="D546" s="5">
        <v>2198361.7599999998</v>
      </c>
      <c r="E546" s="5">
        <v>3545740.25</v>
      </c>
      <c r="F546" s="5">
        <v>3631045.47</v>
      </c>
      <c r="G546" s="5">
        <v>3187338.39</v>
      </c>
      <c r="H546" s="5">
        <v>4219163</v>
      </c>
      <c r="I546" s="5">
        <v>4745056.99</v>
      </c>
      <c r="J546" s="5">
        <v>3670721.5987499999</v>
      </c>
    </row>
    <row r="547" spans="1:10" x14ac:dyDescent="0.25">
      <c r="A547" s="4" t="s">
        <v>729</v>
      </c>
      <c r="B547" s="5">
        <v>43540321.799999997</v>
      </c>
      <c r="C547" s="5">
        <v>125204968.72</v>
      </c>
      <c r="D547" s="5">
        <v>22486883.949999999</v>
      </c>
      <c r="E547" s="5">
        <v>168245685.19999999</v>
      </c>
      <c r="F547" s="5">
        <v>46973334.649999999</v>
      </c>
      <c r="G547" s="5">
        <v>20016950.469999999</v>
      </c>
      <c r="H547" s="5">
        <v>3099845.08</v>
      </c>
      <c r="I547" s="5">
        <v>3772892.66</v>
      </c>
      <c r="J547" s="5">
        <v>54167610.316249996</v>
      </c>
    </row>
    <row r="548" spans="1:10" x14ac:dyDescent="0.25">
      <c r="A548" s="4" t="s">
        <v>907</v>
      </c>
      <c r="B548" s="5">
        <v>15243.2</v>
      </c>
      <c r="C548" s="5">
        <v>23979.07</v>
      </c>
      <c r="D548" s="5">
        <v>217527.35</v>
      </c>
      <c r="E548" s="5">
        <v>442485.69</v>
      </c>
      <c r="F548" s="5">
        <v>335044.52</v>
      </c>
      <c r="G548" s="5">
        <v>1114076.3500000001</v>
      </c>
      <c r="H548" s="5">
        <v>1031798.88</v>
      </c>
      <c r="I548" s="5">
        <v>573887.73</v>
      </c>
      <c r="J548" s="5">
        <v>469255.34875</v>
      </c>
    </row>
    <row r="549" spans="1:10" x14ac:dyDescent="0.25">
      <c r="A549" s="4" t="s">
        <v>680</v>
      </c>
      <c r="B549" s="5">
        <v>0</v>
      </c>
      <c r="C549" s="5"/>
      <c r="D549" s="5"/>
      <c r="E549" s="5"/>
      <c r="F549" s="5"/>
      <c r="G549" s="5"/>
      <c r="H549" s="5"/>
      <c r="I549" s="5"/>
      <c r="J549" s="5">
        <v>0</v>
      </c>
    </row>
    <row r="550" spans="1:10" x14ac:dyDescent="0.25">
      <c r="A550" s="4" t="s">
        <v>1075</v>
      </c>
      <c r="B550" s="5"/>
      <c r="C550" s="5"/>
      <c r="D550" s="5">
        <v>0</v>
      </c>
      <c r="E550" s="5">
        <v>0</v>
      </c>
      <c r="F550" s="5">
        <v>0</v>
      </c>
      <c r="G550" s="5"/>
      <c r="H550" s="5"/>
      <c r="I550" s="5"/>
      <c r="J550" s="5">
        <v>0</v>
      </c>
    </row>
    <row r="551" spans="1:10" x14ac:dyDescent="0.25">
      <c r="A551" s="4" t="s">
        <v>718</v>
      </c>
      <c r="B551" s="5">
        <v>38312330.07</v>
      </c>
      <c r="C551" s="5">
        <v>21531659.5</v>
      </c>
      <c r="D551" s="5">
        <v>16570422.199999999</v>
      </c>
      <c r="E551" s="5">
        <v>11267521.699999999</v>
      </c>
      <c r="F551" s="5">
        <v>85166300.010000005</v>
      </c>
      <c r="G551" s="5">
        <v>34249607.439999998</v>
      </c>
      <c r="H551" s="5">
        <v>4886379.95</v>
      </c>
      <c r="I551" s="5">
        <v>-5970559.1399999997</v>
      </c>
      <c r="J551" s="5">
        <v>25751707.716250002</v>
      </c>
    </row>
    <row r="552" spans="1:10" x14ac:dyDescent="0.25">
      <c r="A552" s="4" t="s">
        <v>1182</v>
      </c>
      <c r="B552" s="5"/>
      <c r="C552" s="5"/>
      <c r="D552" s="5"/>
      <c r="E552" s="5">
        <v>0</v>
      </c>
      <c r="F552" s="5"/>
      <c r="G552" s="5"/>
      <c r="H552" s="5"/>
      <c r="I552" s="5"/>
      <c r="J552" s="5">
        <v>0</v>
      </c>
    </row>
    <row r="553" spans="1:10" x14ac:dyDescent="0.25">
      <c r="A553" s="4" t="s">
        <v>853</v>
      </c>
      <c r="B553" s="5">
        <v>3002044.08</v>
      </c>
      <c r="C553" s="5">
        <v>1789450.9</v>
      </c>
      <c r="D553" s="5">
        <v>5012344.8899999997</v>
      </c>
      <c r="E553" s="5">
        <v>7781113.4699999997</v>
      </c>
      <c r="F553" s="5">
        <v>11830769.550000001</v>
      </c>
      <c r="G553" s="5">
        <v>11913253.119999999</v>
      </c>
      <c r="H553" s="5">
        <v>143865563.88</v>
      </c>
      <c r="I553" s="5">
        <v>814843.84</v>
      </c>
      <c r="J553" s="5">
        <v>23251172.966249999</v>
      </c>
    </row>
    <row r="554" spans="1:10" x14ac:dyDescent="0.25">
      <c r="A554" s="4" t="s">
        <v>268</v>
      </c>
      <c r="B554" s="5">
        <v>0</v>
      </c>
      <c r="C554" s="5">
        <v>0</v>
      </c>
      <c r="D554" s="5">
        <v>0</v>
      </c>
      <c r="E554" s="5">
        <v>0</v>
      </c>
      <c r="F554" s="5">
        <v>0</v>
      </c>
      <c r="G554" s="5">
        <v>137031</v>
      </c>
      <c r="H554" s="5">
        <v>188810</v>
      </c>
      <c r="I554" s="5">
        <v>0</v>
      </c>
      <c r="J554" s="5">
        <v>40730.125</v>
      </c>
    </row>
    <row r="555" spans="1:10" x14ac:dyDescent="0.25">
      <c r="A555" s="4" t="s">
        <v>798</v>
      </c>
      <c r="B555" s="5">
        <v>0</v>
      </c>
      <c r="C555" s="5">
        <v>0</v>
      </c>
      <c r="D555" s="5">
        <v>0</v>
      </c>
      <c r="E555" s="5">
        <v>0</v>
      </c>
      <c r="F555" s="5">
        <v>49000</v>
      </c>
      <c r="G555" s="5">
        <v>225000</v>
      </c>
      <c r="H555" s="5">
        <v>0</v>
      </c>
      <c r="I555" s="5">
        <v>243296.5</v>
      </c>
      <c r="J555" s="5">
        <v>68972.866666666669</v>
      </c>
    </row>
    <row r="556" spans="1:10" x14ac:dyDescent="0.25">
      <c r="A556" s="4" t="s">
        <v>1034</v>
      </c>
      <c r="B556" s="5"/>
      <c r="C556" s="5">
        <v>0</v>
      </c>
      <c r="D556" s="5">
        <v>0</v>
      </c>
      <c r="E556" s="5">
        <v>0</v>
      </c>
      <c r="F556" s="5">
        <v>0</v>
      </c>
      <c r="G556" s="5">
        <v>0</v>
      </c>
      <c r="H556" s="5">
        <v>0</v>
      </c>
      <c r="I556" s="5">
        <v>0</v>
      </c>
      <c r="J556" s="5">
        <v>0</v>
      </c>
    </row>
    <row r="557" spans="1:10" x14ac:dyDescent="0.25">
      <c r="A557" s="4" t="s">
        <v>1329</v>
      </c>
      <c r="B557" s="5"/>
      <c r="C557" s="5"/>
      <c r="D557" s="5"/>
      <c r="E557" s="5"/>
      <c r="F557" s="5"/>
      <c r="G557" s="5"/>
      <c r="H557" s="5"/>
      <c r="I557" s="5">
        <v>1500000</v>
      </c>
      <c r="J557" s="5">
        <v>1500000</v>
      </c>
    </row>
    <row r="558" spans="1:10" x14ac:dyDescent="0.25">
      <c r="A558" s="4" t="s">
        <v>713</v>
      </c>
      <c r="B558" s="5">
        <v>0</v>
      </c>
      <c r="C558" s="5">
        <v>0</v>
      </c>
      <c r="D558" s="5">
        <v>0</v>
      </c>
      <c r="E558" s="5">
        <v>0</v>
      </c>
      <c r="F558" s="5">
        <v>0</v>
      </c>
      <c r="G558" s="5">
        <v>0</v>
      </c>
      <c r="H558" s="5"/>
      <c r="I558" s="5"/>
      <c r="J558" s="5">
        <v>0</v>
      </c>
    </row>
    <row r="559" spans="1:10" x14ac:dyDescent="0.25">
      <c r="A559" s="4" t="s">
        <v>902</v>
      </c>
      <c r="B559" s="5">
        <v>146867.76999999999</v>
      </c>
      <c r="C559" s="5">
        <v>5057946.5199999996</v>
      </c>
      <c r="D559" s="5">
        <v>18525.03</v>
      </c>
      <c r="E559" s="5">
        <v>990070.56</v>
      </c>
      <c r="F559" s="5">
        <v>9141185.2899999991</v>
      </c>
      <c r="G559" s="5">
        <v>11386630.119999999</v>
      </c>
      <c r="H559" s="5">
        <v>5023122.72</v>
      </c>
      <c r="I559" s="5">
        <v>1991848.57</v>
      </c>
      <c r="J559" s="5">
        <v>4219524.5724999998</v>
      </c>
    </row>
    <row r="560" spans="1:10" x14ac:dyDescent="0.25">
      <c r="A560" s="4" t="s">
        <v>783</v>
      </c>
      <c r="B560" s="5">
        <v>0</v>
      </c>
      <c r="C560" s="5">
        <v>0</v>
      </c>
      <c r="D560" s="5">
        <v>0</v>
      </c>
      <c r="E560" s="5">
        <v>6000</v>
      </c>
      <c r="F560" s="5">
        <v>694402.82</v>
      </c>
      <c r="G560" s="5">
        <v>185418.53</v>
      </c>
      <c r="H560" s="5">
        <v>393384.96000000002</v>
      </c>
      <c r="I560" s="5">
        <v>585.62</v>
      </c>
      <c r="J560" s="5">
        <v>159973.99125000002</v>
      </c>
    </row>
    <row r="561" spans="1:10" x14ac:dyDescent="0.25">
      <c r="A561" s="4" t="s">
        <v>28</v>
      </c>
      <c r="B561" s="5">
        <v>8094685.2800000003</v>
      </c>
      <c r="C561" s="5">
        <v>3301432.97</v>
      </c>
      <c r="D561" s="5">
        <v>-101853.8</v>
      </c>
      <c r="E561" s="5">
        <v>8698600.9399999995</v>
      </c>
      <c r="F561" s="5">
        <v>36281804.039999999</v>
      </c>
      <c r="G561" s="5">
        <v>-22128.06</v>
      </c>
      <c r="H561" s="5">
        <v>-407207.9</v>
      </c>
      <c r="I561" s="5">
        <v>589224.94999999995</v>
      </c>
      <c r="J561" s="5">
        <v>7054319.8025000002</v>
      </c>
    </row>
    <row r="562" spans="1:10" x14ac:dyDescent="0.25">
      <c r="A562" s="4" t="s">
        <v>782</v>
      </c>
      <c r="B562" s="5">
        <v>0</v>
      </c>
      <c r="C562" s="5">
        <v>0</v>
      </c>
      <c r="D562" s="5">
        <v>3366.19</v>
      </c>
      <c r="E562" s="5">
        <v>2638.1</v>
      </c>
      <c r="F562" s="5">
        <v>0</v>
      </c>
      <c r="G562" s="5">
        <v>0</v>
      </c>
      <c r="H562" s="5">
        <v>388474.5</v>
      </c>
      <c r="I562" s="5">
        <v>2754004</v>
      </c>
      <c r="J562" s="5">
        <v>392995.25444444444</v>
      </c>
    </row>
    <row r="563" spans="1:10" x14ac:dyDescent="0.25">
      <c r="A563" s="4" t="s">
        <v>804</v>
      </c>
      <c r="B563" s="5">
        <v>548314.91</v>
      </c>
      <c r="C563" s="5">
        <v>2545452.35</v>
      </c>
      <c r="D563" s="5">
        <v>1966865.57</v>
      </c>
      <c r="E563" s="5">
        <v>8443313.6300000008</v>
      </c>
      <c r="F563" s="5">
        <v>10666812.550000001</v>
      </c>
      <c r="G563" s="5">
        <v>2142632.16</v>
      </c>
      <c r="H563" s="5">
        <v>2959044.18</v>
      </c>
      <c r="I563" s="5">
        <v>2538748.5499999998</v>
      </c>
      <c r="J563" s="5">
        <v>3976397.9875000003</v>
      </c>
    </row>
    <row r="564" spans="1:10" x14ac:dyDescent="0.25">
      <c r="A564" s="4" t="s">
        <v>503</v>
      </c>
      <c r="B564" s="5">
        <v>0</v>
      </c>
      <c r="C564" s="5">
        <v>0</v>
      </c>
      <c r="D564" s="5">
        <v>0</v>
      </c>
      <c r="E564" s="5">
        <v>39660396.049999997</v>
      </c>
      <c r="F564" s="5">
        <v>1007000</v>
      </c>
      <c r="G564" s="5">
        <v>1800000</v>
      </c>
      <c r="H564" s="5">
        <v>2167523</v>
      </c>
      <c r="I564" s="5">
        <v>27375268</v>
      </c>
      <c r="J564" s="5">
        <v>9001273.3812499996</v>
      </c>
    </row>
    <row r="565" spans="1:10" x14ac:dyDescent="0.25">
      <c r="A565" s="4" t="s">
        <v>741</v>
      </c>
      <c r="B565" s="5">
        <v>0</v>
      </c>
      <c r="C565" s="5">
        <v>16377.660000000002</v>
      </c>
      <c r="D565" s="5">
        <v>77790.11</v>
      </c>
      <c r="E565" s="5">
        <v>188533.82</v>
      </c>
      <c r="F565" s="5">
        <v>204537.405</v>
      </c>
      <c r="G565" s="5">
        <v>0</v>
      </c>
      <c r="H565" s="5">
        <v>271287.06</v>
      </c>
      <c r="I565" s="5">
        <v>48205.18</v>
      </c>
      <c r="J565" s="5">
        <v>94812.13692307692</v>
      </c>
    </row>
    <row r="566" spans="1:10" x14ac:dyDescent="0.25">
      <c r="A566" s="4" t="s">
        <v>866</v>
      </c>
      <c r="B566" s="5">
        <v>0</v>
      </c>
      <c r="C566" s="5">
        <v>0</v>
      </c>
      <c r="D566" s="5">
        <v>12824.74</v>
      </c>
      <c r="E566" s="5">
        <v>72155.8</v>
      </c>
      <c r="F566" s="5">
        <v>155802.76</v>
      </c>
      <c r="G566" s="5">
        <v>-362.52</v>
      </c>
      <c r="H566" s="5">
        <v>58052.01</v>
      </c>
      <c r="I566" s="5">
        <v>190947.79</v>
      </c>
      <c r="J566" s="5">
        <v>61177.572500000009</v>
      </c>
    </row>
    <row r="567" spans="1:10" x14ac:dyDescent="0.25">
      <c r="A567" s="4" t="s">
        <v>85</v>
      </c>
      <c r="B567" s="5">
        <v>0</v>
      </c>
      <c r="C567" s="5">
        <v>0</v>
      </c>
      <c r="D567" s="5">
        <v>15982.15</v>
      </c>
      <c r="E567" s="5">
        <v>426548.2</v>
      </c>
      <c r="F567" s="5">
        <v>247561.94</v>
      </c>
      <c r="G567" s="5">
        <v>789874.57</v>
      </c>
      <c r="H567" s="5">
        <v>225587.15</v>
      </c>
      <c r="I567" s="5">
        <v>108617.12</v>
      </c>
      <c r="J567" s="5">
        <v>226771.39124999999</v>
      </c>
    </row>
    <row r="568" spans="1:10" x14ac:dyDescent="0.25">
      <c r="A568" s="4" t="s">
        <v>692</v>
      </c>
      <c r="B568" s="5">
        <v>0</v>
      </c>
      <c r="C568" s="5">
        <v>0</v>
      </c>
      <c r="D568" s="5">
        <v>0</v>
      </c>
      <c r="E568" s="5">
        <v>0</v>
      </c>
      <c r="F568" s="5">
        <v>0</v>
      </c>
      <c r="G568" s="5">
        <v>0</v>
      </c>
      <c r="H568" s="5">
        <v>0</v>
      </c>
      <c r="I568" s="5">
        <v>0</v>
      </c>
      <c r="J568" s="5">
        <v>0</v>
      </c>
    </row>
    <row r="569" spans="1:10" x14ac:dyDescent="0.25">
      <c r="A569" s="4" t="s">
        <v>805</v>
      </c>
      <c r="B569" s="5">
        <v>98775</v>
      </c>
      <c r="C569" s="5">
        <v>35393327.210000001</v>
      </c>
      <c r="D569" s="5">
        <v>171845962.88</v>
      </c>
      <c r="E569" s="5">
        <v>1162094425.72</v>
      </c>
      <c r="F569" s="5">
        <v>218301562.31</v>
      </c>
      <c r="G569" s="5">
        <v>34068401.659999996</v>
      </c>
      <c r="H569" s="5">
        <v>12507.24</v>
      </c>
      <c r="I569" s="5">
        <v>87450</v>
      </c>
      <c r="J569" s="5">
        <v>202737801.5025</v>
      </c>
    </row>
    <row r="570" spans="1:10" x14ac:dyDescent="0.25">
      <c r="A570" s="4" t="s">
        <v>155</v>
      </c>
      <c r="B570" s="5">
        <v>117193.33</v>
      </c>
      <c r="C570" s="5">
        <v>207948.01</v>
      </c>
      <c r="D570" s="5">
        <v>-83920.6</v>
      </c>
      <c r="E570" s="5">
        <v>92789.99</v>
      </c>
      <c r="F570" s="5">
        <v>0</v>
      </c>
      <c r="G570" s="5">
        <v>0</v>
      </c>
      <c r="H570" s="5">
        <v>-798.79</v>
      </c>
      <c r="I570" s="5">
        <v>116519.42</v>
      </c>
      <c r="J570" s="5">
        <v>56216.420000000006</v>
      </c>
    </row>
    <row r="571" spans="1:10" x14ac:dyDescent="0.25">
      <c r="A571" s="4" t="s">
        <v>1237</v>
      </c>
      <c r="B571" s="5"/>
      <c r="C571" s="5"/>
      <c r="D571" s="5"/>
      <c r="E571" s="5"/>
      <c r="F571" s="5">
        <v>4723.04</v>
      </c>
      <c r="G571" s="5"/>
      <c r="H571" s="5">
        <v>0</v>
      </c>
      <c r="I571" s="5">
        <v>2927105.42</v>
      </c>
      <c r="J571" s="5">
        <v>977276.15333333332</v>
      </c>
    </row>
    <row r="572" spans="1:10" x14ac:dyDescent="0.25">
      <c r="A572" s="4" t="s">
        <v>1115</v>
      </c>
      <c r="B572" s="5"/>
      <c r="C572" s="5"/>
      <c r="D572" s="5">
        <v>100000</v>
      </c>
      <c r="E572" s="5">
        <v>0</v>
      </c>
      <c r="F572" s="5">
        <v>111307.98</v>
      </c>
      <c r="G572" s="5">
        <v>129306.08</v>
      </c>
      <c r="H572" s="5">
        <v>218047.34</v>
      </c>
      <c r="I572" s="5">
        <v>112015.2</v>
      </c>
      <c r="J572" s="5">
        <v>111779.43333333333</v>
      </c>
    </row>
    <row r="573" spans="1:10" x14ac:dyDescent="0.25">
      <c r="A573" s="4" t="s">
        <v>286</v>
      </c>
      <c r="B573" s="5">
        <v>0</v>
      </c>
      <c r="C573" s="5">
        <v>0</v>
      </c>
      <c r="D573" s="5">
        <v>0</v>
      </c>
      <c r="E573" s="5">
        <v>0</v>
      </c>
      <c r="F573" s="5">
        <v>0</v>
      </c>
      <c r="G573" s="5">
        <v>0</v>
      </c>
      <c r="H573" s="5">
        <v>0</v>
      </c>
      <c r="I573" s="5">
        <v>143250</v>
      </c>
      <c r="J573" s="5">
        <v>15916.666666666666</v>
      </c>
    </row>
    <row r="574" spans="1:10" x14ac:dyDescent="0.25">
      <c r="A574" s="4" t="s">
        <v>1186</v>
      </c>
      <c r="B574" s="5"/>
      <c r="C574" s="5"/>
      <c r="D574" s="5"/>
      <c r="E574" s="5">
        <v>0</v>
      </c>
      <c r="F574" s="5"/>
      <c r="G574" s="5"/>
      <c r="H574" s="5"/>
      <c r="I574" s="5"/>
      <c r="J574" s="5">
        <v>0</v>
      </c>
    </row>
    <row r="575" spans="1:10" x14ac:dyDescent="0.25">
      <c r="A575" s="4" t="s">
        <v>253</v>
      </c>
      <c r="B575" s="5">
        <v>9166.66</v>
      </c>
      <c r="C575" s="5">
        <v>9166.67</v>
      </c>
      <c r="D575" s="5">
        <v>109166.67</v>
      </c>
      <c r="E575" s="5">
        <v>0</v>
      </c>
      <c r="F575" s="5">
        <v>87500</v>
      </c>
      <c r="G575" s="5">
        <v>21913.93</v>
      </c>
      <c r="H575" s="5">
        <v>55000</v>
      </c>
      <c r="I575" s="5">
        <v>40000</v>
      </c>
      <c r="J575" s="5">
        <v>41323.769999999997</v>
      </c>
    </row>
    <row r="576" spans="1:10" x14ac:dyDescent="0.25">
      <c r="A576" s="4" t="s">
        <v>1185</v>
      </c>
      <c r="B576" s="5"/>
      <c r="C576" s="5"/>
      <c r="D576" s="5"/>
      <c r="E576" s="5">
        <v>100000</v>
      </c>
      <c r="F576" s="5">
        <v>40000</v>
      </c>
      <c r="G576" s="5">
        <v>168002.91</v>
      </c>
      <c r="H576" s="5">
        <v>310116.68</v>
      </c>
      <c r="I576" s="5">
        <v>64876.82</v>
      </c>
      <c r="J576" s="5">
        <v>136599.28200000001</v>
      </c>
    </row>
    <row r="577" spans="1:10" x14ac:dyDescent="0.25">
      <c r="A577" s="4" t="s">
        <v>1320</v>
      </c>
      <c r="B577" s="5"/>
      <c r="C577" s="5"/>
      <c r="D577" s="5"/>
      <c r="E577" s="5"/>
      <c r="F577" s="5"/>
      <c r="G577" s="5"/>
      <c r="H577" s="5"/>
      <c r="I577" s="5">
        <v>0</v>
      </c>
      <c r="J577" s="5">
        <v>0</v>
      </c>
    </row>
    <row r="578" spans="1:10" x14ac:dyDescent="0.25">
      <c r="A578" s="4" t="s">
        <v>386</v>
      </c>
      <c r="B578" s="5">
        <v>147222</v>
      </c>
      <c r="C578" s="5">
        <v>-147222</v>
      </c>
      <c r="D578" s="5">
        <v>180704.01</v>
      </c>
      <c r="E578" s="5">
        <v>1120500</v>
      </c>
      <c r="F578" s="5">
        <v>0</v>
      </c>
      <c r="G578" s="5">
        <v>0</v>
      </c>
      <c r="H578" s="5">
        <v>0</v>
      </c>
      <c r="I578" s="5">
        <v>0</v>
      </c>
      <c r="J578" s="5">
        <v>162650.50125</v>
      </c>
    </row>
    <row r="579" spans="1:10" x14ac:dyDescent="0.25">
      <c r="A579" s="4" t="s">
        <v>846</v>
      </c>
      <c r="B579" s="5">
        <v>24656</v>
      </c>
      <c r="C579" s="5">
        <v>-5097.41</v>
      </c>
      <c r="D579" s="5">
        <v>0</v>
      </c>
      <c r="E579" s="5">
        <v>104933.58</v>
      </c>
      <c r="F579" s="5">
        <v>102491.27</v>
      </c>
      <c r="G579" s="5">
        <v>77657.91</v>
      </c>
      <c r="H579" s="5">
        <v>43229.21</v>
      </c>
      <c r="I579" s="5">
        <v>10414.879999999999</v>
      </c>
      <c r="J579" s="5">
        <v>44785.68</v>
      </c>
    </row>
    <row r="580" spans="1:10" x14ac:dyDescent="0.25">
      <c r="A580" s="4" t="s">
        <v>171</v>
      </c>
      <c r="B580" s="5">
        <v>138666.67000000001</v>
      </c>
      <c r="C580" s="5"/>
      <c r="D580" s="5">
        <v>100761.28</v>
      </c>
      <c r="E580" s="5">
        <v>229855.35</v>
      </c>
      <c r="F580" s="5">
        <v>298991.45</v>
      </c>
      <c r="G580" s="5">
        <v>-77230</v>
      </c>
      <c r="H580" s="5">
        <v>1381160</v>
      </c>
      <c r="I580" s="5">
        <v>229999.66</v>
      </c>
      <c r="J580" s="5">
        <v>328886.34428571432</v>
      </c>
    </row>
    <row r="581" spans="1:10" x14ac:dyDescent="0.25">
      <c r="A581" s="4" t="s">
        <v>574</v>
      </c>
      <c r="B581" s="5">
        <v>8734082.1899999995</v>
      </c>
      <c r="C581" s="5">
        <v>-74331.839999999997</v>
      </c>
      <c r="D581" s="5">
        <v>3727024.8</v>
      </c>
      <c r="E581" s="5">
        <v>14851958.65</v>
      </c>
      <c r="F581" s="5">
        <v>11358284.859999999</v>
      </c>
      <c r="G581" s="5">
        <v>2831238.13</v>
      </c>
      <c r="H581" s="5">
        <v>10460487.539999999</v>
      </c>
      <c r="I581" s="5">
        <v>4376932.0650000004</v>
      </c>
      <c r="J581" s="5">
        <v>6738067.6066666665</v>
      </c>
    </row>
    <row r="582" spans="1:10" x14ac:dyDescent="0.25">
      <c r="A582" s="4" t="s">
        <v>872</v>
      </c>
      <c r="B582" s="5">
        <v>7000</v>
      </c>
      <c r="C582" s="5">
        <v>27595</v>
      </c>
      <c r="D582" s="5">
        <v>122453.31</v>
      </c>
      <c r="E582" s="5">
        <v>96618.89</v>
      </c>
      <c r="F582" s="5">
        <v>54236.9</v>
      </c>
      <c r="G582" s="5">
        <v>69807.33</v>
      </c>
      <c r="H582" s="5">
        <v>303633.55</v>
      </c>
      <c r="I582" s="5">
        <v>195408.9</v>
      </c>
      <c r="J582" s="5">
        <v>109594.235</v>
      </c>
    </row>
    <row r="583" spans="1:10" x14ac:dyDescent="0.25">
      <c r="A583" s="4" t="s">
        <v>838</v>
      </c>
      <c r="B583" s="5">
        <v>6525373.0300000003</v>
      </c>
      <c r="C583" s="5">
        <v>7296670.0999999996</v>
      </c>
      <c r="D583" s="5">
        <v>12419992.57</v>
      </c>
      <c r="E583" s="5">
        <v>32506821.329999998</v>
      </c>
      <c r="F583" s="5">
        <v>19230656.850000001</v>
      </c>
      <c r="G583" s="5">
        <v>37070848.079999998</v>
      </c>
      <c r="H583" s="5">
        <v>18532000.289999999</v>
      </c>
      <c r="I583" s="5">
        <v>45581069.270000003</v>
      </c>
      <c r="J583" s="5">
        <v>22395428.940000001</v>
      </c>
    </row>
    <row r="584" spans="1:10" x14ac:dyDescent="0.25">
      <c r="A584" s="4" t="s">
        <v>723</v>
      </c>
      <c r="B584" s="5">
        <v>299000</v>
      </c>
      <c r="C584" s="5">
        <v>430000</v>
      </c>
      <c r="D584" s="5">
        <v>599278.29</v>
      </c>
      <c r="E584" s="5">
        <v>35870.230000000003</v>
      </c>
      <c r="F584" s="5">
        <v>0</v>
      </c>
      <c r="G584" s="5">
        <v>392820</v>
      </c>
      <c r="H584" s="5">
        <v>219225</v>
      </c>
      <c r="I584" s="5">
        <v>2485700</v>
      </c>
      <c r="J584" s="5">
        <v>557736.68999999994</v>
      </c>
    </row>
    <row r="585" spans="1:10" x14ac:dyDescent="0.25">
      <c r="A585" s="4" t="s">
        <v>971</v>
      </c>
      <c r="B585" s="5"/>
      <c r="C585" s="5">
        <v>0</v>
      </c>
      <c r="D585" s="5">
        <v>0</v>
      </c>
      <c r="E585" s="5">
        <v>0</v>
      </c>
      <c r="F585" s="5">
        <v>0</v>
      </c>
      <c r="G585" s="5">
        <v>1978109.7</v>
      </c>
      <c r="H585" s="5">
        <v>175410</v>
      </c>
      <c r="I585" s="5">
        <v>-174870.33</v>
      </c>
      <c r="J585" s="5">
        <v>282664.19571428571</v>
      </c>
    </row>
    <row r="586" spans="1:10" x14ac:dyDescent="0.25">
      <c r="A586" s="4" t="s">
        <v>909</v>
      </c>
      <c r="B586" s="5">
        <v>48540646.030000001</v>
      </c>
      <c r="C586" s="5">
        <v>36486384.055</v>
      </c>
      <c r="D586" s="5">
        <v>71089341.659999996</v>
      </c>
      <c r="E586" s="5">
        <v>182140320.97</v>
      </c>
      <c r="F586" s="5">
        <v>65381272.789999999</v>
      </c>
      <c r="G586" s="5">
        <v>-55766.65</v>
      </c>
      <c r="H586" s="5">
        <v>11332093.82</v>
      </c>
      <c r="I586" s="5">
        <v>25588094.260000002</v>
      </c>
      <c r="J586" s="5">
        <v>56598976.301538467</v>
      </c>
    </row>
    <row r="587" spans="1:10" x14ac:dyDescent="0.25">
      <c r="A587" s="4" t="s">
        <v>701</v>
      </c>
      <c r="B587" s="5">
        <v>5592324.4299999997</v>
      </c>
      <c r="C587" s="5">
        <v>5803909.4800000004</v>
      </c>
      <c r="D587" s="5">
        <v>6227146.54</v>
      </c>
      <c r="E587" s="5">
        <v>27120893.120000001</v>
      </c>
      <c r="F587" s="5">
        <v>8459126.2400000002</v>
      </c>
      <c r="G587" s="5">
        <v>6092303.8399999999</v>
      </c>
      <c r="H587" s="5">
        <v>2431299.63</v>
      </c>
      <c r="I587" s="5">
        <v>1213068.27</v>
      </c>
      <c r="J587" s="5">
        <v>7867508.9437500015</v>
      </c>
    </row>
    <row r="588" spans="1:10" x14ac:dyDescent="0.25">
      <c r="A588" s="4" t="s">
        <v>860</v>
      </c>
      <c r="B588" s="5">
        <v>3023552</v>
      </c>
      <c r="C588" s="5">
        <v>3314378.38</v>
      </c>
      <c r="D588" s="5">
        <v>5364481.51</v>
      </c>
      <c r="E588" s="5">
        <v>10651944.08</v>
      </c>
      <c r="F588" s="5">
        <v>4845709.1900000004</v>
      </c>
      <c r="G588" s="5">
        <v>2039983.76</v>
      </c>
      <c r="H588" s="5">
        <v>2440420.9500000002</v>
      </c>
      <c r="I588" s="5">
        <v>2130096.9700000002</v>
      </c>
      <c r="J588" s="5">
        <v>4226320.8550000004</v>
      </c>
    </row>
    <row r="589" spans="1:10" x14ac:dyDescent="0.25">
      <c r="A589" s="4" t="s">
        <v>819</v>
      </c>
      <c r="B589" s="5">
        <v>52683.81</v>
      </c>
      <c r="C589" s="5">
        <v>366572.83</v>
      </c>
      <c r="D589" s="5">
        <v>1504824.11</v>
      </c>
      <c r="E589" s="5">
        <v>865459.54</v>
      </c>
      <c r="F589" s="5">
        <v>582499.21</v>
      </c>
      <c r="G589" s="5">
        <v>690185.12</v>
      </c>
      <c r="H589" s="5">
        <v>486448.93</v>
      </c>
      <c r="I589" s="5">
        <v>383908.68</v>
      </c>
      <c r="J589" s="5">
        <v>616572.77874999994</v>
      </c>
    </row>
    <row r="590" spans="1:10" x14ac:dyDescent="0.25">
      <c r="A590" s="4" t="s">
        <v>465</v>
      </c>
      <c r="B590" s="5">
        <v>127482.5</v>
      </c>
      <c r="C590" s="5">
        <v>49105.73</v>
      </c>
      <c r="D590" s="5">
        <v>3940.79</v>
      </c>
      <c r="E590" s="5">
        <v>-2832.09</v>
      </c>
      <c r="F590" s="5">
        <v>3382.88</v>
      </c>
      <c r="G590" s="5">
        <v>195664.1</v>
      </c>
      <c r="H590" s="5">
        <v>1908610.86</v>
      </c>
      <c r="I590" s="5">
        <v>2833270.18</v>
      </c>
      <c r="J590" s="5">
        <v>639828.11875000002</v>
      </c>
    </row>
    <row r="591" spans="1:10" x14ac:dyDescent="0.25">
      <c r="A591" s="4" t="s">
        <v>708</v>
      </c>
      <c r="B591" s="5">
        <v>2373019.25</v>
      </c>
      <c r="C591" s="5">
        <v>24332.85</v>
      </c>
      <c r="D591" s="5">
        <v>17628.82</v>
      </c>
      <c r="E591" s="5">
        <v>-207337.345</v>
      </c>
      <c r="F591" s="5">
        <v>353065.315</v>
      </c>
      <c r="G591" s="5">
        <v>333840.15000000002</v>
      </c>
      <c r="H591" s="5">
        <v>828603.68500000006</v>
      </c>
      <c r="I591" s="5">
        <v>2542140.29</v>
      </c>
      <c r="J591" s="5">
        <v>543959.03500000003</v>
      </c>
    </row>
    <row r="592" spans="1:10" x14ac:dyDescent="0.25">
      <c r="A592" s="4" t="s">
        <v>370</v>
      </c>
      <c r="B592" s="5">
        <v>458744.34</v>
      </c>
      <c r="C592" s="5">
        <v>393962.18</v>
      </c>
      <c r="D592" s="5">
        <v>292208.74</v>
      </c>
      <c r="E592" s="5">
        <v>1694357.27</v>
      </c>
      <c r="F592" s="5">
        <v>13725.12</v>
      </c>
      <c r="G592" s="5">
        <v>428658.06</v>
      </c>
      <c r="H592" s="5">
        <v>-978906.63</v>
      </c>
      <c r="I592" s="5">
        <v>144282.18</v>
      </c>
      <c r="J592" s="5">
        <v>305878.90750000009</v>
      </c>
    </row>
    <row r="593" spans="1:10" x14ac:dyDescent="0.25">
      <c r="A593" s="4" t="s">
        <v>780</v>
      </c>
      <c r="B593" s="5">
        <v>6657284.3099999996</v>
      </c>
      <c r="C593" s="5">
        <v>1909013.98</v>
      </c>
      <c r="D593" s="5">
        <v>483737.14</v>
      </c>
      <c r="E593" s="5">
        <v>9183487.6300000008</v>
      </c>
      <c r="F593" s="5">
        <v>5010331.04</v>
      </c>
      <c r="G593" s="5">
        <v>254378.81</v>
      </c>
      <c r="H593" s="5">
        <v>5932708.9000000004</v>
      </c>
      <c r="I593" s="5">
        <v>2315158.58</v>
      </c>
      <c r="J593" s="5">
        <v>3968262.5487500001</v>
      </c>
    </row>
    <row r="594" spans="1:10" x14ac:dyDescent="0.25">
      <c r="A594" s="4" t="s">
        <v>677</v>
      </c>
      <c r="B594" s="5">
        <v>94799</v>
      </c>
      <c r="C594" s="5">
        <v>431.2</v>
      </c>
      <c r="D594" s="5">
        <v>0</v>
      </c>
      <c r="E594" s="5">
        <v>120000</v>
      </c>
      <c r="F594" s="5">
        <v>4238035.26</v>
      </c>
      <c r="G594" s="5">
        <v>241371.32</v>
      </c>
      <c r="H594" s="5">
        <v>616303.32999999996</v>
      </c>
      <c r="I594" s="5">
        <v>6629.37</v>
      </c>
      <c r="J594" s="5">
        <v>664696.18500000006</v>
      </c>
    </row>
    <row r="595" spans="1:10" x14ac:dyDescent="0.25">
      <c r="A595" s="4" t="s">
        <v>800</v>
      </c>
      <c r="B595" s="5">
        <v>68000</v>
      </c>
      <c r="C595" s="5">
        <v>139891.41</v>
      </c>
      <c r="D595" s="5">
        <v>3677873.43</v>
      </c>
      <c r="E595" s="5">
        <v>6316566.9900000002</v>
      </c>
      <c r="F595" s="5">
        <v>2585877.58</v>
      </c>
      <c r="G595" s="5">
        <v>3261683.92</v>
      </c>
      <c r="H595" s="5">
        <v>2321234.59</v>
      </c>
      <c r="I595" s="5">
        <v>2256452</v>
      </c>
      <c r="J595" s="5">
        <v>2578447.4900000002</v>
      </c>
    </row>
    <row r="596" spans="1:10" x14ac:dyDescent="0.25">
      <c r="A596" s="4" t="s">
        <v>869</v>
      </c>
      <c r="B596" s="5">
        <v>733996.3</v>
      </c>
      <c r="C596" s="5">
        <v>0</v>
      </c>
      <c r="D596" s="5">
        <v>136535.25</v>
      </c>
      <c r="E596" s="5">
        <v>1062020.79</v>
      </c>
      <c r="F596" s="5">
        <v>14613165.67</v>
      </c>
      <c r="G596" s="5">
        <v>20956020.829999998</v>
      </c>
      <c r="H596" s="5">
        <v>16204589.300000001</v>
      </c>
      <c r="I596" s="5">
        <v>10341765.92</v>
      </c>
      <c r="J596" s="5">
        <v>8006011.7575000003</v>
      </c>
    </row>
    <row r="597" spans="1:10" x14ac:dyDescent="0.25">
      <c r="A597" s="4" t="s">
        <v>131</v>
      </c>
      <c r="B597" s="5">
        <v>3644.39</v>
      </c>
      <c r="C597" s="5">
        <v>51570.080000000002</v>
      </c>
      <c r="D597" s="5">
        <v>227144.2</v>
      </c>
      <c r="E597" s="5">
        <v>2063293.57</v>
      </c>
      <c r="F597" s="5">
        <v>950627.5</v>
      </c>
      <c r="G597" s="5">
        <v>102250.86</v>
      </c>
      <c r="H597" s="5">
        <v>285138.31</v>
      </c>
      <c r="I597" s="5">
        <v>1110841.29</v>
      </c>
      <c r="J597" s="5">
        <v>599313.77500000002</v>
      </c>
    </row>
    <row r="598" spans="1:10" x14ac:dyDescent="0.25">
      <c r="A598" s="4" t="s">
        <v>637</v>
      </c>
      <c r="B598" s="5">
        <v>19912</v>
      </c>
      <c r="C598" s="5">
        <v>266206.74</v>
      </c>
      <c r="D598" s="5">
        <v>1148992.1100000001</v>
      </c>
      <c r="E598" s="5">
        <v>8318278.0700000003</v>
      </c>
      <c r="F598" s="5">
        <v>4331493.95</v>
      </c>
      <c r="G598" s="5">
        <v>2403148.66</v>
      </c>
      <c r="H598" s="5">
        <v>3436506.24</v>
      </c>
      <c r="I598" s="5">
        <v>1927842.62</v>
      </c>
      <c r="J598" s="5">
        <v>2731547.5487500005</v>
      </c>
    </row>
    <row r="599" spans="1:10" x14ac:dyDescent="0.25">
      <c r="A599" s="4" t="s">
        <v>620</v>
      </c>
      <c r="B599" s="5">
        <v>0</v>
      </c>
      <c r="C599" s="5">
        <v>2216702</v>
      </c>
      <c r="D599" s="5">
        <v>2448930.7000000002</v>
      </c>
      <c r="E599" s="5">
        <v>5719828.1799999997</v>
      </c>
      <c r="F599" s="5">
        <v>19158990.629999999</v>
      </c>
      <c r="G599" s="5">
        <v>507992.8</v>
      </c>
      <c r="H599" s="5">
        <v>958127.8</v>
      </c>
      <c r="I599" s="5">
        <v>440250.96</v>
      </c>
      <c r="J599" s="5">
        <v>3931352.88375</v>
      </c>
    </row>
    <row r="600" spans="1:10" x14ac:dyDescent="0.25">
      <c r="A600" s="4" t="s">
        <v>867</v>
      </c>
      <c r="B600" s="5">
        <v>254186.45</v>
      </c>
      <c r="C600" s="5">
        <v>2292593.52</v>
      </c>
      <c r="D600" s="5">
        <v>1426155.77</v>
      </c>
      <c r="E600" s="5">
        <v>12383271.279999999</v>
      </c>
      <c r="F600" s="5">
        <v>4557214.8499999996</v>
      </c>
      <c r="G600" s="5">
        <v>9628260.7699999996</v>
      </c>
      <c r="H600" s="5">
        <v>10197738.869999999</v>
      </c>
      <c r="I600" s="5">
        <v>11135544.01</v>
      </c>
      <c r="J600" s="5">
        <v>6484370.6899999995</v>
      </c>
    </row>
    <row r="601" spans="1:10" x14ac:dyDescent="0.25">
      <c r="A601" s="4" t="s">
        <v>368</v>
      </c>
      <c r="B601" s="5">
        <v>23800</v>
      </c>
      <c r="C601" s="5">
        <v>226458.08</v>
      </c>
      <c r="D601" s="5">
        <v>352419.6</v>
      </c>
      <c r="E601" s="5">
        <v>37344.43</v>
      </c>
      <c r="F601" s="5">
        <v>1103802.6200000001</v>
      </c>
      <c r="G601" s="5">
        <v>1462844.28</v>
      </c>
      <c r="H601" s="5">
        <v>568744.56000000006</v>
      </c>
      <c r="I601" s="5">
        <v>354015.84</v>
      </c>
      <c r="J601" s="5">
        <v>516178.67624999996</v>
      </c>
    </row>
    <row r="602" spans="1:10" x14ac:dyDescent="0.25">
      <c r="A602" s="4" t="s">
        <v>874</v>
      </c>
      <c r="B602" s="5">
        <v>283558.55</v>
      </c>
      <c r="C602" s="5">
        <v>344459.5</v>
      </c>
      <c r="D602" s="5">
        <v>1472428.94</v>
      </c>
      <c r="E602" s="5">
        <v>1826106.25</v>
      </c>
      <c r="F602" s="5">
        <v>1529043.24</v>
      </c>
      <c r="G602" s="5">
        <v>1261786.1299999999</v>
      </c>
      <c r="H602" s="5">
        <v>3362565.12</v>
      </c>
      <c r="I602" s="5">
        <v>2497328.5699999998</v>
      </c>
      <c r="J602" s="5">
        <v>1572159.5375000001</v>
      </c>
    </row>
    <row r="603" spans="1:10" x14ac:dyDescent="0.25">
      <c r="A603" s="4" t="s">
        <v>554</v>
      </c>
      <c r="B603" s="5">
        <v>0</v>
      </c>
      <c r="C603" s="5">
        <v>0</v>
      </c>
      <c r="D603" s="5">
        <v>0</v>
      </c>
      <c r="E603" s="5"/>
      <c r="F603" s="5"/>
      <c r="G603" s="5"/>
      <c r="H603" s="5"/>
      <c r="I603" s="5"/>
      <c r="J603" s="5">
        <v>0</v>
      </c>
    </row>
    <row r="604" spans="1:10" x14ac:dyDescent="0.25">
      <c r="A604" s="4" t="s">
        <v>850</v>
      </c>
      <c r="B604" s="5">
        <v>71726.53</v>
      </c>
      <c r="C604" s="5">
        <v>812213.18</v>
      </c>
      <c r="D604" s="5">
        <v>3996661.34</v>
      </c>
      <c r="E604" s="5">
        <v>1604385.83</v>
      </c>
      <c r="F604" s="5">
        <v>3478532.16</v>
      </c>
      <c r="G604" s="5">
        <v>5390499.9900000002</v>
      </c>
      <c r="H604" s="5">
        <v>1166143.8999999999</v>
      </c>
      <c r="I604" s="5">
        <v>651877.18000000005</v>
      </c>
      <c r="J604" s="5">
        <v>2146505.0137499999</v>
      </c>
    </row>
    <row r="605" spans="1:10" x14ac:dyDescent="0.25">
      <c r="A605" s="4" t="s">
        <v>1295</v>
      </c>
      <c r="B605" s="5"/>
      <c r="C605" s="5"/>
      <c r="D605" s="5"/>
      <c r="E605" s="5"/>
      <c r="F605" s="5"/>
      <c r="G605" s="5"/>
      <c r="H605" s="5">
        <v>0</v>
      </c>
      <c r="I605" s="5"/>
      <c r="J605" s="5">
        <v>0</v>
      </c>
    </row>
    <row r="606" spans="1:10" x14ac:dyDescent="0.25">
      <c r="A606" s="4" t="s">
        <v>436</v>
      </c>
      <c r="B606" s="5">
        <v>0</v>
      </c>
      <c r="C606" s="5">
        <v>0</v>
      </c>
      <c r="D606" s="5">
        <v>1466287</v>
      </c>
      <c r="E606" s="5">
        <v>-600000</v>
      </c>
      <c r="F606" s="5">
        <v>2959304.77</v>
      </c>
      <c r="G606" s="5">
        <v>4073150.13</v>
      </c>
      <c r="H606" s="5">
        <v>-4453882.4400000004</v>
      </c>
      <c r="I606" s="5">
        <v>148780.65</v>
      </c>
      <c r="J606" s="5">
        <v>449205.01374999998</v>
      </c>
    </row>
    <row r="607" spans="1:10" x14ac:dyDescent="0.25">
      <c r="A607" s="4" t="s">
        <v>864</v>
      </c>
      <c r="B607" s="5">
        <v>297024.45</v>
      </c>
      <c r="C607" s="5">
        <v>1254905.74</v>
      </c>
      <c r="D607" s="5">
        <v>2341844.5</v>
      </c>
      <c r="E607" s="5">
        <v>1312559.72</v>
      </c>
      <c r="F607" s="5">
        <v>3651441.09</v>
      </c>
      <c r="G607" s="5">
        <v>2465969.5</v>
      </c>
      <c r="H607" s="5">
        <v>3457752.64</v>
      </c>
      <c r="I607" s="5">
        <v>2586981.52</v>
      </c>
      <c r="J607" s="5">
        <v>2171059.895</v>
      </c>
    </row>
    <row r="608" spans="1:10" x14ac:dyDescent="0.25">
      <c r="A608" s="4" t="s">
        <v>541</v>
      </c>
      <c r="B608" s="5">
        <v>676669.43999999994</v>
      </c>
      <c r="C608" s="5">
        <v>16986.599999999999</v>
      </c>
      <c r="D608" s="5">
        <v>49306.44</v>
      </c>
      <c r="E608" s="5">
        <v>121097.72</v>
      </c>
      <c r="F608" s="5">
        <v>68392.03</v>
      </c>
      <c r="G608" s="5">
        <v>185671.48</v>
      </c>
      <c r="H608" s="5">
        <v>427564.26</v>
      </c>
      <c r="I608" s="5">
        <v>835.36</v>
      </c>
      <c r="J608" s="5">
        <v>193315.41625000001</v>
      </c>
    </row>
    <row r="609" spans="1:10" x14ac:dyDescent="0.25">
      <c r="A609" s="4" t="s">
        <v>41</v>
      </c>
      <c r="B609" s="5">
        <v>592107.64</v>
      </c>
      <c r="C609" s="5">
        <v>5560483.7000000002</v>
      </c>
      <c r="D609" s="5">
        <v>1561694.49</v>
      </c>
      <c r="E609" s="5">
        <v>4123699.86</v>
      </c>
      <c r="F609" s="5">
        <v>5004087.91</v>
      </c>
      <c r="G609" s="5">
        <v>791361.03</v>
      </c>
      <c r="H609" s="5">
        <v>3793953.83</v>
      </c>
      <c r="I609" s="5">
        <v>2594250.48</v>
      </c>
      <c r="J609" s="5">
        <v>3002704.8675000002</v>
      </c>
    </row>
    <row r="610" spans="1:10" x14ac:dyDescent="0.25">
      <c r="A610" s="4" t="s">
        <v>761</v>
      </c>
      <c r="B610" s="5">
        <v>7067941.4900000002</v>
      </c>
      <c r="C610" s="5">
        <v>63113790.509999998</v>
      </c>
      <c r="D610" s="5">
        <v>226819168.94999999</v>
      </c>
      <c r="E610" s="5">
        <v>256554842.66</v>
      </c>
      <c r="F610" s="5">
        <v>194487147.81999999</v>
      </c>
      <c r="G610" s="5">
        <v>124455564.34</v>
      </c>
      <c r="H610" s="5">
        <v>118242537.41</v>
      </c>
      <c r="I610" s="5">
        <v>34394506.25</v>
      </c>
      <c r="J610" s="5">
        <v>128141937.42875001</v>
      </c>
    </row>
    <row r="611" spans="1:10" x14ac:dyDescent="0.25">
      <c r="A611" s="4" t="s">
        <v>975</v>
      </c>
      <c r="B611" s="5"/>
      <c r="C611" s="5">
        <v>0</v>
      </c>
      <c r="D611" s="5"/>
      <c r="E611" s="5"/>
      <c r="F611" s="5"/>
      <c r="G611" s="5"/>
      <c r="H611" s="5"/>
      <c r="I611" s="5"/>
      <c r="J611" s="5">
        <v>0</v>
      </c>
    </row>
    <row r="612" spans="1:10" x14ac:dyDescent="0.25">
      <c r="A612" s="4" t="s">
        <v>384</v>
      </c>
      <c r="B612" s="5">
        <v>0</v>
      </c>
      <c r="C612" s="5">
        <v>0</v>
      </c>
      <c r="D612" s="5">
        <v>616432.77</v>
      </c>
      <c r="E612" s="5">
        <v>219071.98</v>
      </c>
      <c r="F612" s="5">
        <v>395367.81</v>
      </c>
      <c r="G612" s="5">
        <v>752080.89</v>
      </c>
      <c r="H612" s="5">
        <v>1361147.4</v>
      </c>
      <c r="I612" s="5">
        <v>6659974.5999999996</v>
      </c>
      <c r="J612" s="5">
        <v>1250509.4312499999</v>
      </c>
    </row>
    <row r="613" spans="1:10" x14ac:dyDescent="0.25">
      <c r="A613" s="4" t="s">
        <v>728</v>
      </c>
      <c r="B613" s="5">
        <v>0</v>
      </c>
      <c r="C613" s="5">
        <v>0</v>
      </c>
      <c r="D613" s="5">
        <v>509092.46</v>
      </c>
      <c r="E613" s="5">
        <v>303005.63</v>
      </c>
      <c r="F613" s="5">
        <v>246637.6</v>
      </c>
      <c r="G613" s="5">
        <v>1147493.3</v>
      </c>
      <c r="H613" s="5">
        <v>864667.11499999999</v>
      </c>
      <c r="I613" s="5">
        <v>271018.26</v>
      </c>
      <c r="J613" s="5">
        <v>429476.12181818183</v>
      </c>
    </row>
    <row r="614" spans="1:10" x14ac:dyDescent="0.25">
      <c r="A614" s="4" t="s">
        <v>561</v>
      </c>
      <c r="B614" s="5">
        <v>0</v>
      </c>
      <c r="C614" s="5">
        <v>0</v>
      </c>
      <c r="D614" s="5">
        <v>1048070.91</v>
      </c>
      <c r="E614" s="5">
        <v>826358.91</v>
      </c>
      <c r="F614" s="5">
        <v>113588.77499999999</v>
      </c>
      <c r="G614" s="5">
        <v>678146.24</v>
      </c>
      <c r="H614" s="5">
        <v>888976.67</v>
      </c>
      <c r="I614" s="5">
        <v>3071661.72</v>
      </c>
      <c r="J614" s="5">
        <v>748932.4444444445</v>
      </c>
    </row>
    <row r="615" spans="1:10" x14ac:dyDescent="0.25">
      <c r="A615" s="4" t="s">
        <v>525</v>
      </c>
      <c r="B615" s="5">
        <v>0</v>
      </c>
      <c r="C615" s="5">
        <v>0</v>
      </c>
      <c r="D615" s="5">
        <v>397320</v>
      </c>
      <c r="E615" s="5">
        <v>488419</v>
      </c>
      <c r="F615" s="5">
        <v>1145000</v>
      </c>
      <c r="G615" s="5">
        <v>1199300</v>
      </c>
      <c r="H615" s="5">
        <v>100000</v>
      </c>
      <c r="I615" s="5">
        <v>-30000</v>
      </c>
      <c r="J615" s="5">
        <v>412504.875</v>
      </c>
    </row>
    <row r="616" spans="1:10" x14ac:dyDescent="0.25">
      <c r="A616" s="4" t="s">
        <v>928</v>
      </c>
      <c r="B616" s="5"/>
      <c r="C616" s="5">
        <v>0</v>
      </c>
      <c r="D616" s="5"/>
      <c r="E616" s="5"/>
      <c r="F616" s="5"/>
      <c r="G616" s="5"/>
      <c r="H616" s="5"/>
      <c r="I616" s="5"/>
      <c r="J616" s="5">
        <v>0</v>
      </c>
    </row>
    <row r="617" spans="1:10" x14ac:dyDescent="0.25">
      <c r="A617" s="4" t="s">
        <v>362</v>
      </c>
      <c r="B617" s="5">
        <v>1484581.4550000001</v>
      </c>
      <c r="C617" s="5">
        <v>7218166.8049999997</v>
      </c>
      <c r="D617" s="5">
        <v>17820368.07</v>
      </c>
      <c r="E617" s="5">
        <v>28374286.789999999</v>
      </c>
      <c r="F617" s="5">
        <v>35811275.520000003</v>
      </c>
      <c r="G617" s="5">
        <v>6274310.3700000001</v>
      </c>
      <c r="H617" s="5">
        <v>4386054.66</v>
      </c>
      <c r="I617" s="5">
        <v>35639920.32</v>
      </c>
      <c r="J617" s="5">
        <v>14571171.225</v>
      </c>
    </row>
    <row r="618" spans="1:10" x14ac:dyDescent="0.25">
      <c r="A618" s="4" t="s">
        <v>884</v>
      </c>
      <c r="B618" s="5">
        <v>332116.13</v>
      </c>
      <c r="C618" s="5">
        <v>649057.9</v>
      </c>
      <c r="D618" s="5">
        <v>321381.98</v>
      </c>
      <c r="E618" s="5">
        <v>428159.95</v>
      </c>
      <c r="F618" s="5">
        <v>125099.32</v>
      </c>
      <c r="G618" s="5">
        <v>192875.88</v>
      </c>
      <c r="H618" s="5">
        <v>168774.1</v>
      </c>
      <c r="I618" s="5">
        <v>223045.52</v>
      </c>
      <c r="J618" s="5">
        <v>305063.84750000003</v>
      </c>
    </row>
    <row r="619" spans="1:10" x14ac:dyDescent="0.25">
      <c r="A619" s="4" t="s">
        <v>647</v>
      </c>
      <c r="B619" s="5">
        <v>0</v>
      </c>
      <c r="C619" s="5">
        <v>0</v>
      </c>
      <c r="D619" s="5">
        <v>0</v>
      </c>
      <c r="E619" s="5">
        <v>0</v>
      </c>
      <c r="F619" s="5">
        <v>2052122.42</v>
      </c>
      <c r="G619" s="5">
        <v>162321.78</v>
      </c>
      <c r="H619" s="5">
        <v>119421.44</v>
      </c>
      <c r="I619" s="5">
        <v>51379.040000000001</v>
      </c>
      <c r="J619" s="5">
        <v>298155.58499999996</v>
      </c>
    </row>
    <row r="620" spans="1:10" x14ac:dyDescent="0.25">
      <c r="A620" s="4" t="s">
        <v>1109</v>
      </c>
      <c r="B620" s="5"/>
      <c r="C620" s="5"/>
      <c r="D620" s="5">
        <v>0</v>
      </c>
      <c r="E620" s="5">
        <v>0</v>
      </c>
      <c r="F620" s="5"/>
      <c r="G620" s="5">
        <v>299358.09999999998</v>
      </c>
      <c r="H620" s="5"/>
      <c r="I620" s="5">
        <v>0</v>
      </c>
      <c r="J620" s="5">
        <v>59871.619999999995</v>
      </c>
    </row>
    <row r="621" spans="1:10" x14ac:dyDescent="0.25">
      <c r="A621" s="4" t="s">
        <v>618</v>
      </c>
      <c r="B621" s="5">
        <v>128296774.09</v>
      </c>
      <c r="C621" s="5">
        <v>130242282.93000001</v>
      </c>
      <c r="D621" s="5">
        <v>156665817.41999999</v>
      </c>
      <c r="E621" s="5">
        <v>198457479.09999999</v>
      </c>
      <c r="F621" s="5">
        <v>18675612.84</v>
      </c>
      <c r="G621" s="5">
        <v>193536662.78999999</v>
      </c>
      <c r="H621" s="5">
        <v>14467788.699999999</v>
      </c>
      <c r="I621" s="5">
        <v>28598327.280000001</v>
      </c>
      <c r="J621" s="5">
        <v>107839857.38166666</v>
      </c>
    </row>
    <row r="622" spans="1:10" x14ac:dyDescent="0.25">
      <c r="A622" s="4" t="s">
        <v>291</v>
      </c>
      <c r="B622" s="5">
        <v>25905717.385000002</v>
      </c>
      <c r="C622" s="5">
        <v>1584317234.1400001</v>
      </c>
      <c r="D622" s="5">
        <v>357556656.61000001</v>
      </c>
      <c r="E622" s="5">
        <v>138748928.00999999</v>
      </c>
      <c r="F622" s="5">
        <v>272205006.88</v>
      </c>
      <c r="G622" s="5">
        <v>188129850.33000001</v>
      </c>
      <c r="H622" s="5">
        <v>386893287.24000001</v>
      </c>
      <c r="I622" s="5">
        <v>102643011.73</v>
      </c>
      <c r="J622" s="5">
        <v>342478378.85666662</v>
      </c>
    </row>
    <row r="623" spans="1:10" x14ac:dyDescent="0.25">
      <c r="A623" s="4" t="s">
        <v>899</v>
      </c>
      <c r="B623" s="5">
        <v>0</v>
      </c>
      <c r="C623" s="5">
        <v>0</v>
      </c>
      <c r="D623" s="5">
        <v>0</v>
      </c>
      <c r="E623" s="5">
        <v>0</v>
      </c>
      <c r="F623" s="5">
        <v>0</v>
      </c>
      <c r="G623" s="5">
        <v>0</v>
      </c>
      <c r="H623" s="5">
        <v>0</v>
      </c>
      <c r="I623" s="5">
        <v>0</v>
      </c>
      <c r="J623" s="5">
        <v>0</v>
      </c>
    </row>
    <row r="624" spans="1:10" x14ac:dyDescent="0.25">
      <c r="A624" s="4" t="s">
        <v>322</v>
      </c>
      <c r="B624" s="5">
        <v>508365.6</v>
      </c>
      <c r="C624" s="5">
        <v>3250000</v>
      </c>
      <c r="D624" s="5">
        <v>7862396.5</v>
      </c>
      <c r="E624" s="5">
        <v>2735000</v>
      </c>
      <c r="F624" s="5">
        <v>2146019.5</v>
      </c>
      <c r="G624" s="5">
        <v>9979960.75</v>
      </c>
      <c r="H624" s="5">
        <v>2200756.62</v>
      </c>
      <c r="I624" s="5">
        <v>11210813.42</v>
      </c>
      <c r="J624" s="5">
        <v>4986664.0487500001</v>
      </c>
    </row>
    <row r="625" spans="1:10" x14ac:dyDescent="0.25">
      <c r="A625" s="4" t="s">
        <v>1161</v>
      </c>
      <c r="B625" s="5"/>
      <c r="C625" s="5"/>
      <c r="D625" s="5"/>
      <c r="E625" s="5">
        <v>0</v>
      </c>
      <c r="F625" s="5">
        <v>0</v>
      </c>
      <c r="G625" s="5">
        <v>196000</v>
      </c>
      <c r="H625" s="5">
        <v>0</v>
      </c>
      <c r="I625" s="5">
        <v>0</v>
      </c>
      <c r="J625" s="5">
        <v>32666.666666666668</v>
      </c>
    </row>
    <row r="626" spans="1:10" x14ac:dyDescent="0.25">
      <c r="A626" s="4" t="s">
        <v>674</v>
      </c>
      <c r="B626" s="5">
        <v>29134704.93</v>
      </c>
      <c r="C626" s="5">
        <v>12760019.67</v>
      </c>
      <c r="D626" s="5">
        <v>22441273.829999998</v>
      </c>
      <c r="E626" s="5">
        <v>32380814.890000001</v>
      </c>
      <c r="F626" s="5">
        <v>18915962.129999999</v>
      </c>
      <c r="G626" s="5">
        <v>3441915.19</v>
      </c>
      <c r="H626" s="5">
        <v>32020309.239999998</v>
      </c>
      <c r="I626" s="5">
        <v>16532612.210000001</v>
      </c>
      <c r="J626" s="5">
        <v>20953451.51125</v>
      </c>
    </row>
    <row r="627" spans="1:10" x14ac:dyDescent="0.25">
      <c r="A627" s="4" t="s">
        <v>817</v>
      </c>
      <c r="B627" s="5">
        <v>230222433.74000001</v>
      </c>
      <c r="C627" s="5">
        <v>217047009.31999999</v>
      </c>
      <c r="D627" s="5">
        <v>96406199.040000007</v>
      </c>
      <c r="E627" s="5">
        <v>371846176.00999999</v>
      </c>
      <c r="F627" s="5">
        <v>88029215.480000004</v>
      </c>
      <c r="G627" s="5">
        <v>208668028.68000001</v>
      </c>
      <c r="H627" s="5">
        <v>301238910.00999999</v>
      </c>
      <c r="I627" s="5">
        <v>22138890.920000002</v>
      </c>
      <c r="J627" s="5">
        <v>191949607.90000001</v>
      </c>
    </row>
    <row r="628" spans="1:10" x14ac:dyDescent="0.25">
      <c r="A628" s="4" t="s">
        <v>712</v>
      </c>
      <c r="B628" s="5">
        <v>1756000</v>
      </c>
      <c r="C628" s="5">
        <v>18610610.100000001</v>
      </c>
      <c r="D628" s="5">
        <v>6808000</v>
      </c>
      <c r="E628" s="5">
        <v>12538086</v>
      </c>
      <c r="F628" s="5">
        <v>25020952</v>
      </c>
      <c r="G628" s="5">
        <v>8754554</v>
      </c>
      <c r="H628" s="5">
        <v>300000</v>
      </c>
      <c r="I628" s="5">
        <v>3282569.3</v>
      </c>
      <c r="J628" s="5">
        <v>9633846.4249999989</v>
      </c>
    </row>
    <row r="629" spans="1:10" x14ac:dyDescent="0.25">
      <c r="A629" s="4" t="s">
        <v>186</v>
      </c>
      <c r="B629" s="5">
        <v>124215.33</v>
      </c>
      <c r="C629" s="5">
        <v>167122655.52000001</v>
      </c>
      <c r="D629" s="5">
        <v>78762390.864999995</v>
      </c>
      <c r="E629" s="5">
        <v>189517890.94</v>
      </c>
      <c r="F629" s="5">
        <v>90442214.950000003</v>
      </c>
      <c r="G629" s="5">
        <v>205072068.72999999</v>
      </c>
      <c r="H629" s="5">
        <v>201483743.69</v>
      </c>
      <c r="I629" s="5">
        <v>752729.68</v>
      </c>
      <c r="J629" s="5">
        <v>110248251.55200002</v>
      </c>
    </row>
    <row r="630" spans="1:10" x14ac:dyDescent="0.25">
      <c r="A630" s="4" t="s">
        <v>190</v>
      </c>
      <c r="B630" s="5">
        <v>2548040.79</v>
      </c>
      <c r="C630" s="5">
        <v>43263235.469999999</v>
      </c>
      <c r="D630" s="5">
        <v>20955053.870000001</v>
      </c>
      <c r="E630" s="5">
        <v>50361177.960000001</v>
      </c>
      <c r="F630" s="5">
        <v>24244150.09</v>
      </c>
      <c r="G630" s="5">
        <v>54698089.609999999</v>
      </c>
      <c r="H630" s="5">
        <v>48007701.109999999</v>
      </c>
      <c r="I630" s="5">
        <v>201063.56</v>
      </c>
      <c r="J630" s="5">
        <v>28947771.642000001</v>
      </c>
    </row>
    <row r="631" spans="1:10" x14ac:dyDescent="0.25">
      <c r="A631" s="4" t="s">
        <v>646</v>
      </c>
      <c r="B631" s="5">
        <v>3319382.51</v>
      </c>
      <c r="C631" s="5">
        <v>909677.66</v>
      </c>
      <c r="D631" s="5">
        <v>1996010.55</v>
      </c>
      <c r="E631" s="5">
        <v>1454647.97</v>
      </c>
      <c r="F631" s="5">
        <v>17351147.27</v>
      </c>
      <c r="G631" s="5">
        <v>1779218.12</v>
      </c>
      <c r="H631" s="5">
        <v>1427434.48</v>
      </c>
      <c r="I631" s="5">
        <v>981912.11</v>
      </c>
      <c r="J631" s="5">
        <v>3652428.8337500002</v>
      </c>
    </row>
    <row r="632" spans="1:10" x14ac:dyDescent="0.25">
      <c r="A632" s="4" t="s">
        <v>1294</v>
      </c>
      <c r="B632" s="5"/>
      <c r="C632" s="5"/>
      <c r="D632" s="5"/>
      <c r="E632" s="5"/>
      <c r="F632" s="5"/>
      <c r="G632" s="5"/>
      <c r="H632" s="5">
        <v>26565</v>
      </c>
      <c r="I632" s="5">
        <v>0</v>
      </c>
      <c r="J632" s="5">
        <v>13282.5</v>
      </c>
    </row>
    <row r="633" spans="1:10" x14ac:dyDescent="0.25">
      <c r="A633" s="4" t="s">
        <v>235</v>
      </c>
      <c r="B633" s="5">
        <v>141585.54</v>
      </c>
      <c r="C633" s="5">
        <v>30893.22</v>
      </c>
      <c r="D633" s="5">
        <v>20236.63</v>
      </c>
      <c r="E633" s="5">
        <v>216099.38</v>
      </c>
      <c r="F633" s="5">
        <v>46279.26</v>
      </c>
      <c r="G633" s="5">
        <v>29712.95</v>
      </c>
      <c r="H633" s="5">
        <v>101845.96</v>
      </c>
      <c r="I633" s="5">
        <v>47171.26</v>
      </c>
      <c r="J633" s="5">
        <v>79228.025000000009</v>
      </c>
    </row>
    <row r="634" spans="1:10" x14ac:dyDescent="0.25">
      <c r="A634" s="4" t="s">
        <v>1187</v>
      </c>
      <c r="B634" s="5"/>
      <c r="C634" s="5"/>
      <c r="D634" s="5"/>
      <c r="E634" s="5">
        <v>0</v>
      </c>
      <c r="F634" s="5"/>
      <c r="G634" s="5"/>
      <c r="H634" s="5"/>
      <c r="I634" s="5">
        <v>10757334</v>
      </c>
      <c r="J634" s="5">
        <v>5378667</v>
      </c>
    </row>
    <row r="635" spans="1:10" x14ac:dyDescent="0.25">
      <c r="A635" s="4" t="s">
        <v>1203</v>
      </c>
      <c r="B635" s="5"/>
      <c r="C635" s="5"/>
      <c r="D635" s="5"/>
      <c r="E635" s="5">
        <v>700000</v>
      </c>
      <c r="F635" s="5">
        <v>0</v>
      </c>
      <c r="G635" s="5">
        <v>0</v>
      </c>
      <c r="H635" s="5">
        <v>1547748</v>
      </c>
      <c r="I635" s="5">
        <v>0</v>
      </c>
      <c r="J635" s="5">
        <v>449549.6</v>
      </c>
    </row>
    <row r="636" spans="1:10" x14ac:dyDescent="0.25">
      <c r="A636" s="4" t="s">
        <v>962</v>
      </c>
      <c r="B636" s="5"/>
      <c r="C636" s="5">
        <v>0</v>
      </c>
      <c r="D636" s="5"/>
      <c r="E636" s="5"/>
      <c r="F636" s="5"/>
      <c r="G636" s="5"/>
      <c r="H636" s="5"/>
      <c r="I636" s="5">
        <v>70000</v>
      </c>
      <c r="J636" s="5">
        <v>35000</v>
      </c>
    </row>
    <row r="637" spans="1:10" x14ac:dyDescent="0.25">
      <c r="A637" s="4" t="s">
        <v>716</v>
      </c>
      <c r="B637" s="5">
        <v>1444619</v>
      </c>
      <c r="C637" s="5">
        <v>2980093.64</v>
      </c>
      <c r="D637" s="5">
        <v>5645946.8799999999</v>
      </c>
      <c r="E637" s="5">
        <v>118088.5</v>
      </c>
      <c r="F637" s="5">
        <v>133072</v>
      </c>
      <c r="G637" s="5">
        <v>583037.48</v>
      </c>
      <c r="H637" s="5">
        <v>194891.93</v>
      </c>
      <c r="I637" s="5">
        <v>49172.9</v>
      </c>
      <c r="J637" s="5">
        <v>1393615.29125</v>
      </c>
    </row>
    <row r="638" spans="1:10" x14ac:dyDescent="0.25">
      <c r="A638" s="4" t="s">
        <v>785</v>
      </c>
      <c r="B638" s="5">
        <v>4284067.9400000004</v>
      </c>
      <c r="C638" s="5">
        <v>95061691.599999994</v>
      </c>
      <c r="D638" s="5">
        <v>71221699.579999998</v>
      </c>
      <c r="E638" s="5">
        <v>15060445.640000001</v>
      </c>
      <c r="F638" s="5">
        <v>0</v>
      </c>
      <c r="G638" s="5">
        <v>0</v>
      </c>
      <c r="H638" s="5">
        <v>0</v>
      </c>
      <c r="I638" s="5">
        <v>748.17</v>
      </c>
      <c r="J638" s="5">
        <v>23203581.616249997</v>
      </c>
    </row>
    <row r="639" spans="1:10" x14ac:dyDescent="0.25">
      <c r="A639" s="4" t="s">
        <v>946</v>
      </c>
      <c r="B639" s="5"/>
      <c r="C639" s="5">
        <v>0</v>
      </c>
      <c r="D639" s="5"/>
      <c r="E639" s="5"/>
      <c r="F639" s="5"/>
      <c r="G639" s="5"/>
      <c r="H639" s="5"/>
      <c r="I639" s="5"/>
      <c r="J639" s="5">
        <v>0</v>
      </c>
    </row>
    <row r="640" spans="1:10" x14ac:dyDescent="0.25">
      <c r="A640" s="4" t="s">
        <v>1288</v>
      </c>
      <c r="B640" s="5"/>
      <c r="C640" s="5"/>
      <c r="D640" s="5"/>
      <c r="E640" s="5"/>
      <c r="F640" s="5"/>
      <c r="G640" s="5">
        <v>0</v>
      </c>
      <c r="H640" s="5">
        <v>0</v>
      </c>
      <c r="I640" s="5"/>
      <c r="J640" s="5">
        <v>0</v>
      </c>
    </row>
    <row r="641" spans="1:10" x14ac:dyDescent="0.25">
      <c r="A641" s="4" t="s">
        <v>746</v>
      </c>
      <c r="B641" s="5">
        <v>133197.91</v>
      </c>
      <c r="C641" s="5">
        <v>352982.68</v>
      </c>
      <c r="D641" s="5">
        <v>2175514.89</v>
      </c>
      <c r="E641" s="5">
        <v>2606730.46</v>
      </c>
      <c r="F641" s="5">
        <v>939295.55</v>
      </c>
      <c r="G641" s="5">
        <v>427696.69</v>
      </c>
      <c r="H641" s="5">
        <v>15395937.33</v>
      </c>
      <c r="I641" s="5">
        <v>178720.8</v>
      </c>
      <c r="J641" s="5">
        <v>2776259.5387499998</v>
      </c>
    </row>
    <row r="642" spans="1:10" x14ac:dyDescent="0.25">
      <c r="A642" s="4" t="s">
        <v>339</v>
      </c>
      <c r="B642" s="5">
        <v>201000</v>
      </c>
      <c r="C642" s="5">
        <v>1080839.75</v>
      </c>
      <c r="D642" s="5">
        <v>444459.14</v>
      </c>
      <c r="E642" s="5">
        <v>1408112.79</v>
      </c>
      <c r="F642" s="5">
        <v>824513.87</v>
      </c>
      <c r="G642" s="5">
        <v>822837.19</v>
      </c>
      <c r="H642" s="5">
        <v>409151.77</v>
      </c>
      <c r="I642" s="5">
        <v>773899.72</v>
      </c>
      <c r="J642" s="5">
        <v>745601.77874999994</v>
      </c>
    </row>
    <row r="643" spans="1:10" x14ac:dyDescent="0.25">
      <c r="A643" s="4" t="s">
        <v>881</v>
      </c>
      <c r="B643" s="5">
        <v>0</v>
      </c>
      <c r="C643" s="5">
        <v>15000</v>
      </c>
      <c r="D643" s="5">
        <v>752520.07499999995</v>
      </c>
      <c r="E643" s="5">
        <v>1573394.915</v>
      </c>
      <c r="F643" s="5">
        <v>1254082.8049999999</v>
      </c>
      <c r="G643" s="5">
        <v>9199800.6899999995</v>
      </c>
      <c r="H643" s="5">
        <v>15114759.734999999</v>
      </c>
      <c r="I643" s="5">
        <v>39682339.490000002</v>
      </c>
      <c r="J643" s="5">
        <v>9654913.9585714303</v>
      </c>
    </row>
    <row r="644" spans="1:10" x14ac:dyDescent="0.25">
      <c r="A644" s="4" t="s">
        <v>396</v>
      </c>
      <c r="B644" s="5">
        <v>0</v>
      </c>
      <c r="C644" s="5"/>
      <c r="D644" s="5"/>
      <c r="E644" s="5">
        <v>1950883.77</v>
      </c>
      <c r="F644" s="5">
        <v>8492608.2400000002</v>
      </c>
      <c r="G644" s="5">
        <v>0</v>
      </c>
      <c r="H644" s="5">
        <v>39382.28</v>
      </c>
      <c r="I644" s="5">
        <v>0</v>
      </c>
      <c r="J644" s="5">
        <v>1747145.7149999999</v>
      </c>
    </row>
    <row r="645" spans="1:10" x14ac:dyDescent="0.25">
      <c r="A645" s="4" t="s">
        <v>598</v>
      </c>
      <c r="B645" s="5">
        <v>28388.17</v>
      </c>
      <c r="C645" s="5">
        <v>93487.21</v>
      </c>
      <c r="D645" s="5">
        <v>252956.63</v>
      </c>
      <c r="E645" s="5">
        <v>2515880.4249999998</v>
      </c>
      <c r="F645" s="5">
        <v>852906.29500000004</v>
      </c>
      <c r="G645" s="5">
        <v>1880053.71</v>
      </c>
      <c r="H645" s="5">
        <v>5807423.8799999999</v>
      </c>
      <c r="I645" s="5">
        <v>2380846.92</v>
      </c>
      <c r="J645" s="5">
        <v>1455172.8966666665</v>
      </c>
    </row>
    <row r="646" spans="1:10" x14ac:dyDescent="0.25">
      <c r="A646" s="4" t="s">
        <v>1183</v>
      </c>
      <c r="B646" s="5"/>
      <c r="C646" s="5"/>
      <c r="D646" s="5"/>
      <c r="E646" s="5">
        <v>47000</v>
      </c>
      <c r="F646" s="5"/>
      <c r="G646" s="5"/>
      <c r="H646" s="5"/>
      <c r="I646" s="5"/>
      <c r="J646" s="5">
        <v>47000</v>
      </c>
    </row>
    <row r="647" spans="1:10" x14ac:dyDescent="0.25">
      <c r="A647" s="4" t="s">
        <v>130</v>
      </c>
      <c r="B647" s="5">
        <v>0</v>
      </c>
      <c r="C647" s="5"/>
      <c r="D647" s="5"/>
      <c r="E647" s="5"/>
      <c r="F647" s="5">
        <v>0</v>
      </c>
      <c r="G647" s="5">
        <v>0</v>
      </c>
      <c r="H647" s="5">
        <v>33600000</v>
      </c>
      <c r="I647" s="5"/>
      <c r="J647" s="5">
        <v>6720000</v>
      </c>
    </row>
    <row r="648" spans="1:10" x14ac:dyDescent="0.25">
      <c r="A648" s="4" t="s">
        <v>667</v>
      </c>
      <c r="B648" s="5">
        <v>207896.39</v>
      </c>
      <c r="C648" s="5">
        <v>90420</v>
      </c>
      <c r="D648" s="5">
        <v>286040.59999999998</v>
      </c>
      <c r="E648" s="5">
        <v>-70992.59</v>
      </c>
      <c r="F648" s="5">
        <v>63528</v>
      </c>
      <c r="G648" s="5">
        <v>71372.81</v>
      </c>
      <c r="H648" s="5">
        <v>49125.4</v>
      </c>
      <c r="I648" s="5">
        <v>104640.06</v>
      </c>
      <c r="J648" s="5">
        <v>100253.83374999999</v>
      </c>
    </row>
    <row r="649" spans="1:10" x14ac:dyDescent="0.25">
      <c r="A649" s="4" t="s">
        <v>1277</v>
      </c>
      <c r="B649" s="5"/>
      <c r="C649" s="5"/>
      <c r="D649" s="5"/>
      <c r="E649" s="5"/>
      <c r="F649" s="5"/>
      <c r="G649" s="5">
        <v>0</v>
      </c>
      <c r="H649" s="5"/>
      <c r="I649" s="5"/>
      <c r="J649" s="5">
        <v>0</v>
      </c>
    </row>
    <row r="650" spans="1:10" x14ac:dyDescent="0.25">
      <c r="A650" s="4" t="s">
        <v>220</v>
      </c>
      <c r="B650" s="5">
        <v>160000</v>
      </c>
      <c r="C650" s="5">
        <v>71000</v>
      </c>
      <c r="D650" s="5">
        <v>872000</v>
      </c>
      <c r="E650" s="5">
        <v>100000</v>
      </c>
      <c r="F650" s="5">
        <v>110312</v>
      </c>
      <c r="G650" s="5">
        <v>284000</v>
      </c>
      <c r="H650" s="5">
        <v>263000</v>
      </c>
      <c r="I650" s="5">
        <v>230000</v>
      </c>
      <c r="J650" s="5">
        <v>261289</v>
      </c>
    </row>
    <row r="651" spans="1:10" x14ac:dyDescent="0.25">
      <c r="A651" s="4" t="s">
        <v>1090</v>
      </c>
      <c r="B651" s="5"/>
      <c r="C651" s="5"/>
      <c r="D651" s="5">
        <v>0</v>
      </c>
      <c r="E651" s="5">
        <v>0</v>
      </c>
      <c r="F651" s="5"/>
      <c r="G651" s="5"/>
      <c r="H651" s="5"/>
      <c r="I651" s="5"/>
      <c r="J651" s="5">
        <v>0</v>
      </c>
    </row>
    <row r="652" spans="1:10" x14ac:dyDescent="0.25">
      <c r="A652" s="4" t="s">
        <v>784</v>
      </c>
      <c r="B652" s="5">
        <v>1185424.23</v>
      </c>
      <c r="C652" s="5">
        <v>1302023.18</v>
      </c>
      <c r="D652" s="5">
        <v>3467962.14</v>
      </c>
      <c r="E652" s="5">
        <v>4294536.28</v>
      </c>
      <c r="F652" s="5">
        <v>7181418.2400000002</v>
      </c>
      <c r="G652" s="5">
        <v>301836.23</v>
      </c>
      <c r="H652" s="5">
        <v>4516614.99</v>
      </c>
      <c r="I652" s="5">
        <v>360545.54</v>
      </c>
      <c r="J652" s="5">
        <v>2826295.1037499998</v>
      </c>
    </row>
    <row r="653" spans="1:10" x14ac:dyDescent="0.25">
      <c r="A653" s="4" t="s">
        <v>955</v>
      </c>
      <c r="B653" s="5"/>
      <c r="C653" s="5">
        <v>0</v>
      </c>
      <c r="D653" s="5">
        <v>0</v>
      </c>
      <c r="E653" s="5"/>
      <c r="F653" s="5">
        <v>254827.75</v>
      </c>
      <c r="G653" s="5"/>
      <c r="H653" s="5">
        <v>1129911</v>
      </c>
      <c r="I653" s="5">
        <v>20030</v>
      </c>
      <c r="J653" s="5">
        <v>280953.75</v>
      </c>
    </row>
    <row r="654" spans="1:10" x14ac:dyDescent="0.25">
      <c r="A654" s="4" t="s">
        <v>840</v>
      </c>
      <c r="B654" s="5">
        <v>2306.3000000000002</v>
      </c>
      <c r="C654" s="5">
        <v>0</v>
      </c>
      <c r="D654" s="5">
        <v>16656.75</v>
      </c>
      <c r="E654" s="5">
        <v>1900</v>
      </c>
      <c r="F654" s="5">
        <v>5580464.1950000003</v>
      </c>
      <c r="G654" s="5">
        <v>146911326.155</v>
      </c>
      <c r="H654" s="5">
        <v>18155176.84</v>
      </c>
      <c r="I654" s="5">
        <v>93387619.709999993</v>
      </c>
      <c r="J654" s="5">
        <v>40622456.680769235</v>
      </c>
    </row>
    <row r="655" spans="1:10" x14ac:dyDescent="0.25">
      <c r="A655" s="4" t="s">
        <v>676</v>
      </c>
      <c r="B655" s="5">
        <v>55852.55</v>
      </c>
      <c r="C655" s="5">
        <v>273324.69</v>
      </c>
      <c r="D655" s="5">
        <v>979886.98</v>
      </c>
      <c r="E655" s="5">
        <v>4785321.4800000004</v>
      </c>
      <c r="F655" s="5">
        <v>74510.679999999993</v>
      </c>
      <c r="G655" s="5">
        <v>299610.67</v>
      </c>
      <c r="H655" s="5">
        <v>-207811.25</v>
      </c>
      <c r="I655" s="5">
        <v>859302.81</v>
      </c>
      <c r="J655" s="5">
        <v>889999.82624999993</v>
      </c>
    </row>
    <row r="656" spans="1:10" x14ac:dyDescent="0.25">
      <c r="A656" s="4" t="s">
        <v>1262</v>
      </c>
      <c r="B656" s="5"/>
      <c r="C656" s="5"/>
      <c r="D656" s="5"/>
      <c r="E656" s="5"/>
      <c r="F656" s="5"/>
      <c r="G656" s="5">
        <v>0</v>
      </c>
      <c r="H656" s="5"/>
      <c r="I656" s="5"/>
      <c r="J656" s="5">
        <v>0</v>
      </c>
    </row>
    <row r="657" spans="1:10" x14ac:dyDescent="0.25">
      <c r="A657" s="4" t="s">
        <v>91</v>
      </c>
      <c r="B657" s="5">
        <v>0</v>
      </c>
      <c r="C657" s="5">
        <v>0</v>
      </c>
      <c r="D657" s="5"/>
      <c r="E657" s="5">
        <v>0</v>
      </c>
      <c r="F657" s="5">
        <v>0</v>
      </c>
      <c r="G657" s="5">
        <v>172957.5</v>
      </c>
      <c r="H657" s="5">
        <v>0</v>
      </c>
      <c r="I657" s="5">
        <v>6489427</v>
      </c>
      <c r="J657" s="5">
        <v>854417.75</v>
      </c>
    </row>
    <row r="658" spans="1:10" x14ac:dyDescent="0.25">
      <c r="A658" s="4" t="s">
        <v>1037</v>
      </c>
      <c r="B658" s="5"/>
      <c r="C658" s="5">
        <v>10000</v>
      </c>
      <c r="D658" s="5">
        <v>270000</v>
      </c>
      <c r="E658" s="5">
        <v>4777315</v>
      </c>
      <c r="F658" s="5">
        <v>0</v>
      </c>
      <c r="G658" s="5">
        <v>657898.80000000005</v>
      </c>
      <c r="H658" s="5">
        <v>2524635.21</v>
      </c>
      <c r="I658" s="5">
        <v>0</v>
      </c>
      <c r="J658" s="5">
        <v>1177121.2871428572</v>
      </c>
    </row>
    <row r="659" spans="1:10" x14ac:dyDescent="0.25">
      <c r="A659" s="4" t="s">
        <v>1021</v>
      </c>
      <c r="B659" s="5"/>
      <c r="C659" s="5">
        <v>10000</v>
      </c>
      <c r="D659" s="5">
        <v>12500</v>
      </c>
      <c r="E659" s="5">
        <v>25000</v>
      </c>
      <c r="F659" s="5">
        <v>0</v>
      </c>
      <c r="G659" s="5">
        <v>0</v>
      </c>
      <c r="H659" s="5">
        <v>138190.5</v>
      </c>
      <c r="I659" s="5">
        <v>30000</v>
      </c>
      <c r="J659" s="5">
        <v>35580.090909090912</v>
      </c>
    </row>
    <row r="660" spans="1:10" x14ac:dyDescent="0.25">
      <c r="A660" s="4" t="s">
        <v>224</v>
      </c>
      <c r="B660" s="5">
        <v>0</v>
      </c>
      <c r="C660" s="5"/>
      <c r="D660" s="5">
        <v>6444094.9000000004</v>
      </c>
      <c r="E660" s="5">
        <v>4369416</v>
      </c>
      <c r="F660" s="5">
        <v>0</v>
      </c>
      <c r="G660" s="5">
        <v>95880</v>
      </c>
      <c r="H660" s="5">
        <v>0</v>
      </c>
      <c r="I660" s="5">
        <v>0</v>
      </c>
      <c r="J660" s="5">
        <v>1558484.4142857143</v>
      </c>
    </row>
    <row r="661" spans="1:10" x14ac:dyDescent="0.25">
      <c r="A661" s="4" t="s">
        <v>161</v>
      </c>
      <c r="B661" s="5">
        <v>140677.23000000001</v>
      </c>
      <c r="C661" s="5">
        <v>4662086.32</v>
      </c>
      <c r="D661" s="5">
        <v>-3211733.43</v>
      </c>
      <c r="E661" s="5">
        <v>3975574.25</v>
      </c>
      <c r="F661" s="5">
        <v>2168012.7599999998</v>
      </c>
      <c r="G661" s="5">
        <v>290751.96999999997</v>
      </c>
      <c r="H661" s="5">
        <v>596799.13</v>
      </c>
      <c r="I661" s="5">
        <v>1557491.05</v>
      </c>
      <c r="J661" s="5">
        <v>1272457.4100000001</v>
      </c>
    </row>
    <row r="662" spans="1:10" x14ac:dyDescent="0.25">
      <c r="A662" s="4" t="s">
        <v>244</v>
      </c>
      <c r="B662" s="5">
        <v>0</v>
      </c>
      <c r="C662" s="5">
        <v>0</v>
      </c>
      <c r="D662" s="5"/>
      <c r="E662" s="5">
        <v>0</v>
      </c>
      <c r="F662" s="5">
        <v>0</v>
      </c>
      <c r="G662" s="5">
        <v>0</v>
      </c>
      <c r="H662" s="5"/>
      <c r="I662" s="5"/>
      <c r="J662" s="5">
        <v>0</v>
      </c>
    </row>
    <row r="663" spans="1:10" x14ac:dyDescent="0.25">
      <c r="A663" s="4" t="s">
        <v>1303</v>
      </c>
      <c r="B663" s="5"/>
      <c r="C663" s="5"/>
      <c r="D663" s="5"/>
      <c r="E663" s="5"/>
      <c r="F663" s="5"/>
      <c r="G663" s="5"/>
      <c r="H663" s="5">
        <v>80000</v>
      </c>
      <c r="I663" s="5"/>
      <c r="J663" s="5">
        <v>80000</v>
      </c>
    </row>
    <row r="664" spans="1:10" x14ac:dyDescent="0.25">
      <c r="A664" s="4" t="s">
        <v>1192</v>
      </c>
      <c r="B664" s="5"/>
      <c r="C664" s="5"/>
      <c r="D664" s="5"/>
      <c r="E664" s="5">
        <v>0</v>
      </c>
      <c r="F664" s="5"/>
      <c r="G664" s="5"/>
      <c r="H664" s="5"/>
      <c r="I664" s="5"/>
      <c r="J664" s="5">
        <v>0</v>
      </c>
    </row>
    <row r="665" spans="1:10" x14ac:dyDescent="0.25">
      <c r="A665" s="4" t="s">
        <v>138</v>
      </c>
      <c r="B665" s="5">
        <v>0</v>
      </c>
      <c r="C665" s="5">
        <v>66559.899999999994</v>
      </c>
      <c r="D665" s="5">
        <v>86314.54</v>
      </c>
      <c r="E665" s="5">
        <v>33342.6</v>
      </c>
      <c r="F665" s="5">
        <v>128449.07</v>
      </c>
      <c r="G665" s="5">
        <v>74272.399999999994</v>
      </c>
      <c r="H665" s="5">
        <v>37745.18</v>
      </c>
      <c r="I665" s="5">
        <v>149534.18</v>
      </c>
      <c r="J665" s="5">
        <v>72027.233749999999</v>
      </c>
    </row>
    <row r="666" spans="1:10" x14ac:dyDescent="0.25">
      <c r="A666" s="4" t="s">
        <v>319</v>
      </c>
      <c r="B666" s="5">
        <v>0</v>
      </c>
      <c r="C666" s="5">
        <v>67634.666666666672</v>
      </c>
      <c r="D666" s="5">
        <v>375856.33</v>
      </c>
      <c r="E666" s="5">
        <v>116182.65333333334</v>
      </c>
      <c r="F666" s="5">
        <v>195142.77333333332</v>
      </c>
      <c r="G666" s="5">
        <v>34030.425000000003</v>
      </c>
      <c r="H666" s="5">
        <v>55509.443333333329</v>
      </c>
      <c r="I666" s="5">
        <v>664438.5</v>
      </c>
      <c r="J666" s="5">
        <v>150641.75952380954</v>
      </c>
    </row>
    <row r="667" spans="1:10" x14ac:dyDescent="0.25">
      <c r="A667" s="4" t="s">
        <v>609</v>
      </c>
      <c r="B667" s="5">
        <v>0</v>
      </c>
      <c r="C667" s="5">
        <v>0</v>
      </c>
      <c r="D667" s="5"/>
      <c r="E667" s="5"/>
      <c r="F667" s="5"/>
      <c r="G667" s="5"/>
      <c r="H667" s="5"/>
      <c r="I667" s="5"/>
      <c r="J667" s="5">
        <v>0</v>
      </c>
    </row>
    <row r="668" spans="1:10" x14ac:dyDescent="0.25">
      <c r="A668" s="4" t="s">
        <v>685</v>
      </c>
      <c r="B668" s="5">
        <v>0</v>
      </c>
      <c r="C668" s="5">
        <v>0</v>
      </c>
      <c r="D668" s="5">
        <v>101931.1</v>
      </c>
      <c r="E668" s="5">
        <v>1580712.32</v>
      </c>
      <c r="F668" s="5">
        <v>162750.495</v>
      </c>
      <c r="G668" s="5">
        <v>829679.67</v>
      </c>
      <c r="H668" s="5">
        <v>1833292.78</v>
      </c>
      <c r="I668" s="5">
        <v>4333668</v>
      </c>
      <c r="J668" s="5">
        <v>1026953.9023076923</v>
      </c>
    </row>
    <row r="669" spans="1:10" x14ac:dyDescent="0.25">
      <c r="A669" s="4" t="s">
        <v>1200</v>
      </c>
      <c r="B669" s="5"/>
      <c r="C669" s="5"/>
      <c r="D669" s="5"/>
      <c r="E669" s="5">
        <v>0</v>
      </c>
      <c r="F669" s="5"/>
      <c r="G669" s="5"/>
      <c r="H669" s="5"/>
      <c r="I669" s="5">
        <v>0</v>
      </c>
      <c r="J669" s="5">
        <v>0</v>
      </c>
    </row>
    <row r="670" spans="1:10" x14ac:dyDescent="0.25">
      <c r="A670" s="4" t="s">
        <v>373</v>
      </c>
      <c r="B670" s="5">
        <v>0</v>
      </c>
      <c r="C670" s="5">
        <v>11168.25</v>
      </c>
      <c r="D670" s="5">
        <v>55998.15</v>
      </c>
      <c r="E670" s="5">
        <v>1800</v>
      </c>
      <c r="F670" s="5">
        <v>86335.26</v>
      </c>
      <c r="G670" s="5">
        <v>-35623.1</v>
      </c>
      <c r="H670" s="5">
        <v>317996.79999999999</v>
      </c>
      <c r="I670" s="5">
        <v>249897.69</v>
      </c>
      <c r="J670" s="5">
        <v>85946.631250000006</v>
      </c>
    </row>
    <row r="671" spans="1:10" x14ac:dyDescent="0.25">
      <c r="A671" s="4" t="s">
        <v>377</v>
      </c>
      <c r="B671" s="5">
        <v>10463872.949999999</v>
      </c>
      <c r="C671" s="5">
        <v>65204388.350000001</v>
      </c>
      <c r="D671" s="5">
        <v>36645855.07</v>
      </c>
      <c r="E671" s="5">
        <v>5699.84</v>
      </c>
      <c r="F671" s="5">
        <v>68029870.980000004</v>
      </c>
      <c r="G671" s="5">
        <v>3305070.27</v>
      </c>
      <c r="H671" s="5">
        <v>17031697.859999999</v>
      </c>
      <c r="I671" s="5">
        <v>-778875</v>
      </c>
      <c r="J671" s="5">
        <v>24988447.539999999</v>
      </c>
    </row>
    <row r="672" spans="1:10" x14ac:dyDescent="0.25">
      <c r="A672" s="4" t="s">
        <v>935</v>
      </c>
      <c r="B672" s="5"/>
      <c r="C672" s="5">
        <v>0</v>
      </c>
      <c r="D672" s="5">
        <v>2957564.72</v>
      </c>
      <c r="E672" s="5">
        <v>0</v>
      </c>
      <c r="F672" s="5">
        <v>10628.72</v>
      </c>
      <c r="G672" s="5">
        <v>1499999.99</v>
      </c>
      <c r="H672" s="5">
        <v>2150000</v>
      </c>
      <c r="I672" s="5">
        <v>0</v>
      </c>
      <c r="J672" s="5">
        <v>945456.20428571443</v>
      </c>
    </row>
    <row r="673" spans="1:10" x14ac:dyDescent="0.25">
      <c r="A673" s="4" t="s">
        <v>865</v>
      </c>
      <c r="B673" s="5">
        <v>278989</v>
      </c>
      <c r="C673" s="5">
        <v>201462.42</v>
      </c>
      <c r="D673" s="5">
        <v>1643529.68</v>
      </c>
      <c r="E673" s="5">
        <v>551720.43999999994</v>
      </c>
      <c r="F673" s="5">
        <v>1100563.58</v>
      </c>
      <c r="G673" s="5">
        <v>1956898.31</v>
      </c>
      <c r="H673" s="5">
        <v>2547767.58</v>
      </c>
      <c r="I673" s="5">
        <v>331279.19</v>
      </c>
      <c r="J673" s="5">
        <v>1079197.0866666667</v>
      </c>
    </row>
    <row r="674" spans="1:10" x14ac:dyDescent="0.25">
      <c r="A674" s="4" t="s">
        <v>703</v>
      </c>
      <c r="B674" s="5">
        <v>36126</v>
      </c>
      <c r="C674" s="5">
        <v>27063.96</v>
      </c>
      <c r="D674" s="5">
        <v>66246.740000000005</v>
      </c>
      <c r="E674" s="5">
        <v>118212.95</v>
      </c>
      <c r="F674" s="5">
        <v>258453.95499999999</v>
      </c>
      <c r="G674" s="5">
        <v>264381.49</v>
      </c>
      <c r="H674" s="5">
        <v>446809.51</v>
      </c>
      <c r="I674" s="5">
        <v>392969.45</v>
      </c>
      <c r="J674" s="5">
        <v>207635.33444444445</v>
      </c>
    </row>
    <row r="675" spans="1:10" x14ac:dyDescent="0.25">
      <c r="A675" s="4" t="s">
        <v>724</v>
      </c>
      <c r="B675" s="5">
        <v>6297.5</v>
      </c>
      <c r="C675" s="5">
        <v>8626.1200000000008</v>
      </c>
      <c r="D675" s="5">
        <v>356752.21</v>
      </c>
      <c r="E675" s="5">
        <v>121547.27</v>
      </c>
      <c r="F675" s="5">
        <v>95413.35</v>
      </c>
      <c r="G675" s="5">
        <v>12384141.470000001</v>
      </c>
      <c r="H675" s="5">
        <v>7274195.2800000003</v>
      </c>
      <c r="I675" s="5">
        <v>27339897.57</v>
      </c>
      <c r="J675" s="5">
        <v>5948358.8462499995</v>
      </c>
    </row>
    <row r="676" spans="1:10" x14ac:dyDescent="0.25">
      <c r="A676" s="4" t="s">
        <v>117</v>
      </c>
      <c r="B676" s="5">
        <v>108600</v>
      </c>
      <c r="C676" s="5">
        <v>219344</v>
      </c>
      <c r="D676" s="5">
        <v>727252.09</v>
      </c>
      <c r="E676" s="5">
        <v>304936.5</v>
      </c>
      <c r="F676" s="5">
        <v>234541.91</v>
      </c>
      <c r="G676" s="5">
        <v>119762</v>
      </c>
      <c r="H676" s="5">
        <v>192000</v>
      </c>
      <c r="I676" s="5">
        <v>106576.5</v>
      </c>
      <c r="J676" s="5">
        <v>251626.62499999997</v>
      </c>
    </row>
    <row r="677" spans="1:10" x14ac:dyDescent="0.25">
      <c r="A677" s="4" t="s">
        <v>663</v>
      </c>
      <c r="B677" s="5">
        <v>2192099.19</v>
      </c>
      <c r="C677" s="5">
        <v>4335710.92</v>
      </c>
      <c r="D677" s="5">
        <v>25525295.120000001</v>
      </c>
      <c r="E677" s="5">
        <v>30451342.91</v>
      </c>
      <c r="F677" s="5">
        <v>3501155.42</v>
      </c>
      <c r="G677" s="5">
        <v>9942359.1500000004</v>
      </c>
      <c r="H677" s="5">
        <v>3392361.66</v>
      </c>
      <c r="I677" s="5">
        <v>956932.56</v>
      </c>
      <c r="J677" s="5">
        <v>9165484.0133333337</v>
      </c>
    </row>
    <row r="678" spans="1:10" x14ac:dyDescent="0.25">
      <c r="A678" s="4" t="s">
        <v>1206</v>
      </c>
      <c r="B678" s="5"/>
      <c r="C678" s="5"/>
      <c r="D678" s="5"/>
      <c r="E678" s="5">
        <v>0</v>
      </c>
      <c r="F678" s="5"/>
      <c r="G678" s="5"/>
      <c r="H678" s="5"/>
      <c r="I678" s="5"/>
      <c r="J678" s="5">
        <v>0</v>
      </c>
    </row>
    <row r="679" spans="1:10" x14ac:dyDescent="0.25">
      <c r="A679" s="4" t="s">
        <v>393</v>
      </c>
      <c r="B679" s="5">
        <v>0</v>
      </c>
      <c r="C679" s="5">
        <v>0</v>
      </c>
      <c r="D679" s="5">
        <v>0</v>
      </c>
      <c r="E679" s="5">
        <v>0</v>
      </c>
      <c r="F679" s="5">
        <v>5834450.4500000002</v>
      </c>
      <c r="G679" s="5">
        <v>0</v>
      </c>
      <c r="H679" s="5">
        <v>10560</v>
      </c>
      <c r="I679" s="5">
        <v>0</v>
      </c>
      <c r="J679" s="5">
        <v>730626.30625000002</v>
      </c>
    </row>
    <row r="680" spans="1:10" x14ac:dyDescent="0.25">
      <c r="A680" s="4" t="s">
        <v>924</v>
      </c>
      <c r="B680" s="5">
        <v>4729798957.04</v>
      </c>
      <c r="C680" s="5">
        <v>401050539.63</v>
      </c>
      <c r="D680" s="5">
        <v>490313383.57999998</v>
      </c>
      <c r="E680" s="5">
        <v>151119830.25</v>
      </c>
      <c r="F680" s="5">
        <v>425103415.19</v>
      </c>
      <c r="G680" s="5">
        <v>461351795.80000001</v>
      </c>
      <c r="H680" s="5">
        <v>333004992.88999999</v>
      </c>
      <c r="I680" s="5">
        <v>241301962.06999999</v>
      </c>
      <c r="J680" s="5">
        <v>820462745.18888891</v>
      </c>
    </row>
    <row r="681" spans="1:10" x14ac:dyDescent="0.25">
      <c r="A681" s="4" t="s">
        <v>73</v>
      </c>
      <c r="B681" s="5">
        <v>0</v>
      </c>
      <c r="C681" s="5">
        <v>0</v>
      </c>
      <c r="D681" s="5">
        <v>12399750.359999999</v>
      </c>
      <c r="E681" s="5">
        <v>50270474</v>
      </c>
      <c r="F681" s="5">
        <v>-27941.69</v>
      </c>
      <c r="G681" s="5">
        <v>100000</v>
      </c>
      <c r="H681" s="5">
        <v>31805028.9925</v>
      </c>
      <c r="I681" s="5">
        <v>49333.333333333336</v>
      </c>
      <c r="J681" s="5">
        <v>13184830.304347826</v>
      </c>
    </row>
    <row r="682" spans="1:10" x14ac:dyDescent="0.25">
      <c r="A682" s="4" t="s">
        <v>812</v>
      </c>
      <c r="B682" s="5">
        <v>856877.42</v>
      </c>
      <c r="C682" s="5">
        <v>2856194.61</v>
      </c>
      <c r="D682" s="5">
        <v>1932015.83</v>
      </c>
      <c r="E682" s="5">
        <v>14572636.24</v>
      </c>
      <c r="F682" s="5">
        <v>2458943.21</v>
      </c>
      <c r="G682" s="5">
        <v>8277403.4800000004</v>
      </c>
      <c r="H682" s="5">
        <v>890159.47499999998</v>
      </c>
      <c r="I682" s="5">
        <v>1068578.3500000001</v>
      </c>
      <c r="J682" s="5">
        <v>3755885.3433333337</v>
      </c>
    </row>
    <row r="683" spans="1:10" x14ac:dyDescent="0.25">
      <c r="A683" s="4" t="s">
        <v>830</v>
      </c>
      <c r="B683" s="5">
        <v>576397.06999999995</v>
      </c>
      <c r="C683" s="5">
        <v>3075172.28</v>
      </c>
      <c r="D683" s="5">
        <v>1437567.93</v>
      </c>
      <c r="E683" s="5">
        <v>3348583.81</v>
      </c>
      <c r="F683" s="5">
        <v>3155009.14</v>
      </c>
      <c r="G683" s="5">
        <v>-957372.3</v>
      </c>
      <c r="H683" s="5">
        <v>5096804.18</v>
      </c>
      <c r="I683" s="5">
        <v>2656814.92</v>
      </c>
      <c r="J683" s="5">
        <v>2298622.1287500001</v>
      </c>
    </row>
    <row r="684" spans="1:10" x14ac:dyDescent="0.25">
      <c r="A684" s="4" t="s">
        <v>508</v>
      </c>
      <c r="B684" s="5">
        <v>0</v>
      </c>
      <c r="C684" s="5">
        <v>0</v>
      </c>
      <c r="D684" s="5">
        <v>0</v>
      </c>
      <c r="E684" s="5">
        <v>0</v>
      </c>
      <c r="F684" s="5">
        <v>15802</v>
      </c>
      <c r="G684" s="5">
        <v>0</v>
      </c>
      <c r="H684" s="5"/>
      <c r="I684" s="5"/>
      <c r="J684" s="5">
        <v>2633.6666666666665</v>
      </c>
    </row>
    <row r="685" spans="1:10" x14ac:dyDescent="0.25">
      <c r="A685" s="4" t="s">
        <v>916</v>
      </c>
      <c r="B685" s="5">
        <v>141597582.87</v>
      </c>
      <c r="C685" s="5">
        <v>27237768.949999999</v>
      </c>
      <c r="D685" s="5">
        <v>26514994.989999998</v>
      </c>
      <c r="E685" s="5">
        <v>20813478.370000001</v>
      </c>
      <c r="F685" s="5">
        <v>25465588.670000002</v>
      </c>
      <c r="G685" s="5">
        <v>89572099.069999993</v>
      </c>
      <c r="H685" s="5">
        <v>71566610.230000004</v>
      </c>
      <c r="I685" s="5">
        <v>110808407.70999999</v>
      </c>
      <c r="J685" s="5">
        <v>64197066.357500002</v>
      </c>
    </row>
    <row r="686" spans="1:10" x14ac:dyDescent="0.25">
      <c r="A686" s="4" t="s">
        <v>266</v>
      </c>
      <c r="B686" s="5">
        <v>6001000</v>
      </c>
      <c r="C686" s="5">
        <v>495000</v>
      </c>
      <c r="D686" s="5">
        <v>12312623.630000001</v>
      </c>
      <c r="E686" s="5">
        <v>-12319.77</v>
      </c>
      <c r="F686" s="5">
        <v>387066</v>
      </c>
      <c r="G686" s="5">
        <v>-11370949.859999999</v>
      </c>
      <c r="H686" s="5">
        <v>5550000</v>
      </c>
      <c r="I686" s="5">
        <v>0</v>
      </c>
      <c r="J686" s="5">
        <v>1670302.5000000005</v>
      </c>
    </row>
    <row r="687" spans="1:10" x14ac:dyDescent="0.25">
      <c r="A687" s="4" t="s">
        <v>1112</v>
      </c>
      <c r="B687" s="5"/>
      <c r="C687" s="5"/>
      <c r="D687" s="5">
        <v>0</v>
      </c>
      <c r="E687" s="5"/>
      <c r="F687" s="5">
        <v>0</v>
      </c>
      <c r="G687" s="5"/>
      <c r="H687" s="5"/>
      <c r="I687" s="5"/>
      <c r="J687" s="5">
        <v>0</v>
      </c>
    </row>
    <row r="688" spans="1:10" x14ac:dyDescent="0.25">
      <c r="A688" s="4" t="s">
        <v>851</v>
      </c>
      <c r="B688" s="5">
        <v>7661478.2000000002</v>
      </c>
      <c r="C688" s="5">
        <v>22787406.859999999</v>
      </c>
      <c r="D688" s="5">
        <v>-5310450.6500000004</v>
      </c>
      <c r="E688" s="5">
        <v>11506476.01</v>
      </c>
      <c r="F688" s="5">
        <v>4723812.51</v>
      </c>
      <c r="G688" s="5">
        <v>2283628.3199999998</v>
      </c>
      <c r="H688" s="5">
        <v>7551431.2000000002</v>
      </c>
      <c r="I688" s="5">
        <v>25345126.93</v>
      </c>
      <c r="J688" s="5">
        <v>9568613.6724999994</v>
      </c>
    </row>
    <row r="689" spans="1:10" x14ac:dyDescent="0.25">
      <c r="A689" s="4" t="s">
        <v>577</v>
      </c>
      <c r="B689" s="5">
        <v>22493.23</v>
      </c>
      <c r="C689" s="5">
        <v>55116</v>
      </c>
      <c r="D689" s="5">
        <v>46897.23</v>
      </c>
      <c r="E689" s="5">
        <v>133144.28</v>
      </c>
      <c r="F689" s="5">
        <v>15466.31</v>
      </c>
      <c r="G689" s="5">
        <v>32208.43</v>
      </c>
      <c r="H689" s="5">
        <v>71922.460000000006</v>
      </c>
      <c r="I689" s="5">
        <v>130396.57</v>
      </c>
      <c r="J689" s="5">
        <v>63455.563750000001</v>
      </c>
    </row>
    <row r="690" spans="1:10" x14ac:dyDescent="0.25">
      <c r="A690" s="4" t="s">
        <v>809</v>
      </c>
      <c r="B690" s="5">
        <v>81101.149999999994</v>
      </c>
      <c r="C690" s="5">
        <v>110458.94</v>
      </c>
      <c r="D690" s="5">
        <v>446964.25</v>
      </c>
      <c r="E690" s="5">
        <v>810481.02</v>
      </c>
      <c r="F690" s="5">
        <v>899620.35</v>
      </c>
      <c r="G690" s="5">
        <v>1472486.63</v>
      </c>
      <c r="H690" s="5">
        <v>595780.27</v>
      </c>
      <c r="I690" s="5">
        <v>45050.44</v>
      </c>
      <c r="J690" s="5">
        <v>557742.88124999998</v>
      </c>
    </row>
    <row r="691" spans="1:10" x14ac:dyDescent="0.25">
      <c r="A691" s="4" t="s">
        <v>763</v>
      </c>
      <c r="B691" s="5">
        <v>77897.710000000006</v>
      </c>
      <c r="C691" s="5">
        <v>635188.30000000005</v>
      </c>
      <c r="D691" s="5">
        <v>492834.56</v>
      </c>
      <c r="E691" s="5">
        <v>998413.85</v>
      </c>
      <c r="F691" s="5">
        <v>679202.14</v>
      </c>
      <c r="G691" s="5">
        <v>2174053.54</v>
      </c>
      <c r="H691" s="5">
        <v>622140.23</v>
      </c>
      <c r="I691" s="5">
        <v>474762.62</v>
      </c>
      <c r="J691" s="5">
        <v>769311.61875000002</v>
      </c>
    </row>
    <row r="692" spans="1:10" x14ac:dyDescent="0.25">
      <c r="A692" s="4" t="s">
        <v>459</v>
      </c>
      <c r="B692" s="5">
        <v>23497778439.330002</v>
      </c>
      <c r="C692" s="5">
        <v>589493939.79999995</v>
      </c>
      <c r="D692" s="5">
        <v>589503692.5</v>
      </c>
      <c r="E692" s="5">
        <v>589796316.25</v>
      </c>
      <c r="F692" s="5">
        <v>589871580.00999999</v>
      </c>
      <c r="G692" s="5">
        <v>901236728.54999995</v>
      </c>
      <c r="H692" s="5">
        <v>604222612.50999999</v>
      </c>
      <c r="I692" s="5">
        <v>604202096.27999997</v>
      </c>
      <c r="J692" s="5">
        <v>3495763175.6537495</v>
      </c>
    </row>
    <row r="693" spans="1:10" x14ac:dyDescent="0.25">
      <c r="A693" s="4" t="s">
        <v>895</v>
      </c>
      <c r="B693" s="5">
        <v>34371.97</v>
      </c>
      <c r="C693" s="5">
        <v>581972.21</v>
      </c>
      <c r="D693" s="5">
        <v>959892.49</v>
      </c>
      <c r="E693" s="5">
        <v>3800743.47</v>
      </c>
      <c r="F693" s="5">
        <v>190058.38</v>
      </c>
      <c r="G693" s="5">
        <v>239425.41</v>
      </c>
      <c r="H693" s="5">
        <v>62905.8</v>
      </c>
      <c r="I693" s="5">
        <v>1498521.05</v>
      </c>
      <c r="J693" s="5">
        <v>920986.34750000003</v>
      </c>
    </row>
    <row r="694" spans="1:10" x14ac:dyDescent="0.25">
      <c r="A694" s="4" t="s">
        <v>428</v>
      </c>
      <c r="B694" s="5">
        <v>0</v>
      </c>
      <c r="C694" s="5">
        <v>48154945.729999997</v>
      </c>
      <c r="D694" s="5">
        <v>24500934.649999999</v>
      </c>
      <c r="E694" s="5">
        <v>31621083.129999999</v>
      </c>
      <c r="F694" s="5">
        <v>33597158.200000003</v>
      </c>
      <c r="G694" s="5">
        <v>31139683.600000001</v>
      </c>
      <c r="H694" s="5">
        <v>185151374.19999999</v>
      </c>
      <c r="I694" s="5">
        <v>10126166.58</v>
      </c>
      <c r="J694" s="5">
        <v>45536418.261249997</v>
      </c>
    </row>
    <row r="695" spans="1:10" x14ac:dyDescent="0.25">
      <c r="A695" s="4" t="s">
        <v>745</v>
      </c>
      <c r="B695" s="5">
        <v>2183039.23</v>
      </c>
      <c r="C695" s="5">
        <v>1275531.95</v>
      </c>
      <c r="D695" s="5">
        <v>2195136.9300000002</v>
      </c>
      <c r="E695" s="5">
        <v>1642155.36</v>
      </c>
      <c r="F695" s="5">
        <v>2241637.66</v>
      </c>
      <c r="G695" s="5">
        <v>36638455.329999998</v>
      </c>
      <c r="H695" s="5">
        <v>6690732.1600000001</v>
      </c>
      <c r="I695" s="5">
        <v>2507995.16</v>
      </c>
      <c r="J695" s="5">
        <v>6921835.4724999983</v>
      </c>
    </row>
    <row r="696" spans="1:10" x14ac:dyDescent="0.25">
      <c r="A696" s="4" t="s">
        <v>824</v>
      </c>
      <c r="B696" s="5">
        <v>13824424.26</v>
      </c>
      <c r="C696" s="5">
        <v>11544622.800000001</v>
      </c>
      <c r="D696" s="5">
        <v>26111915.800000001</v>
      </c>
      <c r="E696" s="5">
        <v>42166919.899999999</v>
      </c>
      <c r="F696" s="5">
        <v>49270518.990000002</v>
      </c>
      <c r="G696" s="5">
        <v>7113570.2199999997</v>
      </c>
      <c r="H696" s="5">
        <v>-11159513.050000001</v>
      </c>
      <c r="I696" s="5">
        <v>3339322.54</v>
      </c>
      <c r="J696" s="5">
        <v>17776472.682499997</v>
      </c>
    </row>
    <row r="697" spans="1:10" x14ac:dyDescent="0.25">
      <c r="A697" s="4" t="s">
        <v>828</v>
      </c>
      <c r="B697" s="5">
        <v>2596389.65</v>
      </c>
      <c r="C697" s="5">
        <v>650601.55000000005</v>
      </c>
      <c r="D697" s="5">
        <v>564437.81000000006</v>
      </c>
      <c r="E697" s="5">
        <v>2277767.92</v>
      </c>
      <c r="F697" s="5">
        <v>2134148.44</v>
      </c>
      <c r="G697" s="5">
        <v>1817603.23</v>
      </c>
      <c r="H697" s="5">
        <v>2756745.79</v>
      </c>
      <c r="I697" s="5">
        <v>125154.94</v>
      </c>
      <c r="J697" s="5">
        <v>1615356.16625</v>
      </c>
    </row>
    <row r="698" spans="1:10" x14ac:dyDescent="0.25">
      <c r="A698" s="4" t="s">
        <v>264</v>
      </c>
      <c r="B698" s="5">
        <v>27355673.120000001</v>
      </c>
      <c r="C698" s="5">
        <v>6026997.8700000001</v>
      </c>
      <c r="D698" s="5">
        <v>194372.98</v>
      </c>
      <c r="E698" s="5">
        <v>72385178.159999996</v>
      </c>
      <c r="F698" s="5">
        <v>5452099.8899999997</v>
      </c>
      <c r="G698" s="5">
        <v>-3482058.2</v>
      </c>
      <c r="H698" s="5">
        <v>2844319.2</v>
      </c>
      <c r="I698" s="5">
        <v>470211.2</v>
      </c>
      <c r="J698" s="5">
        <v>13905849.2775</v>
      </c>
    </row>
    <row r="699" spans="1:10" x14ac:dyDescent="0.25">
      <c r="A699" s="4" t="s">
        <v>277</v>
      </c>
      <c r="B699" s="5">
        <v>0</v>
      </c>
      <c r="C699" s="5">
        <v>48000</v>
      </c>
      <c r="D699" s="5">
        <v>0</v>
      </c>
      <c r="E699" s="5">
        <v>0</v>
      </c>
      <c r="F699" s="5">
        <v>222992.5</v>
      </c>
      <c r="G699" s="5">
        <v>2885507.26</v>
      </c>
      <c r="H699" s="5">
        <v>307025.8</v>
      </c>
      <c r="I699" s="5">
        <v>1482510.62</v>
      </c>
      <c r="J699" s="5">
        <v>671211.32833333325</v>
      </c>
    </row>
    <row r="700" spans="1:10" x14ac:dyDescent="0.25">
      <c r="A700" s="4" t="s">
        <v>594</v>
      </c>
      <c r="B700" s="5">
        <v>25000</v>
      </c>
      <c r="C700" s="5">
        <v>60000</v>
      </c>
      <c r="D700" s="5">
        <v>39744622.490000002</v>
      </c>
      <c r="E700" s="5">
        <v>79162391.260000005</v>
      </c>
      <c r="F700" s="5">
        <v>594719.66</v>
      </c>
      <c r="G700" s="5">
        <v>11201412.050000001</v>
      </c>
      <c r="H700" s="5">
        <v>1299122.9850000001</v>
      </c>
      <c r="I700" s="5">
        <v>83465.7</v>
      </c>
      <c r="J700" s="5">
        <v>13205998.985454543</v>
      </c>
    </row>
    <row r="701" spans="1:10" x14ac:dyDescent="0.25">
      <c r="A701" s="4" t="s">
        <v>1009</v>
      </c>
      <c r="B701" s="5"/>
      <c r="C701" s="5">
        <v>0</v>
      </c>
      <c r="D701" s="5">
        <v>0</v>
      </c>
      <c r="E701" s="5">
        <v>0</v>
      </c>
      <c r="F701" s="5">
        <v>0</v>
      </c>
      <c r="G701" s="5">
        <v>0</v>
      </c>
      <c r="H701" s="5">
        <v>14687474.140000001</v>
      </c>
      <c r="I701" s="5">
        <v>6180535.04</v>
      </c>
      <c r="J701" s="5">
        <v>2981144.1685714284</v>
      </c>
    </row>
    <row r="702" spans="1:10" x14ac:dyDescent="0.25">
      <c r="A702" s="4" t="s">
        <v>917</v>
      </c>
      <c r="B702" s="5">
        <v>2181033.91</v>
      </c>
      <c r="C702" s="5">
        <v>4726353.8499999996</v>
      </c>
      <c r="D702" s="5">
        <v>26011323.399999999</v>
      </c>
      <c r="E702" s="5">
        <v>13064867.199999999</v>
      </c>
      <c r="F702" s="5">
        <v>16015373.5</v>
      </c>
      <c r="G702" s="5">
        <v>20261074.469999999</v>
      </c>
      <c r="H702" s="5">
        <v>7308031.9199999999</v>
      </c>
      <c r="I702" s="5">
        <v>12201615.109999999</v>
      </c>
      <c r="J702" s="5">
        <v>12721209.17</v>
      </c>
    </row>
    <row r="703" spans="1:10" x14ac:dyDescent="0.25">
      <c r="A703" s="4" t="s">
        <v>848</v>
      </c>
      <c r="B703" s="5">
        <v>115549.75999999999</v>
      </c>
      <c r="C703" s="5">
        <v>918742.68</v>
      </c>
      <c r="D703" s="5">
        <v>1144469.52</v>
      </c>
      <c r="E703" s="5">
        <v>856632.87</v>
      </c>
      <c r="F703" s="5">
        <v>800742.15</v>
      </c>
      <c r="G703" s="5">
        <v>1244539.98</v>
      </c>
      <c r="H703" s="5">
        <v>531079.57999999996</v>
      </c>
      <c r="I703" s="5">
        <v>399325.5</v>
      </c>
      <c r="J703" s="5">
        <v>751385.255</v>
      </c>
    </row>
    <row r="704" spans="1:10" x14ac:dyDescent="0.25">
      <c r="A704" s="4" t="s">
        <v>823</v>
      </c>
      <c r="B704" s="5">
        <v>635690.54</v>
      </c>
      <c r="C704" s="5">
        <v>741613.08</v>
      </c>
      <c r="D704" s="5">
        <v>379517.61</v>
      </c>
      <c r="E704" s="5">
        <v>1452560.17</v>
      </c>
      <c r="F704" s="5">
        <v>5387892.5899999999</v>
      </c>
      <c r="G704" s="5">
        <v>2366016.09</v>
      </c>
      <c r="H704" s="5">
        <v>2788495.87</v>
      </c>
      <c r="I704" s="5">
        <v>2899880.66</v>
      </c>
      <c r="J704" s="5">
        <v>2081458.3262499999</v>
      </c>
    </row>
    <row r="705" spans="1:10" x14ac:dyDescent="0.25">
      <c r="A705" s="4" t="s">
        <v>743</v>
      </c>
      <c r="B705" s="5">
        <v>16732.650000000001</v>
      </c>
      <c r="C705" s="5">
        <v>27602.62</v>
      </c>
      <c r="D705" s="5">
        <v>142148.19</v>
      </c>
      <c r="E705" s="5">
        <v>10402.76</v>
      </c>
      <c r="F705" s="5">
        <v>-136177.72</v>
      </c>
      <c r="G705" s="5">
        <v>54024.67</v>
      </c>
      <c r="H705" s="5">
        <v>13254.83</v>
      </c>
      <c r="I705" s="5">
        <v>276207.48</v>
      </c>
      <c r="J705" s="5">
        <v>50524.434999999998</v>
      </c>
    </row>
    <row r="706" spans="1:10" x14ac:dyDescent="0.25">
      <c r="A706" s="4" t="s">
        <v>570</v>
      </c>
      <c r="B706" s="5">
        <v>7712.05</v>
      </c>
      <c r="C706" s="5">
        <v>46739.48</v>
      </c>
      <c r="D706" s="5">
        <v>176054.28</v>
      </c>
      <c r="E706" s="5">
        <v>41806.74</v>
      </c>
      <c r="F706" s="5">
        <v>-102741.94</v>
      </c>
      <c r="G706" s="5">
        <v>38152.019999999997</v>
      </c>
      <c r="H706" s="5">
        <v>19504.48</v>
      </c>
      <c r="I706" s="5">
        <v>63048.41</v>
      </c>
      <c r="J706" s="5">
        <v>36284.44</v>
      </c>
    </row>
    <row r="707" spans="1:10" x14ac:dyDescent="0.25">
      <c r="A707" s="4" t="s">
        <v>738</v>
      </c>
      <c r="B707" s="5">
        <v>0</v>
      </c>
      <c r="C707" s="5">
        <v>0</v>
      </c>
      <c r="D707" s="5">
        <v>3390</v>
      </c>
      <c r="E707" s="5">
        <v>3341</v>
      </c>
      <c r="F707" s="5">
        <v>638472.61</v>
      </c>
      <c r="G707" s="5">
        <v>1893569.97</v>
      </c>
      <c r="H707" s="5">
        <v>1902728.92</v>
      </c>
      <c r="I707" s="5">
        <v>545646.18000000005</v>
      </c>
      <c r="J707" s="5">
        <v>623393.58499999996</v>
      </c>
    </row>
    <row r="708" spans="1:10" x14ac:dyDescent="0.25">
      <c r="A708" s="4" t="s">
        <v>408</v>
      </c>
      <c r="B708" s="5">
        <v>0</v>
      </c>
      <c r="C708" s="5">
        <v>0</v>
      </c>
      <c r="D708" s="5">
        <v>0</v>
      </c>
      <c r="E708" s="5">
        <v>65000</v>
      </c>
      <c r="F708" s="5">
        <v>15000</v>
      </c>
      <c r="G708" s="5">
        <v>629209</v>
      </c>
      <c r="H708" s="5">
        <v>7161784</v>
      </c>
      <c r="I708" s="5">
        <v>0</v>
      </c>
      <c r="J708" s="5">
        <v>983874.125</v>
      </c>
    </row>
    <row r="709" spans="1:10" x14ac:dyDescent="0.25">
      <c r="A709" s="4" t="s">
        <v>678</v>
      </c>
      <c r="B709" s="5">
        <v>0</v>
      </c>
      <c r="C709" s="5">
        <v>0</v>
      </c>
      <c r="D709" s="5">
        <v>0</v>
      </c>
      <c r="E709" s="5">
        <v>0</v>
      </c>
      <c r="F709" s="5">
        <v>0</v>
      </c>
      <c r="G709" s="5">
        <v>22441845.300000001</v>
      </c>
      <c r="H709" s="5">
        <v>0</v>
      </c>
      <c r="I709" s="5">
        <v>2473717.67</v>
      </c>
      <c r="J709" s="5">
        <v>2076296.9141666666</v>
      </c>
    </row>
    <row r="710" spans="1:10" x14ac:dyDescent="0.25">
      <c r="A710" s="4" t="s">
        <v>1287</v>
      </c>
      <c r="B710" s="5"/>
      <c r="C710" s="5"/>
      <c r="D710" s="5"/>
      <c r="E710" s="5"/>
      <c r="F710" s="5"/>
      <c r="G710" s="5">
        <v>0</v>
      </c>
      <c r="H710" s="5"/>
      <c r="I710" s="5"/>
      <c r="J710" s="5">
        <v>0</v>
      </c>
    </row>
    <row r="711" spans="1:10" x14ac:dyDescent="0.25">
      <c r="A711" s="4" t="s">
        <v>30</v>
      </c>
      <c r="B711" s="5">
        <v>0</v>
      </c>
      <c r="C711" s="5">
        <v>0</v>
      </c>
      <c r="D711" s="5">
        <v>0</v>
      </c>
      <c r="E711" s="5">
        <v>0</v>
      </c>
      <c r="F711" s="5">
        <v>0</v>
      </c>
      <c r="G711" s="5">
        <v>70922.62</v>
      </c>
      <c r="H711" s="5">
        <v>383770.27</v>
      </c>
      <c r="I711" s="5">
        <v>1793358.4</v>
      </c>
      <c r="J711" s="5">
        <v>299740.17200000002</v>
      </c>
    </row>
    <row r="712" spans="1:10" x14ac:dyDescent="0.25">
      <c r="A712" s="4" t="s">
        <v>748</v>
      </c>
      <c r="B712" s="5">
        <v>0</v>
      </c>
      <c r="C712" s="5">
        <v>0</v>
      </c>
      <c r="D712" s="5">
        <v>21504</v>
      </c>
      <c r="E712" s="5">
        <v>18700</v>
      </c>
      <c r="F712" s="5">
        <v>100643</v>
      </c>
      <c r="G712" s="5">
        <v>6640</v>
      </c>
      <c r="H712" s="5">
        <v>0</v>
      </c>
      <c r="I712" s="5">
        <v>139552.75</v>
      </c>
      <c r="J712" s="5">
        <v>35879.96875</v>
      </c>
    </row>
    <row r="713" spans="1:10" x14ac:dyDescent="0.25">
      <c r="A713" s="4" t="s">
        <v>837</v>
      </c>
      <c r="B713" s="5">
        <v>5005486.41</v>
      </c>
      <c r="C713" s="5">
        <v>165145.38</v>
      </c>
      <c r="D713" s="5">
        <v>-1632384.9</v>
      </c>
      <c r="E713" s="5">
        <v>12305078.210000001</v>
      </c>
      <c r="F713" s="5">
        <v>1147019.8600000001</v>
      </c>
      <c r="G713" s="5">
        <v>1482959.81</v>
      </c>
      <c r="H713" s="5">
        <v>21942.720000000001</v>
      </c>
      <c r="I713" s="5">
        <v>383740.96</v>
      </c>
      <c r="J713" s="5">
        <v>2359873.5562499999</v>
      </c>
    </row>
    <row r="714" spans="1:10" x14ac:dyDescent="0.25">
      <c r="A714" s="4" t="s">
        <v>624</v>
      </c>
      <c r="B714" s="5">
        <v>0</v>
      </c>
      <c r="C714" s="5">
        <v>959048.79</v>
      </c>
      <c r="D714" s="5">
        <v>403149.74</v>
      </c>
      <c r="E714" s="5">
        <v>15804733.689999999</v>
      </c>
      <c r="F714" s="5">
        <v>1432088.58</v>
      </c>
      <c r="G714" s="5">
        <v>-160221.98000000001</v>
      </c>
      <c r="H714" s="5">
        <v>98949.66</v>
      </c>
      <c r="I714" s="5">
        <v>40809.879999999997</v>
      </c>
      <c r="J714" s="5">
        <v>2322319.7949999995</v>
      </c>
    </row>
    <row r="715" spans="1:10" x14ac:dyDescent="0.25">
      <c r="A715" s="4" t="s">
        <v>1227</v>
      </c>
      <c r="B715" s="5"/>
      <c r="C715" s="5"/>
      <c r="D715" s="5"/>
      <c r="E715" s="5"/>
      <c r="F715" s="5">
        <v>0</v>
      </c>
      <c r="G715" s="5">
        <v>3560404.26</v>
      </c>
      <c r="H715" s="5">
        <v>306418.74</v>
      </c>
      <c r="I715" s="5"/>
      <c r="J715" s="5">
        <v>1288941</v>
      </c>
    </row>
    <row r="716" spans="1:10" x14ac:dyDescent="0.25">
      <c r="A716" s="4" t="s">
        <v>135</v>
      </c>
      <c r="B716" s="5">
        <v>861843.62</v>
      </c>
      <c r="C716" s="5">
        <v>-3.37</v>
      </c>
      <c r="D716" s="5">
        <v>430914.84</v>
      </c>
      <c r="E716" s="5">
        <v>430911.5</v>
      </c>
      <c r="F716" s="5">
        <v>468257.89</v>
      </c>
      <c r="G716" s="5">
        <v>430904.47</v>
      </c>
      <c r="H716" s="5">
        <v>205271.03</v>
      </c>
      <c r="I716" s="5">
        <v>0</v>
      </c>
      <c r="J716" s="5">
        <v>353512.4975</v>
      </c>
    </row>
    <row r="717" spans="1:10" x14ac:dyDescent="0.25">
      <c r="A717" s="4" t="s">
        <v>898</v>
      </c>
      <c r="B717" s="5">
        <v>55487251.579999998</v>
      </c>
      <c r="C717" s="5">
        <v>48382276.619999997</v>
      </c>
      <c r="D717" s="5">
        <v>47587643.549999997</v>
      </c>
      <c r="E717" s="5">
        <v>103265644.84999999</v>
      </c>
      <c r="F717" s="5">
        <v>107249250.38</v>
      </c>
      <c r="G717" s="5">
        <v>26763459.199999999</v>
      </c>
      <c r="H717" s="5">
        <v>37068331.399999999</v>
      </c>
      <c r="I717" s="5">
        <v>42920537.100000001</v>
      </c>
      <c r="J717" s="5">
        <v>58590549.335000001</v>
      </c>
    </row>
    <row r="718" spans="1:10" x14ac:dyDescent="0.25">
      <c r="A718" s="4" t="s">
        <v>388</v>
      </c>
      <c r="B718" s="5">
        <v>57230.73</v>
      </c>
      <c r="C718" s="5">
        <v>40000</v>
      </c>
      <c r="D718" s="5">
        <v>12925509.42</v>
      </c>
      <c r="E718" s="5">
        <v>0</v>
      </c>
      <c r="F718" s="5">
        <v>0</v>
      </c>
      <c r="G718" s="5">
        <v>29843.279999999999</v>
      </c>
      <c r="H718" s="5">
        <v>127000</v>
      </c>
      <c r="I718" s="5">
        <v>214120.05</v>
      </c>
      <c r="J718" s="5">
        <v>1674212.9350000001</v>
      </c>
    </row>
    <row r="719" spans="1:10" x14ac:dyDescent="0.25">
      <c r="A719" s="4" t="s">
        <v>644</v>
      </c>
      <c r="B719" s="5">
        <v>242.98</v>
      </c>
      <c r="C719" s="5">
        <v>42486.98</v>
      </c>
      <c r="D719" s="5">
        <v>1440.3</v>
      </c>
      <c r="E719" s="5">
        <v>16320.56</v>
      </c>
      <c r="F719" s="5">
        <v>371627.1</v>
      </c>
      <c r="G719" s="5">
        <v>65304.75</v>
      </c>
      <c r="H719" s="5">
        <v>94022.1</v>
      </c>
      <c r="I719" s="5">
        <v>913840.85</v>
      </c>
      <c r="J719" s="5">
        <v>188160.70250000001</v>
      </c>
    </row>
    <row r="720" spans="1:10" x14ac:dyDescent="0.25">
      <c r="A720" s="4" t="s">
        <v>755</v>
      </c>
      <c r="B720" s="5">
        <v>0</v>
      </c>
      <c r="C720" s="5"/>
      <c r="D720" s="5">
        <v>551046.5</v>
      </c>
      <c r="E720" s="5">
        <v>0</v>
      </c>
      <c r="F720" s="5"/>
      <c r="G720" s="5">
        <v>0</v>
      </c>
      <c r="H720" s="5">
        <v>1112217.33</v>
      </c>
      <c r="I720" s="5">
        <v>3040383.84</v>
      </c>
      <c r="J720" s="5">
        <v>783941.27833333332</v>
      </c>
    </row>
    <row r="721" spans="1:10" x14ac:dyDescent="0.25">
      <c r="A721" s="4" t="s">
        <v>683</v>
      </c>
      <c r="B721" s="5">
        <v>86057.03</v>
      </c>
      <c r="C721" s="5">
        <v>506057.03</v>
      </c>
      <c r="D721" s="5">
        <v>376815.39</v>
      </c>
      <c r="E721" s="5">
        <v>313446.89</v>
      </c>
      <c r="F721" s="5">
        <v>6039983.3799999999</v>
      </c>
      <c r="G721" s="5">
        <v>235388.14</v>
      </c>
      <c r="H721" s="5">
        <v>647500.68999999994</v>
      </c>
      <c r="I721" s="5">
        <v>2640986.19</v>
      </c>
      <c r="J721" s="5">
        <v>1355779.3424999998</v>
      </c>
    </row>
    <row r="722" spans="1:10" x14ac:dyDescent="0.25">
      <c r="A722" s="4" t="s">
        <v>666</v>
      </c>
      <c r="B722" s="5">
        <v>0</v>
      </c>
      <c r="C722" s="5">
        <v>0</v>
      </c>
      <c r="D722" s="5">
        <v>0</v>
      </c>
      <c r="E722" s="5">
        <v>0</v>
      </c>
      <c r="F722" s="5">
        <v>250000</v>
      </c>
      <c r="G722" s="5">
        <v>50000</v>
      </c>
      <c r="H722" s="5">
        <v>100000</v>
      </c>
      <c r="I722" s="5">
        <v>105985.1</v>
      </c>
      <c r="J722" s="5">
        <v>63248.137499999997</v>
      </c>
    </row>
    <row r="723" spans="1:10" x14ac:dyDescent="0.25">
      <c r="A723" s="4" t="s">
        <v>60</v>
      </c>
      <c r="B723" s="5">
        <v>0</v>
      </c>
      <c r="C723" s="5">
        <v>385003</v>
      </c>
      <c r="D723" s="5">
        <v>260000</v>
      </c>
      <c r="E723" s="5">
        <v>335000.3</v>
      </c>
      <c r="F723" s="5">
        <v>170000</v>
      </c>
      <c r="G723" s="5">
        <v>240708.66</v>
      </c>
      <c r="H723" s="5">
        <v>3</v>
      </c>
      <c r="I723" s="5">
        <v>0</v>
      </c>
      <c r="J723" s="5">
        <v>173839.37</v>
      </c>
    </row>
    <row r="724" spans="1:10" x14ac:dyDescent="0.25">
      <c r="A724" s="4" t="s">
        <v>1138</v>
      </c>
      <c r="B724" s="5"/>
      <c r="C724" s="5"/>
      <c r="D724" s="5">
        <v>33699060.109999999</v>
      </c>
      <c r="E724" s="5">
        <v>33989753.689999998</v>
      </c>
      <c r="F724" s="5">
        <v>37853731.850000001</v>
      </c>
      <c r="G724" s="5">
        <v>35264540.219999999</v>
      </c>
      <c r="H724" s="5">
        <v>34300665.259999998</v>
      </c>
      <c r="I724" s="5"/>
      <c r="J724" s="5">
        <v>35021550.225999996</v>
      </c>
    </row>
    <row r="725" spans="1:10" x14ac:dyDescent="0.25">
      <c r="A725" s="4" t="s">
        <v>517</v>
      </c>
      <c r="B725" s="5">
        <v>0</v>
      </c>
      <c r="C725" s="5"/>
      <c r="D725" s="5">
        <v>4221000</v>
      </c>
      <c r="E725" s="5">
        <v>8199000</v>
      </c>
      <c r="F725" s="5">
        <v>4122000</v>
      </c>
      <c r="G725" s="5">
        <v>4212000</v>
      </c>
      <c r="H725" s="5">
        <v>4260000</v>
      </c>
      <c r="I725" s="5">
        <v>4179000</v>
      </c>
      <c r="J725" s="5">
        <v>4170428.5714285714</v>
      </c>
    </row>
    <row r="726" spans="1:10" x14ac:dyDescent="0.25">
      <c r="A726" s="4" t="s">
        <v>1220</v>
      </c>
      <c r="B726" s="5"/>
      <c r="C726" s="5"/>
      <c r="D726" s="5"/>
      <c r="E726" s="5"/>
      <c r="F726" s="5">
        <v>1546729</v>
      </c>
      <c r="G726" s="5">
        <v>253271</v>
      </c>
      <c r="H726" s="5"/>
      <c r="I726" s="5">
        <v>0</v>
      </c>
      <c r="J726" s="5">
        <v>600000</v>
      </c>
    </row>
    <row r="727" spans="1:10" x14ac:dyDescent="0.25">
      <c r="A727" s="4" t="s">
        <v>560</v>
      </c>
      <c r="B727" s="5">
        <v>15009508.9</v>
      </c>
      <c r="C727" s="5">
        <v>-13421646.01</v>
      </c>
      <c r="D727" s="5">
        <v>1807519.25</v>
      </c>
      <c r="E727" s="5">
        <v>14617367.33</v>
      </c>
      <c r="F727" s="5">
        <v>1100328.75</v>
      </c>
      <c r="G727" s="5">
        <v>18071.54</v>
      </c>
      <c r="H727" s="5">
        <v>69537.22</v>
      </c>
      <c r="I727" s="5">
        <v>41760.25</v>
      </c>
      <c r="J727" s="5">
        <v>2405305.9037499996</v>
      </c>
    </row>
    <row r="728" spans="1:10" x14ac:dyDescent="0.25">
      <c r="A728" s="4" t="s">
        <v>1051</v>
      </c>
      <c r="B728" s="5"/>
      <c r="C728" s="5">
        <v>9097611.9100000001</v>
      </c>
      <c r="D728" s="5">
        <v>0</v>
      </c>
      <c r="E728" s="5">
        <v>0</v>
      </c>
      <c r="F728" s="5">
        <v>502388.09</v>
      </c>
      <c r="G728" s="5">
        <v>500000</v>
      </c>
      <c r="H728" s="5">
        <v>10735044.52</v>
      </c>
      <c r="I728" s="5">
        <v>0</v>
      </c>
      <c r="J728" s="5">
        <v>2976434.9314285712</v>
      </c>
    </row>
    <row r="729" spans="1:10" x14ac:dyDescent="0.25">
      <c r="A729" s="4" t="s">
        <v>636</v>
      </c>
      <c r="B729" s="5">
        <v>0</v>
      </c>
      <c r="C729" s="5">
        <v>0</v>
      </c>
      <c r="D729" s="5">
        <v>0</v>
      </c>
      <c r="E729" s="5">
        <v>0</v>
      </c>
      <c r="F729" s="5">
        <v>0</v>
      </c>
      <c r="G729" s="5">
        <v>350000</v>
      </c>
      <c r="H729" s="5">
        <v>1303367</v>
      </c>
      <c r="I729" s="5">
        <v>900000</v>
      </c>
      <c r="J729" s="5">
        <v>319170.875</v>
      </c>
    </row>
    <row r="730" spans="1:10" x14ac:dyDescent="0.25">
      <c r="A730" s="4" t="s">
        <v>1032</v>
      </c>
      <c r="B730" s="5"/>
      <c r="C730" s="5">
        <v>0</v>
      </c>
      <c r="D730" s="5">
        <v>0</v>
      </c>
      <c r="E730" s="5"/>
      <c r="F730" s="5"/>
      <c r="G730" s="5">
        <v>0</v>
      </c>
      <c r="H730" s="5"/>
      <c r="I730" s="5">
        <v>0</v>
      </c>
      <c r="J730" s="5">
        <v>0</v>
      </c>
    </row>
    <row r="731" spans="1:10" x14ac:dyDescent="0.25">
      <c r="A731" s="4" t="s">
        <v>607</v>
      </c>
      <c r="B731" s="5">
        <v>0</v>
      </c>
      <c r="C731" s="5">
        <v>40000</v>
      </c>
      <c r="D731" s="5">
        <v>0</v>
      </c>
      <c r="E731" s="5">
        <v>100000</v>
      </c>
      <c r="F731" s="5">
        <v>91000</v>
      </c>
      <c r="G731" s="5">
        <v>0</v>
      </c>
      <c r="H731" s="5">
        <v>0</v>
      </c>
      <c r="I731" s="5">
        <v>1500</v>
      </c>
      <c r="J731" s="5">
        <v>29062.5</v>
      </c>
    </row>
    <row r="732" spans="1:10" x14ac:dyDescent="0.25">
      <c r="A732" s="4" t="s">
        <v>336</v>
      </c>
      <c r="B732" s="5">
        <v>1164468.21</v>
      </c>
      <c r="C732" s="5">
        <v>-314361.53999999998</v>
      </c>
      <c r="D732" s="5">
        <v>5520961.0300000003</v>
      </c>
      <c r="E732" s="5">
        <v>2138603.4700000002</v>
      </c>
      <c r="F732" s="5">
        <v>9185236.3000000007</v>
      </c>
      <c r="G732" s="5">
        <v>636233.87</v>
      </c>
      <c r="H732" s="5">
        <v>673050.84</v>
      </c>
      <c r="I732" s="5">
        <v>3777511.96</v>
      </c>
      <c r="J732" s="5">
        <v>2847713.0175000001</v>
      </c>
    </row>
    <row r="733" spans="1:10" x14ac:dyDescent="0.25">
      <c r="A733" s="4" t="s">
        <v>367</v>
      </c>
      <c r="B733" s="5">
        <v>0</v>
      </c>
      <c r="C733" s="5">
        <v>0</v>
      </c>
      <c r="D733" s="5">
        <v>0</v>
      </c>
      <c r="E733" s="5"/>
      <c r="F733" s="5"/>
      <c r="G733" s="5"/>
      <c r="H733" s="5"/>
      <c r="I733" s="5"/>
      <c r="J733" s="5">
        <v>0</v>
      </c>
    </row>
    <row r="734" spans="1:10" x14ac:dyDescent="0.25">
      <c r="A734" s="4" t="s">
        <v>360</v>
      </c>
      <c r="B734" s="5">
        <v>0</v>
      </c>
      <c r="C734" s="5">
        <v>0</v>
      </c>
      <c r="D734" s="5">
        <v>47926.18</v>
      </c>
      <c r="E734" s="5">
        <v>0</v>
      </c>
      <c r="F734" s="5">
        <v>150000</v>
      </c>
      <c r="G734" s="5">
        <v>34213.4</v>
      </c>
      <c r="H734" s="5">
        <v>254890</v>
      </c>
      <c r="I734" s="5">
        <v>890000</v>
      </c>
      <c r="J734" s="5">
        <v>172128.69750000001</v>
      </c>
    </row>
    <row r="735" spans="1:10" x14ac:dyDescent="0.25">
      <c r="A735" s="4" t="s">
        <v>802</v>
      </c>
      <c r="B735" s="5">
        <v>109094948.09</v>
      </c>
      <c r="C735" s="5">
        <v>230326547.47</v>
      </c>
      <c r="D735" s="5">
        <v>92518699.109999999</v>
      </c>
      <c r="E735" s="5">
        <v>11530975.07</v>
      </c>
      <c r="F735" s="5">
        <v>440563055.12</v>
      </c>
      <c r="G735" s="5">
        <v>8654000</v>
      </c>
      <c r="H735" s="5">
        <v>-5096325.2</v>
      </c>
      <c r="I735" s="5">
        <v>41450000</v>
      </c>
      <c r="J735" s="5">
        <v>116130237.4575</v>
      </c>
    </row>
    <row r="736" spans="1:10" x14ac:dyDescent="0.25">
      <c r="A736" s="4" t="s">
        <v>325</v>
      </c>
      <c r="B736" s="5">
        <v>5192900.66</v>
      </c>
      <c r="C736" s="5">
        <v>16602898.66</v>
      </c>
      <c r="D736" s="5">
        <v>-3022186.9</v>
      </c>
      <c r="E736" s="5">
        <v>65228.33</v>
      </c>
      <c r="F736" s="5">
        <v>17561159.25</v>
      </c>
      <c r="G736" s="5">
        <v>-50000</v>
      </c>
      <c r="H736" s="5">
        <v>0</v>
      </c>
      <c r="I736" s="5">
        <v>0</v>
      </c>
      <c r="J736" s="5">
        <v>4543750</v>
      </c>
    </row>
    <row r="737" spans="1:10" x14ac:dyDescent="0.25">
      <c r="A737" s="4" t="s">
        <v>604</v>
      </c>
      <c r="B737" s="5">
        <v>79164035.519999996</v>
      </c>
      <c r="C737" s="5">
        <v>132970231.39</v>
      </c>
      <c r="D737" s="5">
        <v>73774476.640000001</v>
      </c>
      <c r="E737" s="5">
        <v>22577197.460000001</v>
      </c>
      <c r="F737" s="5">
        <v>325114058.91000003</v>
      </c>
      <c r="G737" s="5">
        <v>0</v>
      </c>
      <c r="H737" s="5">
        <v>1044477.53</v>
      </c>
      <c r="I737" s="5">
        <v>10150000</v>
      </c>
      <c r="J737" s="5">
        <v>80599309.681250006</v>
      </c>
    </row>
    <row r="738" spans="1:10" x14ac:dyDescent="0.25">
      <c r="A738" s="4" t="s">
        <v>579</v>
      </c>
      <c r="B738" s="5">
        <v>153341.51</v>
      </c>
      <c r="C738" s="5">
        <v>208023.52</v>
      </c>
      <c r="D738" s="5">
        <v>260840.81</v>
      </c>
      <c r="E738" s="5">
        <v>9603.1</v>
      </c>
      <c r="F738" s="5">
        <v>467167.29</v>
      </c>
      <c r="G738" s="5">
        <v>204023.01</v>
      </c>
      <c r="H738" s="5">
        <v>804727.24</v>
      </c>
      <c r="I738" s="5">
        <v>7823.4</v>
      </c>
      <c r="J738" s="5">
        <v>264443.73499999999</v>
      </c>
    </row>
    <row r="739" spans="1:10" x14ac:dyDescent="0.25">
      <c r="A739" s="4" t="s">
        <v>311</v>
      </c>
      <c r="B739" s="5">
        <v>0</v>
      </c>
      <c r="C739" s="5">
        <v>0</v>
      </c>
      <c r="D739" s="5">
        <v>6275164.6600000001</v>
      </c>
      <c r="E739" s="5">
        <v>0</v>
      </c>
      <c r="F739" s="5">
        <v>3000000</v>
      </c>
      <c r="G739" s="5">
        <v>46835580.590000004</v>
      </c>
      <c r="H739" s="5">
        <v>22075922.82</v>
      </c>
      <c r="I739" s="5">
        <v>0</v>
      </c>
      <c r="J739" s="5">
        <v>9773333.5087499991</v>
      </c>
    </row>
    <row r="740" spans="1:10" x14ac:dyDescent="0.25">
      <c r="A740" s="4" t="s">
        <v>591</v>
      </c>
      <c r="B740" s="5">
        <v>2869736.8</v>
      </c>
      <c r="C740" s="5">
        <v>43005521.905000001</v>
      </c>
      <c r="D740" s="5">
        <v>-11248070.094999999</v>
      </c>
      <c r="E740" s="5">
        <v>20937760.815000001</v>
      </c>
      <c r="F740" s="5">
        <v>15148366.955</v>
      </c>
      <c r="G740" s="5">
        <v>917001.20499999996</v>
      </c>
      <c r="H740" s="5">
        <v>7859293.335</v>
      </c>
      <c r="I740" s="5">
        <v>9670540.9499999993</v>
      </c>
      <c r="J740" s="5">
        <v>11145018.983749997</v>
      </c>
    </row>
    <row r="741" spans="1:10" x14ac:dyDescent="0.25">
      <c r="A741" s="4" t="s">
        <v>47</v>
      </c>
      <c r="B741" s="5">
        <v>1201666.6599999999</v>
      </c>
      <c r="C741" s="5">
        <v>2403333.3199999998</v>
      </c>
      <c r="D741" s="5">
        <v>0</v>
      </c>
      <c r="E741" s="5">
        <v>1201666.6599999999</v>
      </c>
      <c r="F741" s="5">
        <v>1201666.6599999999</v>
      </c>
      <c r="G741" s="5">
        <v>8225613.7000000002</v>
      </c>
      <c r="H741" s="5">
        <v>0</v>
      </c>
      <c r="I741" s="5">
        <v>0</v>
      </c>
      <c r="J741" s="5">
        <v>1779243.375</v>
      </c>
    </row>
    <row r="742" spans="1:10" x14ac:dyDescent="0.25">
      <c r="A742" s="4" t="s">
        <v>24</v>
      </c>
      <c r="B742" s="5">
        <v>0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  <c r="I742" s="5"/>
      <c r="J742" s="5">
        <v>0</v>
      </c>
    </row>
    <row r="743" spans="1:10" x14ac:dyDescent="0.25">
      <c r="A743" s="4" t="s">
        <v>629</v>
      </c>
      <c r="B743" s="5">
        <v>301451.84000000003</v>
      </c>
      <c r="C743" s="5">
        <v>380790.31</v>
      </c>
      <c r="D743" s="5">
        <v>223145</v>
      </c>
      <c r="E743" s="5">
        <v>780930.26</v>
      </c>
      <c r="F743" s="5">
        <v>215718.08</v>
      </c>
      <c r="G743" s="5">
        <v>286085</v>
      </c>
      <c r="H743" s="5">
        <v>541300</v>
      </c>
      <c r="I743" s="5">
        <v>96773.23</v>
      </c>
      <c r="J743" s="5">
        <v>353274.21500000003</v>
      </c>
    </row>
    <row r="744" spans="1:10" x14ac:dyDescent="0.25">
      <c r="A744" s="4" t="s">
        <v>951</v>
      </c>
      <c r="B744" s="5"/>
      <c r="C744" s="5">
        <v>199525.18</v>
      </c>
      <c r="D744" s="5">
        <v>0</v>
      </c>
      <c r="E744" s="5">
        <v>0</v>
      </c>
      <c r="F744" s="5">
        <v>0</v>
      </c>
      <c r="G744" s="5">
        <v>0</v>
      </c>
      <c r="H744" s="5">
        <v>2626000</v>
      </c>
      <c r="I744" s="5">
        <v>0</v>
      </c>
      <c r="J744" s="5">
        <v>403646.45428571431</v>
      </c>
    </row>
    <row r="745" spans="1:10" x14ac:dyDescent="0.25">
      <c r="A745" s="4" t="s">
        <v>351</v>
      </c>
      <c r="B745" s="5">
        <v>1287640395.9300001</v>
      </c>
      <c r="C745" s="5">
        <v>1518411811.4400001</v>
      </c>
      <c r="D745" s="5">
        <v>1403803364.6500001</v>
      </c>
      <c r="E745" s="5">
        <v>1401992824.6700001</v>
      </c>
      <c r="F745" s="5">
        <v>1436534317.3800001</v>
      </c>
      <c r="G745" s="5">
        <v>1506471218.9100001</v>
      </c>
      <c r="H745" s="5">
        <v>1470303111.8099999</v>
      </c>
      <c r="I745" s="5">
        <v>1636015590.4100001</v>
      </c>
      <c r="J745" s="5">
        <v>1457646579.4000001</v>
      </c>
    </row>
    <row r="746" spans="1:10" x14ac:dyDescent="0.25">
      <c r="A746" s="4" t="s">
        <v>861</v>
      </c>
      <c r="B746" s="5">
        <v>0</v>
      </c>
      <c r="C746" s="5">
        <v>2533193.4900000002</v>
      </c>
      <c r="D746" s="5">
        <v>10392730.960000001</v>
      </c>
      <c r="E746" s="5">
        <v>33034064.539999999</v>
      </c>
      <c r="F746" s="5">
        <v>52121231.68</v>
      </c>
      <c r="G746" s="5">
        <v>27785337.850000001</v>
      </c>
      <c r="H746" s="5">
        <v>47135827.210000001</v>
      </c>
      <c r="I746" s="5">
        <v>19766343.75</v>
      </c>
      <c r="J746" s="5">
        <v>24096091.185000002</v>
      </c>
    </row>
    <row r="747" spans="1:10" x14ac:dyDescent="0.25">
      <c r="A747" s="4" t="s">
        <v>56</v>
      </c>
      <c r="B747" s="5">
        <v>4357977.1749999998</v>
      </c>
      <c r="C747" s="5">
        <v>10349575.789999999</v>
      </c>
      <c r="D747" s="5">
        <v>4568394.88</v>
      </c>
      <c r="E747" s="5">
        <v>4275809.4000000004</v>
      </c>
      <c r="F747" s="5">
        <v>32120545.210000001</v>
      </c>
      <c r="G747" s="5">
        <v>11305199.039999999</v>
      </c>
      <c r="H747" s="5">
        <v>29796337.550000001</v>
      </c>
      <c r="I747" s="5">
        <v>32520696.129999999</v>
      </c>
      <c r="J747" s="5">
        <v>12816826.305833332</v>
      </c>
    </row>
    <row r="748" spans="1:10" x14ac:dyDescent="0.25">
      <c r="A748" s="4" t="s">
        <v>481</v>
      </c>
      <c r="B748" s="5">
        <v>0</v>
      </c>
      <c r="C748" s="5">
        <v>112695985.78</v>
      </c>
      <c r="D748" s="5">
        <v>313236476.44</v>
      </c>
      <c r="E748" s="5">
        <v>112325475.36</v>
      </c>
      <c r="F748" s="5">
        <v>185399005.40000001</v>
      </c>
      <c r="G748" s="5">
        <v>34364757.450000003</v>
      </c>
      <c r="H748" s="5">
        <v>95234773.060000002</v>
      </c>
      <c r="I748" s="5">
        <v>-14196.21</v>
      </c>
      <c r="J748" s="5">
        <v>106655284.66</v>
      </c>
    </row>
    <row r="749" spans="1:10" x14ac:dyDescent="0.25">
      <c r="A749" s="4" t="s">
        <v>401</v>
      </c>
      <c r="B749" s="5">
        <v>0</v>
      </c>
      <c r="C749" s="5">
        <v>57436629.310000002</v>
      </c>
      <c r="D749" s="5">
        <v>59235208.189999998</v>
      </c>
      <c r="E749" s="5">
        <v>59229375.579999998</v>
      </c>
      <c r="F749" s="5">
        <v>56988701.75</v>
      </c>
      <c r="G749" s="5">
        <v>58486287.479999997</v>
      </c>
      <c r="H749" s="5">
        <v>50408396.399999999</v>
      </c>
      <c r="I749" s="5">
        <v>6692000</v>
      </c>
      <c r="J749" s="5">
        <v>43559574.838749997</v>
      </c>
    </row>
    <row r="750" spans="1:10" x14ac:dyDescent="0.25">
      <c r="A750" s="4" t="s">
        <v>572</v>
      </c>
      <c r="B750" s="5">
        <v>0</v>
      </c>
      <c r="C750" s="5">
        <v>0</v>
      </c>
      <c r="D750" s="5">
        <v>0</v>
      </c>
      <c r="E750" s="5">
        <v>25466431</v>
      </c>
      <c r="F750" s="5">
        <v>120168795.83499999</v>
      </c>
      <c r="G750" s="5">
        <v>35600302.664999999</v>
      </c>
      <c r="H750" s="5">
        <v>90198303.239999995</v>
      </c>
      <c r="I750" s="5">
        <v>90076392.814999998</v>
      </c>
      <c r="J750" s="5">
        <v>48201363.407333329</v>
      </c>
    </row>
    <row r="751" spans="1:10" x14ac:dyDescent="0.25">
      <c r="A751" s="4" t="s">
        <v>389</v>
      </c>
      <c r="B751" s="5">
        <v>0</v>
      </c>
      <c r="C751" s="5">
        <v>0</v>
      </c>
      <c r="D751" s="5"/>
      <c r="E751" s="5">
        <v>0</v>
      </c>
      <c r="F751" s="5"/>
      <c r="G751" s="5"/>
      <c r="H751" s="5">
        <v>500000</v>
      </c>
      <c r="I751" s="5">
        <v>0</v>
      </c>
      <c r="J751" s="5">
        <v>100000</v>
      </c>
    </row>
    <row r="752" spans="1:10" x14ac:dyDescent="0.25">
      <c r="A752" s="4" t="s">
        <v>240</v>
      </c>
      <c r="B752" s="5">
        <v>1031000</v>
      </c>
      <c r="C752" s="5">
        <v>62924.480000000003</v>
      </c>
      <c r="D752" s="5">
        <v>1029220</v>
      </c>
      <c r="E752" s="5">
        <v>30508.03</v>
      </c>
      <c r="F752" s="5">
        <v>175424.68</v>
      </c>
      <c r="G752" s="5">
        <v>441863.03</v>
      </c>
      <c r="H752" s="5">
        <v>457680</v>
      </c>
      <c r="I752" s="5">
        <v>765188.52</v>
      </c>
      <c r="J752" s="5">
        <v>499226.09249999997</v>
      </c>
    </row>
    <row r="753" spans="1:10" x14ac:dyDescent="0.25">
      <c r="A753" s="4" t="s">
        <v>1069</v>
      </c>
      <c r="B753" s="5"/>
      <c r="C753" s="5"/>
      <c r="D753" s="5">
        <v>5000000</v>
      </c>
      <c r="E753" s="5">
        <v>95000000</v>
      </c>
      <c r="F753" s="5"/>
      <c r="G753" s="5">
        <v>0</v>
      </c>
      <c r="H753" s="5"/>
      <c r="I753" s="5"/>
      <c r="J753" s="5">
        <v>33333333.333333332</v>
      </c>
    </row>
    <row r="754" spans="1:10" x14ac:dyDescent="0.25">
      <c r="A754" s="4" t="s">
        <v>537</v>
      </c>
      <c r="B754" s="5">
        <v>6000</v>
      </c>
      <c r="C754" s="5">
        <v>20000</v>
      </c>
      <c r="D754" s="5">
        <v>2025.66</v>
      </c>
      <c r="E754" s="5">
        <v>6317.6</v>
      </c>
      <c r="F754" s="5">
        <v>10000</v>
      </c>
      <c r="G754" s="5"/>
      <c r="H754" s="5">
        <v>0</v>
      </c>
      <c r="I754" s="5">
        <v>0</v>
      </c>
      <c r="J754" s="5">
        <v>6334.7514285714287</v>
      </c>
    </row>
    <row r="755" spans="1:10" x14ac:dyDescent="0.25">
      <c r="A755" s="4" t="s">
        <v>1039</v>
      </c>
      <c r="B755" s="5"/>
      <c r="C755" s="5">
        <v>0</v>
      </c>
      <c r="D755" s="5">
        <v>74870.600000000006</v>
      </c>
      <c r="E755" s="5">
        <v>149976.5</v>
      </c>
      <c r="F755" s="5">
        <v>118142.04</v>
      </c>
      <c r="G755" s="5">
        <v>60424.1</v>
      </c>
      <c r="H755" s="5">
        <v>320173.33</v>
      </c>
      <c r="I755" s="5">
        <v>527826.63</v>
      </c>
      <c r="J755" s="5">
        <v>178773.31428571432</v>
      </c>
    </row>
    <row r="756" spans="1:10" x14ac:dyDescent="0.25">
      <c r="A756" s="4" t="s">
        <v>925</v>
      </c>
      <c r="B756" s="5">
        <v>802000</v>
      </c>
      <c r="C756" s="5">
        <v>-39116.79</v>
      </c>
      <c r="D756" s="5">
        <v>211000</v>
      </c>
      <c r="E756" s="5">
        <v>347752.04</v>
      </c>
      <c r="F756" s="5">
        <v>120000</v>
      </c>
      <c r="G756" s="5">
        <v>53000</v>
      </c>
      <c r="H756" s="5">
        <v>15000</v>
      </c>
      <c r="I756" s="5">
        <v>452000</v>
      </c>
      <c r="J756" s="5">
        <v>245204.40625</v>
      </c>
    </row>
    <row r="757" spans="1:10" x14ac:dyDescent="0.25">
      <c r="A757" s="4" t="s">
        <v>10</v>
      </c>
      <c r="B757" s="5">
        <v>0</v>
      </c>
      <c r="C757" s="5"/>
      <c r="D757" s="5"/>
      <c r="E757" s="5"/>
      <c r="F757" s="5">
        <v>795950</v>
      </c>
      <c r="G757" s="5">
        <v>0</v>
      </c>
      <c r="H757" s="5">
        <v>488762</v>
      </c>
      <c r="I757" s="5">
        <v>3200000</v>
      </c>
      <c r="J757" s="5">
        <v>896942.4</v>
      </c>
    </row>
    <row r="758" spans="1:10" x14ac:dyDescent="0.25">
      <c r="A758" s="4" t="s">
        <v>781</v>
      </c>
      <c r="B758" s="5">
        <v>0</v>
      </c>
      <c r="C758" s="5">
        <v>16500</v>
      </c>
      <c r="D758" s="5">
        <v>14500</v>
      </c>
      <c r="E758" s="5">
        <v>1000</v>
      </c>
      <c r="F758" s="5">
        <v>16096.96</v>
      </c>
      <c r="G758" s="5">
        <v>0</v>
      </c>
      <c r="H758" s="5">
        <v>5961849.4100000001</v>
      </c>
      <c r="I758" s="5">
        <v>35357.089999999997</v>
      </c>
      <c r="J758" s="5">
        <v>552627.31090909091</v>
      </c>
    </row>
    <row r="759" spans="1:10" x14ac:dyDescent="0.25">
      <c r="A759" s="4" t="s">
        <v>499</v>
      </c>
      <c r="B759" s="5">
        <v>0</v>
      </c>
      <c r="C759" s="5">
        <v>0</v>
      </c>
      <c r="D759" s="5">
        <v>0</v>
      </c>
      <c r="E759" s="5">
        <v>0</v>
      </c>
      <c r="F759" s="5">
        <v>0</v>
      </c>
      <c r="G759" s="5">
        <v>0</v>
      </c>
      <c r="H759" s="5">
        <v>2077089.31</v>
      </c>
      <c r="I759" s="5">
        <v>278036.3</v>
      </c>
      <c r="J759" s="5">
        <v>443221.49199999997</v>
      </c>
    </row>
    <row r="760" spans="1:10" x14ac:dyDescent="0.25">
      <c r="A760" s="4" t="s">
        <v>281</v>
      </c>
      <c r="B760" s="5">
        <v>0</v>
      </c>
      <c r="C760" s="5">
        <v>0</v>
      </c>
      <c r="D760" s="5">
        <v>0</v>
      </c>
      <c r="E760" s="5">
        <v>1712000</v>
      </c>
      <c r="F760" s="5">
        <v>0</v>
      </c>
      <c r="G760" s="5">
        <v>3491400</v>
      </c>
      <c r="H760" s="5">
        <v>2555559</v>
      </c>
      <c r="I760" s="5">
        <v>652000</v>
      </c>
      <c r="J760" s="5">
        <v>1051369.875</v>
      </c>
    </row>
    <row r="761" spans="1:10" x14ac:dyDescent="0.25">
      <c r="A761" s="4" t="s">
        <v>470</v>
      </c>
      <c r="B761" s="5">
        <v>54895696.979999997</v>
      </c>
      <c r="C761" s="5">
        <v>1003037474.075</v>
      </c>
      <c r="D761" s="5">
        <v>125192930.77</v>
      </c>
      <c r="E761" s="5">
        <v>667502313.12</v>
      </c>
      <c r="F761" s="5">
        <v>600197312.625</v>
      </c>
      <c r="G761" s="5">
        <v>531552407.42000002</v>
      </c>
      <c r="H761" s="5">
        <v>229310670.54666665</v>
      </c>
      <c r="I761" s="5">
        <v>260915850.96000001</v>
      </c>
      <c r="J761" s="5">
        <v>422030587.26705885</v>
      </c>
    </row>
    <row r="762" spans="1:10" x14ac:dyDescent="0.25">
      <c r="A762" s="4" t="s">
        <v>915</v>
      </c>
      <c r="B762" s="5">
        <v>16809168.489999998</v>
      </c>
      <c r="C762" s="5">
        <v>49254640.609999999</v>
      </c>
      <c r="D762" s="5">
        <v>123983717.20999999</v>
      </c>
      <c r="E762" s="5">
        <v>274057407.75</v>
      </c>
      <c r="F762" s="5">
        <v>154151062.41</v>
      </c>
      <c r="G762" s="5">
        <v>162926734.55000001</v>
      </c>
      <c r="H762" s="5">
        <v>183108858.06</v>
      </c>
      <c r="I762" s="5">
        <v>124141700.58</v>
      </c>
      <c r="J762" s="5">
        <v>136054161.20749998</v>
      </c>
    </row>
    <row r="763" spans="1:10" x14ac:dyDescent="0.25">
      <c r="A763" s="4" t="s">
        <v>254</v>
      </c>
      <c r="B763" s="5">
        <v>0</v>
      </c>
      <c r="C763" s="5">
        <v>0</v>
      </c>
      <c r="D763" s="5">
        <v>204956.27</v>
      </c>
      <c r="E763" s="5">
        <v>58380.84</v>
      </c>
      <c r="F763" s="5">
        <v>27165.5</v>
      </c>
      <c r="G763" s="5">
        <v>144858.44</v>
      </c>
      <c r="H763" s="5">
        <v>244010.67</v>
      </c>
      <c r="I763" s="5">
        <v>176003.13</v>
      </c>
      <c r="J763" s="5">
        <v>106921.85625</v>
      </c>
    </row>
    <row r="764" spans="1:10" x14ac:dyDescent="0.25">
      <c r="A764" s="4" t="s">
        <v>128</v>
      </c>
      <c r="B764" s="5">
        <v>0</v>
      </c>
      <c r="C764" s="5"/>
      <c r="D764" s="5">
        <v>100000</v>
      </c>
      <c r="E764" s="5">
        <v>280333.59000000003</v>
      </c>
      <c r="F764" s="5">
        <v>5156.12</v>
      </c>
      <c r="G764" s="5">
        <v>4262.37</v>
      </c>
      <c r="H764" s="5">
        <v>482082.57</v>
      </c>
      <c r="I764" s="5">
        <v>2111945.25</v>
      </c>
      <c r="J764" s="5">
        <v>426254.27142857143</v>
      </c>
    </row>
    <row r="765" spans="1:10" x14ac:dyDescent="0.25">
      <c r="A765" s="4" t="s">
        <v>640</v>
      </c>
      <c r="B765" s="5">
        <v>0</v>
      </c>
      <c r="C765" s="5"/>
      <c r="D765" s="5">
        <v>0</v>
      </c>
      <c r="E765" s="5">
        <v>0</v>
      </c>
      <c r="F765" s="5">
        <v>0</v>
      </c>
      <c r="G765" s="5">
        <v>0</v>
      </c>
      <c r="H765" s="5">
        <v>0</v>
      </c>
      <c r="I765" s="5"/>
      <c r="J765" s="5">
        <v>0</v>
      </c>
    </row>
    <row r="766" spans="1:10" x14ac:dyDescent="0.25">
      <c r="A766" s="4" t="s">
        <v>228</v>
      </c>
      <c r="B766" s="5">
        <v>272000</v>
      </c>
      <c r="C766" s="5">
        <v>12500</v>
      </c>
      <c r="D766" s="5">
        <v>357906.24</v>
      </c>
      <c r="E766" s="5">
        <v>284667.71000000002</v>
      </c>
      <c r="F766" s="5">
        <v>521548.16</v>
      </c>
      <c r="G766" s="5">
        <v>38667</v>
      </c>
      <c r="H766" s="5">
        <v>1166380.78</v>
      </c>
      <c r="I766" s="5">
        <v>529999.77</v>
      </c>
      <c r="J766" s="5">
        <v>397958.70749999996</v>
      </c>
    </row>
    <row r="767" spans="1:10" x14ac:dyDescent="0.25">
      <c r="A767" s="4" t="s">
        <v>954</v>
      </c>
      <c r="B767" s="5"/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  <c r="I767" s="5">
        <v>0</v>
      </c>
      <c r="J767" s="5">
        <v>0</v>
      </c>
    </row>
    <row r="768" spans="1:10" x14ac:dyDescent="0.25">
      <c r="A768" s="4" t="s">
        <v>799</v>
      </c>
      <c r="B768" s="5">
        <v>72760.039999999994</v>
      </c>
      <c r="C768" s="5">
        <v>164955</v>
      </c>
      <c r="D768" s="5">
        <v>558567</v>
      </c>
      <c r="E768" s="5">
        <v>374616.09</v>
      </c>
      <c r="F768" s="5">
        <v>2296529.96</v>
      </c>
      <c r="G768" s="5">
        <v>553445.57999999996</v>
      </c>
      <c r="H768" s="5">
        <v>1399266.02</v>
      </c>
      <c r="I768" s="5">
        <v>217531.99</v>
      </c>
      <c r="J768" s="5">
        <v>704708.96</v>
      </c>
    </row>
    <row r="769" spans="1:10" x14ac:dyDescent="0.25">
      <c r="A769" s="4" t="s">
        <v>236</v>
      </c>
      <c r="B769" s="5">
        <v>0</v>
      </c>
      <c r="C769" s="5"/>
      <c r="D769" s="5"/>
      <c r="E769" s="5"/>
      <c r="F769" s="5"/>
      <c r="G769" s="5"/>
      <c r="H769" s="5"/>
      <c r="I769" s="5"/>
      <c r="J769" s="5">
        <v>0</v>
      </c>
    </row>
    <row r="770" spans="1:10" x14ac:dyDescent="0.25">
      <c r="A770" s="4" t="s">
        <v>847</v>
      </c>
      <c r="B770" s="5">
        <v>0</v>
      </c>
      <c r="C770" s="5">
        <v>89384.4</v>
      </c>
      <c r="D770" s="5">
        <v>45986.1</v>
      </c>
      <c r="E770" s="5">
        <v>597550.18999999994</v>
      </c>
      <c r="F770" s="5">
        <v>1157257.92</v>
      </c>
      <c r="G770" s="5">
        <v>16163025.83</v>
      </c>
      <c r="H770" s="5">
        <v>158942.54</v>
      </c>
      <c r="I770" s="5">
        <v>707349.15</v>
      </c>
      <c r="J770" s="5">
        <v>2364937.0162499999</v>
      </c>
    </row>
    <row r="771" spans="1:10" x14ac:dyDescent="0.25">
      <c r="A771" s="4" t="s">
        <v>1217</v>
      </c>
      <c r="B771" s="5"/>
      <c r="C771" s="5"/>
      <c r="D771" s="5"/>
      <c r="E771" s="5"/>
      <c r="F771" s="5">
        <v>0</v>
      </c>
      <c r="G771" s="5"/>
      <c r="H771" s="5"/>
      <c r="I771" s="5"/>
      <c r="J771" s="5">
        <v>0</v>
      </c>
    </row>
    <row r="772" spans="1:10" x14ac:dyDescent="0.25">
      <c r="A772" s="4" t="s">
        <v>485</v>
      </c>
      <c r="B772" s="5">
        <v>15000</v>
      </c>
      <c r="C772" s="5">
        <v>89255.51</v>
      </c>
      <c r="D772" s="5">
        <v>11113378.75</v>
      </c>
      <c r="E772" s="5">
        <v>2637071.41</v>
      </c>
      <c r="F772" s="5">
        <v>8072819.3799999999</v>
      </c>
      <c r="G772" s="5">
        <v>677630.43</v>
      </c>
      <c r="H772" s="5">
        <v>3403798.28</v>
      </c>
      <c r="I772" s="5">
        <v>2143955.59</v>
      </c>
      <c r="J772" s="5">
        <v>3519113.6687500002</v>
      </c>
    </row>
    <row r="773" spans="1:10" x14ac:dyDescent="0.25">
      <c r="A773" s="4" t="s">
        <v>1120</v>
      </c>
      <c r="B773" s="5"/>
      <c r="C773" s="5"/>
      <c r="D773" s="5">
        <v>0</v>
      </c>
      <c r="E773" s="5">
        <v>0</v>
      </c>
      <c r="F773" s="5">
        <v>0</v>
      </c>
      <c r="G773" s="5">
        <v>0</v>
      </c>
      <c r="H773" s="5">
        <v>0</v>
      </c>
      <c r="I773" s="5">
        <v>0</v>
      </c>
      <c r="J773" s="5">
        <v>0</v>
      </c>
    </row>
    <row r="774" spans="1:10" x14ac:dyDescent="0.25">
      <c r="A774" s="4" t="s">
        <v>273</v>
      </c>
      <c r="B774" s="5">
        <v>51505.25</v>
      </c>
      <c r="C774" s="5">
        <v>96000</v>
      </c>
      <c r="D774" s="5">
        <v>84071.46</v>
      </c>
      <c r="E774" s="5">
        <v>48800</v>
      </c>
      <c r="F774" s="5">
        <v>164676.94</v>
      </c>
      <c r="G774" s="5">
        <v>0</v>
      </c>
      <c r="H774" s="5">
        <v>6600</v>
      </c>
      <c r="I774" s="5">
        <v>129800</v>
      </c>
      <c r="J774" s="5">
        <v>72681.706250000003</v>
      </c>
    </row>
    <row r="775" spans="1:10" x14ac:dyDescent="0.25">
      <c r="A775" s="4" t="s">
        <v>1046</v>
      </c>
      <c r="B775" s="5"/>
      <c r="C775" s="5">
        <v>30000</v>
      </c>
      <c r="D775" s="5">
        <v>5017724</v>
      </c>
      <c r="E775" s="5">
        <v>14318751.800000001</v>
      </c>
      <c r="F775" s="5">
        <v>1055000</v>
      </c>
      <c r="G775" s="5">
        <v>6356000</v>
      </c>
      <c r="H775" s="5">
        <v>510043.25</v>
      </c>
      <c r="I775" s="5">
        <v>12272351.359999999</v>
      </c>
      <c r="J775" s="5">
        <v>5651410.0585714281</v>
      </c>
    </row>
    <row r="776" spans="1:10" x14ac:dyDescent="0.25">
      <c r="A776" s="4" t="s">
        <v>826</v>
      </c>
      <c r="B776" s="5">
        <v>140000</v>
      </c>
      <c r="C776" s="5">
        <v>195683</v>
      </c>
      <c r="D776" s="5">
        <v>1243500</v>
      </c>
      <c r="E776" s="5">
        <v>572891</v>
      </c>
      <c r="F776" s="5">
        <v>2797861.65</v>
      </c>
      <c r="G776" s="5">
        <v>5137556.13</v>
      </c>
      <c r="H776" s="5">
        <v>9456102.8499999996</v>
      </c>
      <c r="I776" s="5">
        <v>9074801.2799999993</v>
      </c>
      <c r="J776" s="5">
        <v>3577299.4887500005</v>
      </c>
    </row>
    <row r="777" spans="1:10" x14ac:dyDescent="0.25">
      <c r="A777" s="4" t="s">
        <v>564</v>
      </c>
      <c r="B777" s="5">
        <v>0</v>
      </c>
      <c r="C777" s="5">
        <v>0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  <c r="I777" s="5">
        <v>0</v>
      </c>
      <c r="J777" s="5">
        <v>0</v>
      </c>
    </row>
    <row r="778" spans="1:10" x14ac:dyDescent="0.25">
      <c r="A778" s="4" t="s">
        <v>498</v>
      </c>
      <c r="B778" s="5">
        <v>129000</v>
      </c>
      <c r="C778" s="5">
        <v>246826</v>
      </c>
      <c r="D778" s="5">
        <v>606650.77</v>
      </c>
      <c r="E778" s="5">
        <v>746440.23</v>
      </c>
      <c r="F778" s="5">
        <v>597324.63</v>
      </c>
      <c r="G778" s="5">
        <v>428595.88</v>
      </c>
      <c r="H778" s="5">
        <v>382975.37</v>
      </c>
      <c r="I778" s="5">
        <v>619896</v>
      </c>
      <c r="J778" s="5">
        <v>469713.61</v>
      </c>
    </row>
    <row r="779" spans="1:10" x14ac:dyDescent="0.25">
      <c r="A779" s="4" t="s">
        <v>437</v>
      </c>
      <c r="B779" s="5">
        <v>0</v>
      </c>
      <c r="C779" s="5">
        <v>0</v>
      </c>
      <c r="D779" s="5">
        <v>5826138.6699999999</v>
      </c>
      <c r="E779" s="5">
        <v>0</v>
      </c>
      <c r="F779" s="5">
        <v>12640.96</v>
      </c>
      <c r="G779" s="5">
        <v>12170156.33</v>
      </c>
      <c r="H779" s="5">
        <v>0</v>
      </c>
      <c r="I779" s="5">
        <v>0</v>
      </c>
      <c r="J779" s="5">
        <v>2251116.9950000001</v>
      </c>
    </row>
    <row r="780" spans="1:10" x14ac:dyDescent="0.25">
      <c r="A780" s="4" t="s">
        <v>772</v>
      </c>
      <c r="B780" s="5">
        <v>712931</v>
      </c>
      <c r="C780" s="5">
        <v>2485434</v>
      </c>
      <c r="D780" s="5">
        <v>3623253.7</v>
      </c>
      <c r="E780" s="5">
        <v>2865057.03</v>
      </c>
      <c r="F780" s="5">
        <v>1071980.1200000001</v>
      </c>
      <c r="G780" s="5">
        <v>537265.43999999994</v>
      </c>
      <c r="H780" s="5">
        <v>370000</v>
      </c>
      <c r="I780" s="5">
        <v>-187659.53</v>
      </c>
      <c r="J780" s="5">
        <v>1434782.7200000002</v>
      </c>
    </row>
    <row r="781" spans="1:10" x14ac:dyDescent="0.25">
      <c r="A781" s="4" t="s">
        <v>461</v>
      </c>
      <c r="B781" s="5">
        <v>90000</v>
      </c>
      <c r="C781" s="5">
        <v>52500</v>
      </c>
      <c r="D781" s="5">
        <v>152962.64000000001</v>
      </c>
      <c r="E781" s="5">
        <v>160807.19</v>
      </c>
      <c r="F781" s="5">
        <v>56353.77</v>
      </c>
      <c r="G781" s="5">
        <v>61087.1</v>
      </c>
      <c r="H781" s="5">
        <v>1109153.05</v>
      </c>
      <c r="I781" s="5">
        <v>19678.16</v>
      </c>
      <c r="J781" s="5">
        <v>212817.73874999999</v>
      </c>
    </row>
    <row r="782" spans="1:10" x14ac:dyDescent="0.25">
      <c r="A782" s="4" t="s">
        <v>771</v>
      </c>
      <c r="B782" s="5">
        <v>0</v>
      </c>
      <c r="C782" s="5">
        <v>0</v>
      </c>
      <c r="D782" s="5">
        <v>0</v>
      </c>
      <c r="E782" s="5">
        <v>26898375.82</v>
      </c>
      <c r="F782" s="5">
        <v>13297179.07</v>
      </c>
      <c r="G782" s="5">
        <v>1500000</v>
      </c>
      <c r="H782" s="5"/>
      <c r="I782" s="5"/>
      <c r="J782" s="5">
        <v>6949259.1483333334</v>
      </c>
    </row>
    <row r="783" spans="1:10" x14ac:dyDescent="0.25">
      <c r="A783" s="4" t="s">
        <v>158</v>
      </c>
      <c r="B783" s="5">
        <v>0</v>
      </c>
      <c r="C783" s="5">
        <v>2650</v>
      </c>
      <c r="D783" s="5">
        <v>184824.58</v>
      </c>
      <c r="E783" s="5">
        <v>1000</v>
      </c>
      <c r="F783" s="5">
        <v>110000</v>
      </c>
      <c r="G783" s="5">
        <v>135187.03</v>
      </c>
      <c r="H783" s="5">
        <v>0</v>
      </c>
      <c r="I783" s="5">
        <v>65000</v>
      </c>
      <c r="J783" s="5">
        <v>62332.701249999998</v>
      </c>
    </row>
    <row r="784" spans="1:10" x14ac:dyDescent="0.25">
      <c r="A784" s="4" t="s">
        <v>856</v>
      </c>
      <c r="B784" s="5">
        <v>3635350.58</v>
      </c>
      <c r="C784" s="5">
        <v>6331690.0599999996</v>
      </c>
      <c r="D784" s="5">
        <v>5207496.6100000003</v>
      </c>
      <c r="E784" s="5">
        <v>22549560.899999999</v>
      </c>
      <c r="F784" s="5">
        <v>98662434.920000002</v>
      </c>
      <c r="G784" s="5">
        <v>1869804.82</v>
      </c>
      <c r="H784" s="5">
        <v>7834125.0899999999</v>
      </c>
      <c r="I784" s="5">
        <v>584145.84</v>
      </c>
      <c r="J784" s="5">
        <v>18334326.102499999</v>
      </c>
    </row>
    <row r="785" spans="1:10" x14ac:dyDescent="0.25">
      <c r="A785" s="4" t="s">
        <v>326</v>
      </c>
      <c r="B785" s="5">
        <v>120329.2</v>
      </c>
      <c r="C785" s="5">
        <v>915423.22</v>
      </c>
      <c r="D785" s="5">
        <v>2562362.2599999998</v>
      </c>
      <c r="E785" s="5">
        <v>6372956.2699999996</v>
      </c>
      <c r="F785" s="5">
        <v>199628.36</v>
      </c>
      <c r="G785" s="5">
        <v>0</v>
      </c>
      <c r="H785" s="5">
        <v>2240363.0299999998</v>
      </c>
      <c r="I785" s="5">
        <v>71828.710000000006</v>
      </c>
      <c r="J785" s="5">
        <v>1560361.3812499999</v>
      </c>
    </row>
    <row r="786" spans="1:10" x14ac:dyDescent="0.25">
      <c r="A786" s="4" t="s">
        <v>887</v>
      </c>
      <c r="B786" s="5">
        <v>539928.97</v>
      </c>
      <c r="C786" s="5">
        <v>1250603.04</v>
      </c>
      <c r="D786" s="5">
        <v>1523641.01</v>
      </c>
      <c r="E786" s="5">
        <v>3597605.66</v>
      </c>
      <c r="F786" s="5">
        <v>6417949.4100000001</v>
      </c>
      <c r="G786" s="5">
        <v>5004703.5599999996</v>
      </c>
      <c r="H786" s="5">
        <v>4358887.17</v>
      </c>
      <c r="I786" s="5">
        <v>3790355.43</v>
      </c>
      <c r="J786" s="5">
        <v>3310459.28125</v>
      </c>
    </row>
    <row r="787" spans="1:10" x14ac:dyDescent="0.25">
      <c r="A787" s="4" t="s">
        <v>756</v>
      </c>
      <c r="B787" s="5">
        <v>0</v>
      </c>
      <c r="C787" s="5">
        <v>0</v>
      </c>
      <c r="D787" s="5">
        <v>0</v>
      </c>
      <c r="E787" s="5">
        <v>0</v>
      </c>
      <c r="F787" s="5">
        <v>6726624.71</v>
      </c>
      <c r="G787" s="5">
        <v>5346048.6100000003</v>
      </c>
      <c r="H787" s="5">
        <v>1060357.8700000001</v>
      </c>
      <c r="I787" s="5">
        <v>300054.46999999997</v>
      </c>
      <c r="J787" s="5">
        <v>1679135.7075000003</v>
      </c>
    </row>
    <row r="788" spans="1:10" x14ac:dyDescent="0.25">
      <c r="A788" s="4" t="s">
        <v>492</v>
      </c>
      <c r="B788" s="5">
        <v>0</v>
      </c>
      <c r="C788" s="5">
        <v>0</v>
      </c>
      <c r="D788" s="5">
        <v>0</v>
      </c>
      <c r="E788" s="5">
        <v>0</v>
      </c>
      <c r="F788" s="5">
        <v>1049876.55</v>
      </c>
      <c r="G788" s="5">
        <v>8195560.96</v>
      </c>
      <c r="H788" s="5">
        <v>122727043.17</v>
      </c>
      <c r="I788" s="5">
        <v>5124068.8499999996</v>
      </c>
      <c r="J788" s="5">
        <v>17137068.69125</v>
      </c>
    </row>
    <row r="789" spans="1:10" x14ac:dyDescent="0.25">
      <c r="A789" s="4" t="s">
        <v>257</v>
      </c>
      <c r="B789" s="5">
        <v>0</v>
      </c>
      <c r="C789" s="5">
        <v>0</v>
      </c>
      <c r="D789" s="5"/>
      <c r="E789" s="5">
        <v>88343.37</v>
      </c>
      <c r="F789" s="5">
        <v>222961.17</v>
      </c>
      <c r="G789" s="5">
        <v>11628.86</v>
      </c>
      <c r="H789" s="5">
        <v>251413.91</v>
      </c>
      <c r="I789" s="5">
        <v>84642.875</v>
      </c>
      <c r="J789" s="5">
        <v>92954.132500000007</v>
      </c>
    </row>
    <row r="790" spans="1:10" x14ac:dyDescent="0.25">
      <c r="A790" s="4" t="s">
        <v>583</v>
      </c>
      <c r="B790" s="5">
        <v>6009</v>
      </c>
      <c r="C790" s="5">
        <v>0</v>
      </c>
      <c r="D790" s="5">
        <v>-1888.94</v>
      </c>
      <c r="E790" s="5">
        <v>-2739</v>
      </c>
      <c r="F790" s="5">
        <v>121120</v>
      </c>
      <c r="G790" s="5">
        <v>0</v>
      </c>
      <c r="H790" s="5">
        <v>350000</v>
      </c>
      <c r="I790" s="5">
        <v>358122.55</v>
      </c>
      <c r="J790" s="5">
        <v>103827.95125</v>
      </c>
    </row>
    <row r="791" spans="1:10" x14ac:dyDescent="0.25">
      <c r="A791" s="4" t="s">
        <v>1033</v>
      </c>
      <c r="B791" s="5"/>
      <c r="C791" s="5">
        <v>0</v>
      </c>
      <c r="D791" s="5">
        <v>101013.34</v>
      </c>
      <c r="E791" s="5">
        <v>263834.40000000002</v>
      </c>
      <c r="F791" s="5">
        <v>154845.26</v>
      </c>
      <c r="G791" s="5">
        <v>0</v>
      </c>
      <c r="H791" s="5">
        <v>1479054.08</v>
      </c>
      <c r="I791" s="5">
        <v>2042679.2</v>
      </c>
      <c r="J791" s="5">
        <v>577346.61142857152</v>
      </c>
    </row>
    <row r="792" spans="1:10" x14ac:dyDescent="0.25">
      <c r="A792" s="4" t="s">
        <v>1050</v>
      </c>
      <c r="B792" s="5"/>
      <c r="C792" s="5">
        <v>43000</v>
      </c>
      <c r="D792" s="5">
        <v>0</v>
      </c>
      <c r="E792" s="5">
        <v>14000</v>
      </c>
      <c r="F792" s="5">
        <v>50000</v>
      </c>
      <c r="G792" s="5">
        <v>41000</v>
      </c>
      <c r="H792" s="5">
        <v>0</v>
      </c>
      <c r="I792" s="5">
        <v>65000</v>
      </c>
      <c r="J792" s="5">
        <v>30428.571428571428</v>
      </c>
    </row>
    <row r="793" spans="1:10" x14ac:dyDescent="0.25">
      <c r="A793" s="4" t="s">
        <v>918</v>
      </c>
      <c r="B793" s="5">
        <v>70428.36</v>
      </c>
      <c r="C793" s="5">
        <v>96501.89</v>
      </c>
      <c r="D793" s="5">
        <v>47282.66</v>
      </c>
      <c r="E793" s="5">
        <v>108765.04</v>
      </c>
      <c r="F793" s="5">
        <v>67999.67</v>
      </c>
      <c r="G793" s="5">
        <v>79873.11</v>
      </c>
      <c r="H793" s="5">
        <v>123659.39</v>
      </c>
      <c r="I793" s="5">
        <v>33590.19</v>
      </c>
      <c r="J793" s="5">
        <v>78512.538750000007</v>
      </c>
    </row>
    <row r="794" spans="1:10" x14ac:dyDescent="0.25">
      <c r="A794" s="4" t="s">
        <v>188</v>
      </c>
      <c r="B794" s="5">
        <v>1052946.31</v>
      </c>
      <c r="C794" s="5">
        <v>35584.89</v>
      </c>
      <c r="D794" s="5">
        <v>-174754.89</v>
      </c>
      <c r="E794" s="5">
        <v>942187.39</v>
      </c>
      <c r="F794" s="5">
        <v>0</v>
      </c>
      <c r="G794" s="5">
        <v>0</v>
      </c>
      <c r="H794" s="5">
        <v>0</v>
      </c>
      <c r="I794" s="5">
        <v>0</v>
      </c>
      <c r="J794" s="5">
        <v>231995.46249999999</v>
      </c>
    </row>
    <row r="795" spans="1:10" x14ac:dyDescent="0.25">
      <c r="A795" s="4" t="s">
        <v>502</v>
      </c>
      <c r="B795" s="5">
        <v>0</v>
      </c>
      <c r="C795" s="5">
        <v>0</v>
      </c>
      <c r="D795" s="5"/>
      <c r="E795" s="5"/>
      <c r="F795" s="5"/>
      <c r="G795" s="5"/>
      <c r="H795" s="5"/>
      <c r="I795" s="5"/>
      <c r="J795" s="5">
        <v>0</v>
      </c>
    </row>
    <row r="796" spans="1:10" x14ac:dyDescent="0.25">
      <c r="A796" s="4" t="s">
        <v>328</v>
      </c>
      <c r="B796" s="5">
        <v>2451573.23</v>
      </c>
      <c r="C796" s="5">
        <v>3934778.18</v>
      </c>
      <c r="D796" s="5">
        <v>523036.93</v>
      </c>
      <c r="E796" s="5">
        <v>6775480.6100000003</v>
      </c>
      <c r="F796" s="5">
        <v>16015670.050000001</v>
      </c>
      <c r="G796" s="5">
        <v>-390165.04</v>
      </c>
      <c r="H796" s="5">
        <v>123097.35</v>
      </c>
      <c r="I796" s="5">
        <v>-69023</v>
      </c>
      <c r="J796" s="5">
        <v>3670556.0387500003</v>
      </c>
    </row>
    <row r="797" spans="1:10" x14ac:dyDescent="0.25">
      <c r="A797" s="4" t="s">
        <v>697</v>
      </c>
      <c r="B797" s="5">
        <v>8663382.8300000001</v>
      </c>
      <c r="C797" s="5">
        <v>35525121.170000002</v>
      </c>
      <c r="D797" s="5">
        <v>37502815.909999996</v>
      </c>
      <c r="E797" s="5">
        <v>42392082.93</v>
      </c>
      <c r="F797" s="5">
        <v>91793540.790000007</v>
      </c>
      <c r="G797" s="5">
        <v>38623866.600000001</v>
      </c>
      <c r="H797" s="5">
        <v>25682537.25</v>
      </c>
      <c r="I797" s="5">
        <v>28973535.890000001</v>
      </c>
      <c r="J797" s="5">
        <v>38644610.421250001</v>
      </c>
    </row>
    <row r="798" spans="1:10" x14ac:dyDescent="0.25">
      <c r="A798" s="4" t="s">
        <v>858</v>
      </c>
      <c r="B798" s="5">
        <v>266982150.38999999</v>
      </c>
      <c r="C798" s="5">
        <v>952756.26</v>
      </c>
      <c r="D798" s="5">
        <v>100775289.17</v>
      </c>
      <c r="E798" s="5">
        <v>377566997.38999999</v>
      </c>
      <c r="F798" s="5">
        <v>2200</v>
      </c>
      <c r="G798" s="5">
        <v>75056.570000000007</v>
      </c>
      <c r="H798" s="5">
        <v>132644020.43000001</v>
      </c>
      <c r="I798" s="5">
        <v>43000000</v>
      </c>
      <c r="J798" s="5">
        <v>115249808.77625</v>
      </c>
    </row>
    <row r="799" spans="1:10" x14ac:dyDescent="0.25">
      <c r="A799" s="4" t="s">
        <v>434</v>
      </c>
      <c r="B799" s="5">
        <v>0</v>
      </c>
      <c r="C799" s="5">
        <v>0</v>
      </c>
      <c r="D799" s="5">
        <v>0</v>
      </c>
      <c r="E799" s="5"/>
      <c r="F799" s="5">
        <v>0</v>
      </c>
      <c r="G799" s="5">
        <v>159986.44</v>
      </c>
      <c r="H799" s="5">
        <v>0</v>
      </c>
      <c r="I799" s="5">
        <v>0</v>
      </c>
      <c r="J799" s="5">
        <v>22855.205714285716</v>
      </c>
    </row>
    <row r="800" spans="1:10" x14ac:dyDescent="0.25">
      <c r="A800" s="4" t="s">
        <v>439</v>
      </c>
      <c r="B800" s="5">
        <v>0</v>
      </c>
      <c r="C800" s="5"/>
      <c r="D800" s="5">
        <v>11655.75</v>
      </c>
      <c r="E800" s="5">
        <v>24270.36</v>
      </c>
      <c r="F800" s="5">
        <v>347705.92</v>
      </c>
      <c r="G800" s="5">
        <v>86858.65</v>
      </c>
      <c r="H800" s="5">
        <v>116583.11</v>
      </c>
      <c r="I800" s="5">
        <v>114600.46</v>
      </c>
      <c r="J800" s="5">
        <v>100239.17857142855</v>
      </c>
    </row>
    <row r="801" spans="1:10" x14ac:dyDescent="0.25">
      <c r="A801" s="4" t="s">
        <v>536</v>
      </c>
      <c r="B801" s="5">
        <v>2579800</v>
      </c>
      <c r="C801" s="5">
        <v>0</v>
      </c>
      <c r="D801" s="5">
        <v>-175980.96</v>
      </c>
      <c r="E801" s="5">
        <v>45002.9</v>
      </c>
      <c r="F801" s="5">
        <v>60017.72</v>
      </c>
      <c r="G801" s="5">
        <v>334110.27</v>
      </c>
      <c r="H801" s="5">
        <v>408320.33</v>
      </c>
      <c r="I801" s="5">
        <v>873160.64</v>
      </c>
      <c r="J801" s="5">
        <v>515553.86250000005</v>
      </c>
    </row>
    <row r="802" spans="1:10" x14ac:dyDescent="0.25">
      <c r="A802" s="4" t="s">
        <v>715</v>
      </c>
      <c r="B802" s="5">
        <v>708160</v>
      </c>
      <c r="C802" s="5">
        <v>2521319.6</v>
      </c>
      <c r="D802" s="5">
        <v>-163780.39000000001</v>
      </c>
      <c r="E802" s="5">
        <v>187532.04</v>
      </c>
      <c r="F802" s="5">
        <v>3732287.71</v>
      </c>
      <c r="G802" s="5">
        <v>61061.61</v>
      </c>
      <c r="H802" s="5">
        <v>140682.16</v>
      </c>
      <c r="I802" s="5">
        <v>61178.98</v>
      </c>
      <c r="J802" s="5">
        <v>906055.21375000011</v>
      </c>
    </row>
    <row r="803" spans="1:10" x14ac:dyDescent="0.25">
      <c r="A803" s="4" t="s">
        <v>136</v>
      </c>
      <c r="B803" s="5">
        <v>0</v>
      </c>
      <c r="C803" s="5">
        <v>0</v>
      </c>
      <c r="D803" s="5">
        <v>999999</v>
      </c>
      <c r="E803" s="5">
        <v>18776677.5</v>
      </c>
      <c r="F803" s="5">
        <v>1274201.5</v>
      </c>
      <c r="G803" s="5">
        <v>0</v>
      </c>
      <c r="H803" s="5">
        <v>18287926.550000001</v>
      </c>
      <c r="I803" s="5">
        <v>11064685.460000001</v>
      </c>
      <c r="J803" s="5">
        <v>6300436.2512499997</v>
      </c>
    </row>
    <row r="804" spans="1:10" x14ac:dyDescent="0.25">
      <c r="A804" s="4" t="s">
        <v>945</v>
      </c>
      <c r="B804" s="5"/>
      <c r="C804" s="5">
        <v>365553.49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  <c r="I804" s="5">
        <v>0</v>
      </c>
      <c r="J804" s="5">
        <v>52221.927142857145</v>
      </c>
    </row>
    <row r="805" spans="1:10" x14ac:dyDescent="0.25">
      <c r="A805" s="4" t="s">
        <v>904</v>
      </c>
      <c r="B805" s="5">
        <v>1264279.8600000001</v>
      </c>
      <c r="C805" s="5">
        <v>1865192.07</v>
      </c>
      <c r="D805" s="5">
        <v>1987178.73</v>
      </c>
      <c r="E805" s="5">
        <v>2043014.78</v>
      </c>
      <c r="F805" s="5">
        <v>4305817.05</v>
      </c>
      <c r="G805" s="5">
        <v>9864452.9800000004</v>
      </c>
      <c r="H805" s="5">
        <v>3952243.6</v>
      </c>
      <c r="I805" s="5">
        <v>3974065.74</v>
      </c>
      <c r="J805" s="5">
        <v>3657030.6012500003</v>
      </c>
    </row>
    <row r="806" spans="1:10" x14ac:dyDescent="0.25">
      <c r="A806" s="4" t="s">
        <v>597</v>
      </c>
      <c r="B806" s="5">
        <v>26646546.5</v>
      </c>
      <c r="C806" s="5">
        <v>2402179.65</v>
      </c>
      <c r="D806" s="5">
        <v>-2547695.4700000002</v>
      </c>
      <c r="E806" s="5">
        <v>24090562.98</v>
      </c>
      <c r="F806" s="5">
        <v>17522390.68</v>
      </c>
      <c r="G806" s="5">
        <v>4091722.64</v>
      </c>
      <c r="H806" s="5">
        <v>35011290.07</v>
      </c>
      <c r="I806" s="5">
        <v>67357064.060000002</v>
      </c>
      <c r="J806" s="5">
        <v>21821757.638750002</v>
      </c>
    </row>
    <row r="807" spans="1:10" x14ac:dyDescent="0.25">
      <c r="A807" s="4" t="s">
        <v>690</v>
      </c>
      <c r="B807" s="5">
        <v>16927048.809999999</v>
      </c>
      <c r="C807" s="5">
        <v>167912055.69999999</v>
      </c>
      <c r="D807" s="5">
        <v>140475732.83000001</v>
      </c>
      <c r="E807" s="5">
        <v>8657293.7400000002</v>
      </c>
      <c r="F807" s="5">
        <v>11628838.779999999</v>
      </c>
      <c r="G807" s="5">
        <v>2148103.29</v>
      </c>
      <c r="H807" s="5">
        <v>55490595.43</v>
      </c>
      <c r="I807" s="5">
        <v>33295572.629999999</v>
      </c>
      <c r="J807" s="5">
        <v>54566905.151250005</v>
      </c>
    </row>
    <row r="808" spans="1:10" x14ac:dyDescent="0.25">
      <c r="A808" s="4" t="s">
        <v>814</v>
      </c>
      <c r="B808" s="5">
        <v>1607809.9</v>
      </c>
      <c r="C808" s="5">
        <v>699818.17</v>
      </c>
      <c r="D808" s="5">
        <v>3682.65</v>
      </c>
      <c r="E808" s="5">
        <v>301188.25</v>
      </c>
      <c r="F808" s="5">
        <v>4532681.9800000004</v>
      </c>
      <c r="G808" s="5">
        <v>2671008.42</v>
      </c>
      <c r="H808" s="5">
        <v>15867939.99</v>
      </c>
      <c r="I808" s="5">
        <v>9211876.5500000007</v>
      </c>
      <c r="J808" s="5">
        <v>4362000.7387499996</v>
      </c>
    </row>
    <row r="809" spans="1:10" x14ac:dyDescent="0.25">
      <c r="A809" s="4" t="s">
        <v>410</v>
      </c>
      <c r="B809" s="5">
        <v>0</v>
      </c>
      <c r="C809" s="5">
        <v>0</v>
      </c>
      <c r="D809" s="5">
        <v>0</v>
      </c>
      <c r="E809" s="5">
        <v>0</v>
      </c>
      <c r="F809" s="5">
        <v>0</v>
      </c>
      <c r="G809" s="5"/>
      <c r="H809" s="5">
        <v>0</v>
      </c>
      <c r="I809" s="5"/>
      <c r="J809" s="5">
        <v>0</v>
      </c>
    </row>
    <row r="810" spans="1:10" x14ac:dyDescent="0.25">
      <c r="A810" s="4" t="s">
        <v>1094</v>
      </c>
      <c r="B810" s="5"/>
      <c r="C810" s="5"/>
      <c r="D810" s="5">
        <v>0</v>
      </c>
      <c r="E810" s="5"/>
      <c r="F810" s="5">
        <v>0</v>
      </c>
      <c r="G810" s="5"/>
      <c r="H810" s="5"/>
      <c r="I810" s="5"/>
      <c r="J810" s="5">
        <v>0</v>
      </c>
    </row>
    <row r="811" spans="1:10" x14ac:dyDescent="0.25">
      <c r="A811" s="4" t="s">
        <v>777</v>
      </c>
      <c r="B811" s="5">
        <v>344401050</v>
      </c>
      <c r="C811" s="5">
        <v>31029280</v>
      </c>
      <c r="D811" s="5">
        <v>32047720</v>
      </c>
      <c r="E811" s="5">
        <v>6320000</v>
      </c>
      <c r="F811" s="5">
        <v>-11258633</v>
      </c>
      <c r="G811" s="5">
        <v>0</v>
      </c>
      <c r="H811" s="5">
        <v>0</v>
      </c>
      <c r="I811" s="5">
        <v>0</v>
      </c>
      <c r="J811" s="5">
        <v>50317427.125</v>
      </c>
    </row>
    <row r="812" spans="1:10" x14ac:dyDescent="0.25">
      <c r="A812" s="4" t="s">
        <v>581</v>
      </c>
      <c r="B812" s="5">
        <v>412000000</v>
      </c>
      <c r="C812" s="5">
        <v>0</v>
      </c>
      <c r="D812" s="5">
        <v>40000000</v>
      </c>
      <c r="E812" s="5">
        <v>0</v>
      </c>
      <c r="F812" s="5">
        <v>-8739516</v>
      </c>
      <c r="G812" s="5">
        <v>5833302.4900000002</v>
      </c>
      <c r="H812" s="5">
        <v>0</v>
      </c>
      <c r="I812" s="5">
        <v>0</v>
      </c>
      <c r="J812" s="5">
        <v>56136723.311250001</v>
      </c>
    </row>
    <row r="813" spans="1:10" x14ac:dyDescent="0.25">
      <c r="A813" s="4" t="s">
        <v>779</v>
      </c>
      <c r="B813" s="5">
        <v>0</v>
      </c>
      <c r="C813" s="5">
        <v>125812.96</v>
      </c>
      <c r="D813" s="5">
        <v>855172.82</v>
      </c>
      <c r="E813" s="5">
        <v>657790.68000000005</v>
      </c>
      <c r="F813" s="5">
        <v>2516689.96</v>
      </c>
      <c r="G813" s="5">
        <v>81917.41</v>
      </c>
      <c r="H813" s="5">
        <v>440977.29</v>
      </c>
      <c r="I813" s="5">
        <v>215540.39</v>
      </c>
      <c r="J813" s="5">
        <v>611737.68874999997</v>
      </c>
    </row>
    <row r="814" spans="1:10" x14ac:dyDescent="0.25">
      <c r="A814" s="4" t="s">
        <v>886</v>
      </c>
      <c r="B814" s="5">
        <v>6157555.4199999999</v>
      </c>
      <c r="C814" s="5">
        <v>4746275.7300000004</v>
      </c>
      <c r="D814" s="5">
        <v>23485755.530000001</v>
      </c>
      <c r="E814" s="5">
        <v>24374176.84</v>
      </c>
      <c r="F814" s="5">
        <v>25498509.09</v>
      </c>
      <c r="G814" s="5">
        <v>9400324.2300000004</v>
      </c>
      <c r="H814" s="5">
        <v>25362163.91</v>
      </c>
      <c r="I814" s="5">
        <v>7943679.1500000004</v>
      </c>
      <c r="J814" s="5">
        <v>15871054.987500001</v>
      </c>
    </row>
    <row r="815" spans="1:10" x14ac:dyDescent="0.25">
      <c r="A815" s="4" t="s">
        <v>477</v>
      </c>
      <c r="B815" s="5">
        <v>0</v>
      </c>
      <c r="C815" s="5">
        <v>0</v>
      </c>
      <c r="D815" s="5">
        <v>0</v>
      </c>
      <c r="E815" s="5">
        <v>0</v>
      </c>
      <c r="F815" s="5">
        <v>0</v>
      </c>
      <c r="G815" s="5">
        <v>0</v>
      </c>
      <c r="H815" s="5">
        <v>0</v>
      </c>
      <c r="I815" s="5">
        <v>0</v>
      </c>
      <c r="J815" s="5">
        <v>0</v>
      </c>
    </row>
    <row r="816" spans="1:10" x14ac:dyDescent="0.25">
      <c r="A816" s="4" t="s">
        <v>959</v>
      </c>
      <c r="B816" s="5"/>
      <c r="C816" s="5">
        <v>0</v>
      </c>
      <c r="D816" s="5"/>
      <c r="E816" s="5">
        <v>0</v>
      </c>
      <c r="F816" s="5">
        <v>0</v>
      </c>
      <c r="G816" s="5">
        <v>0</v>
      </c>
      <c r="H816" s="5"/>
      <c r="I816" s="5"/>
      <c r="J816" s="5">
        <v>0</v>
      </c>
    </row>
    <row r="817" spans="1:10" x14ac:dyDescent="0.25">
      <c r="A817" s="4" t="s">
        <v>1091</v>
      </c>
      <c r="B817" s="5"/>
      <c r="C817" s="5"/>
      <c r="D817" s="5">
        <v>0</v>
      </c>
      <c r="E817" s="5">
        <v>0</v>
      </c>
      <c r="F817" s="5"/>
      <c r="G817" s="5"/>
      <c r="H817" s="5">
        <v>0</v>
      </c>
      <c r="I817" s="5"/>
      <c r="J817" s="5">
        <v>0</v>
      </c>
    </row>
    <row r="818" spans="1:10" x14ac:dyDescent="0.25">
      <c r="A818" s="4" t="s">
        <v>137</v>
      </c>
      <c r="B818" s="5">
        <v>73484557.370000005</v>
      </c>
      <c r="C818" s="5">
        <v>13051256.52</v>
      </c>
      <c r="D818" s="5">
        <v>-53152636.939999998</v>
      </c>
      <c r="E818" s="5">
        <v>19909329.190000001</v>
      </c>
      <c r="F818" s="5">
        <v>44964995.82</v>
      </c>
      <c r="G818" s="5">
        <v>0.04</v>
      </c>
      <c r="H818" s="5">
        <v>0</v>
      </c>
      <c r="I818" s="5">
        <v>0</v>
      </c>
      <c r="J818" s="5">
        <v>12282187.750000002</v>
      </c>
    </row>
    <row r="819" spans="1:10" x14ac:dyDescent="0.25">
      <c r="A819" s="4" t="s">
        <v>558</v>
      </c>
      <c r="B819" s="5">
        <v>0</v>
      </c>
      <c r="C819" s="5">
        <v>0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  <c r="I819" s="5">
        <v>0</v>
      </c>
      <c r="J819" s="5">
        <v>0</v>
      </c>
    </row>
    <row r="820" spans="1:10" x14ac:dyDescent="0.25">
      <c r="A820" s="4" t="s">
        <v>32</v>
      </c>
      <c r="B820" s="5">
        <v>0</v>
      </c>
      <c r="C820" s="5">
        <v>229171.97</v>
      </c>
      <c r="D820" s="5">
        <v>0</v>
      </c>
      <c r="E820" s="5"/>
      <c r="F820" s="5"/>
      <c r="G820" s="5"/>
      <c r="H820" s="5">
        <v>-229171.97</v>
      </c>
      <c r="I820" s="5">
        <v>0</v>
      </c>
      <c r="J820" s="5">
        <v>0</v>
      </c>
    </row>
    <row r="821" spans="1:10" x14ac:dyDescent="0.25">
      <c r="A821" s="4" t="s">
        <v>768</v>
      </c>
      <c r="B821" s="5">
        <v>0</v>
      </c>
      <c r="C821" s="5"/>
      <c r="D821" s="5"/>
      <c r="E821" s="5"/>
      <c r="F821" s="5"/>
      <c r="G821" s="5"/>
      <c r="H821" s="5"/>
      <c r="I821" s="5">
        <v>0</v>
      </c>
      <c r="J821" s="5">
        <v>0</v>
      </c>
    </row>
    <row r="822" spans="1:10" x14ac:dyDescent="0.25">
      <c r="A822" s="4" t="s">
        <v>972</v>
      </c>
      <c r="B822" s="5"/>
      <c r="C822" s="5">
        <v>0</v>
      </c>
      <c r="D822" s="5"/>
      <c r="E822" s="5"/>
      <c r="F822" s="5"/>
      <c r="G822" s="5"/>
      <c r="H822" s="5"/>
      <c r="I822" s="5">
        <v>0</v>
      </c>
      <c r="J822" s="5">
        <v>0</v>
      </c>
    </row>
    <row r="823" spans="1:10" x14ac:dyDescent="0.25">
      <c r="A823" s="4" t="s">
        <v>133</v>
      </c>
      <c r="B823" s="5">
        <v>0</v>
      </c>
      <c r="C823" s="5"/>
      <c r="D823" s="5">
        <v>0</v>
      </c>
      <c r="E823" s="5">
        <v>507406</v>
      </c>
      <c r="F823" s="5">
        <v>108269</v>
      </c>
      <c r="G823" s="5">
        <v>0</v>
      </c>
      <c r="H823" s="5">
        <v>630000</v>
      </c>
      <c r="I823" s="5">
        <v>226203</v>
      </c>
      <c r="J823" s="5">
        <v>210268.28571428571</v>
      </c>
    </row>
    <row r="824" spans="1:10" x14ac:dyDescent="0.25">
      <c r="A824" s="4" t="s">
        <v>529</v>
      </c>
      <c r="B824" s="5">
        <v>0</v>
      </c>
      <c r="C824" s="5">
        <v>0</v>
      </c>
      <c r="D824" s="5">
        <v>0</v>
      </c>
      <c r="E824" s="5">
        <v>14877681</v>
      </c>
      <c r="F824" s="5">
        <v>11059000</v>
      </c>
      <c r="G824" s="5">
        <v>0</v>
      </c>
      <c r="H824" s="5">
        <v>22946833</v>
      </c>
      <c r="I824" s="5">
        <v>4422303.22</v>
      </c>
      <c r="J824" s="5">
        <v>6663227.1524999999</v>
      </c>
    </row>
    <row r="825" spans="1:10" x14ac:dyDescent="0.25">
      <c r="A825" s="4" t="s">
        <v>424</v>
      </c>
      <c r="B825" s="5">
        <v>0</v>
      </c>
      <c r="C825" s="5">
        <v>0</v>
      </c>
      <c r="D825" s="5">
        <v>1000000</v>
      </c>
      <c r="E825" s="5">
        <v>100000</v>
      </c>
      <c r="F825" s="5">
        <v>1675784.85</v>
      </c>
      <c r="G825" s="5">
        <v>0</v>
      </c>
      <c r="H825" s="5">
        <v>1800000</v>
      </c>
      <c r="I825" s="5">
        <v>6070356</v>
      </c>
      <c r="J825" s="5">
        <v>1330767.60625</v>
      </c>
    </row>
    <row r="826" spans="1:10" x14ac:dyDescent="0.25">
      <c r="A826" s="4" t="s">
        <v>163</v>
      </c>
      <c r="B826" s="5">
        <v>0</v>
      </c>
      <c r="C826" s="5">
        <v>0</v>
      </c>
      <c r="D826" s="5">
        <v>0</v>
      </c>
      <c r="E826" s="5"/>
      <c r="F826" s="5"/>
      <c r="G826" s="5"/>
      <c r="H826" s="5"/>
      <c r="I826" s="5"/>
      <c r="J826" s="5">
        <v>0</v>
      </c>
    </row>
    <row r="827" spans="1:10" x14ac:dyDescent="0.25">
      <c r="A827" s="4" t="s">
        <v>430</v>
      </c>
      <c r="B827" s="5">
        <v>0</v>
      </c>
      <c r="C827" s="5">
        <v>0</v>
      </c>
      <c r="D827" s="5">
        <v>0</v>
      </c>
      <c r="E827" s="5"/>
      <c r="F827" s="5"/>
      <c r="G827" s="5"/>
      <c r="H827" s="5"/>
      <c r="I827" s="5">
        <v>0</v>
      </c>
      <c r="J827" s="5">
        <v>0</v>
      </c>
    </row>
    <row r="828" spans="1:10" x14ac:dyDescent="0.25">
      <c r="A828" s="4" t="s">
        <v>870</v>
      </c>
      <c r="B828" s="5">
        <v>5394577.6799999997</v>
      </c>
      <c r="C828" s="5">
        <v>14942293.039999999</v>
      </c>
      <c r="D828" s="5">
        <v>17433645.609999999</v>
      </c>
      <c r="E828" s="5">
        <v>5927408.6200000001</v>
      </c>
      <c r="F828" s="5">
        <v>4320422.62</v>
      </c>
      <c r="G828" s="5">
        <v>6182725.0700000003</v>
      </c>
      <c r="H828" s="5">
        <v>20199506.91</v>
      </c>
      <c r="I828" s="5">
        <v>10775522.630000001</v>
      </c>
      <c r="J828" s="5">
        <v>10647012.772499999</v>
      </c>
    </row>
    <row r="829" spans="1:10" x14ac:dyDescent="0.25">
      <c r="A829" s="4" t="s">
        <v>1084</v>
      </c>
      <c r="B829" s="5"/>
      <c r="C829" s="5"/>
      <c r="D829" s="5">
        <v>0</v>
      </c>
      <c r="E829" s="5">
        <v>0</v>
      </c>
      <c r="F829" s="5">
        <v>0</v>
      </c>
      <c r="G829" s="5">
        <v>3330667</v>
      </c>
      <c r="H829" s="5"/>
      <c r="I829" s="5">
        <v>1367661</v>
      </c>
      <c r="J829" s="5">
        <v>939665.6</v>
      </c>
    </row>
    <row r="830" spans="1:10" x14ac:dyDescent="0.25">
      <c r="A830" s="4" t="s">
        <v>575</v>
      </c>
      <c r="B830" s="5">
        <v>0</v>
      </c>
      <c r="C830" s="5">
        <v>0</v>
      </c>
      <c r="D830" s="5">
        <v>10360583.25</v>
      </c>
      <c r="E830" s="5">
        <v>61565927.890000001</v>
      </c>
      <c r="F830" s="5">
        <v>11015219.16</v>
      </c>
      <c r="G830" s="5">
        <v>116291049.13</v>
      </c>
      <c r="H830" s="5">
        <v>-364538.41</v>
      </c>
      <c r="I830" s="5">
        <v>8518455.1999999993</v>
      </c>
      <c r="J830" s="5">
        <v>25923337.0275</v>
      </c>
    </row>
    <row r="831" spans="1:10" x14ac:dyDescent="0.25">
      <c r="A831" s="4" t="s">
        <v>418</v>
      </c>
      <c r="B831" s="5">
        <v>0</v>
      </c>
      <c r="C831" s="5">
        <v>4791519.92</v>
      </c>
      <c r="D831" s="5">
        <v>3086282.75</v>
      </c>
      <c r="E831" s="5">
        <v>40049779.049999997</v>
      </c>
      <c r="F831" s="5">
        <v>912413.41</v>
      </c>
      <c r="G831" s="5">
        <v>1241851.3</v>
      </c>
      <c r="H831" s="5">
        <v>4303309.6399999997</v>
      </c>
      <c r="I831" s="5">
        <v>598887.19999999995</v>
      </c>
      <c r="J831" s="5">
        <v>6873005.4087499995</v>
      </c>
    </row>
    <row r="832" spans="1:10" x14ac:dyDescent="0.25">
      <c r="A832" s="4" t="s">
        <v>338</v>
      </c>
      <c r="B832" s="5">
        <v>8368197.4299999997</v>
      </c>
      <c r="C832" s="5">
        <v>3530065.45</v>
      </c>
      <c r="D832" s="5">
        <v>-2389191.48</v>
      </c>
      <c r="E832" s="5">
        <v>7357823.8399999999</v>
      </c>
      <c r="F832" s="5">
        <v>3002637.41</v>
      </c>
      <c r="G832" s="5">
        <v>2428970.13</v>
      </c>
      <c r="H832" s="5">
        <v>2308040.12</v>
      </c>
      <c r="I832" s="5">
        <v>2605355.7799999998</v>
      </c>
      <c r="J832" s="5">
        <v>3401487.335</v>
      </c>
    </row>
    <row r="833" spans="1:10" x14ac:dyDescent="0.25">
      <c r="A833" s="4" t="s">
        <v>571</v>
      </c>
      <c r="B833" s="5">
        <v>399962.77</v>
      </c>
      <c r="C833" s="5">
        <v>1476923.0449999999</v>
      </c>
      <c r="D833" s="5">
        <v>354399.26500000001</v>
      </c>
      <c r="E833" s="5"/>
      <c r="F833" s="5">
        <v>0</v>
      </c>
      <c r="G833" s="5">
        <v>0</v>
      </c>
      <c r="H833" s="5">
        <v>0</v>
      </c>
      <c r="I833" s="5">
        <v>0</v>
      </c>
      <c r="J833" s="5">
        <v>446257.016</v>
      </c>
    </row>
    <row r="834" spans="1:10" x14ac:dyDescent="0.25">
      <c r="A834" s="4" t="s">
        <v>293</v>
      </c>
      <c r="B834" s="5">
        <v>0</v>
      </c>
      <c r="C834" s="5">
        <v>13038229.039999999</v>
      </c>
      <c r="D834" s="5">
        <v>6890619.5700000003</v>
      </c>
      <c r="E834" s="5">
        <v>48625883.560000002</v>
      </c>
      <c r="F834" s="5">
        <v>11893427.880000001</v>
      </c>
      <c r="G834" s="5">
        <v>22328049.870000001</v>
      </c>
      <c r="H834" s="5">
        <v>5168072.0999999996</v>
      </c>
      <c r="I834" s="5">
        <v>2360234.2599999998</v>
      </c>
      <c r="J834" s="5">
        <v>13788064.535</v>
      </c>
    </row>
    <row r="835" spans="1:10" x14ac:dyDescent="0.25">
      <c r="A835" s="4" t="s">
        <v>1031</v>
      </c>
      <c r="B835" s="5"/>
      <c r="C835" s="5">
        <v>0</v>
      </c>
      <c r="D835" s="5">
        <v>80000</v>
      </c>
      <c r="E835" s="5">
        <v>500000</v>
      </c>
      <c r="F835" s="5"/>
      <c r="G835" s="5">
        <v>0</v>
      </c>
      <c r="H835" s="5"/>
      <c r="I835" s="5">
        <v>0</v>
      </c>
      <c r="J835" s="5">
        <v>116000</v>
      </c>
    </row>
    <row r="836" spans="1:10" x14ac:dyDescent="0.25">
      <c r="A836" s="4" t="s">
        <v>200</v>
      </c>
      <c r="B836" s="5">
        <v>35000</v>
      </c>
      <c r="C836" s="5">
        <v>0</v>
      </c>
      <c r="D836" s="5">
        <v>0</v>
      </c>
      <c r="E836" s="5">
        <v>0</v>
      </c>
      <c r="F836" s="5">
        <v>0</v>
      </c>
      <c r="G836" s="5"/>
      <c r="H836" s="5">
        <v>0</v>
      </c>
      <c r="I836" s="5"/>
      <c r="J836" s="5">
        <v>5833.333333333333</v>
      </c>
    </row>
    <row r="837" spans="1:10" x14ac:dyDescent="0.25">
      <c r="A837" s="4" t="s">
        <v>923</v>
      </c>
      <c r="B837" s="5">
        <v>2526576.11</v>
      </c>
      <c r="C837" s="5">
        <v>1491348.86</v>
      </c>
      <c r="D837" s="5">
        <v>3931847.97</v>
      </c>
      <c r="E837" s="5">
        <v>4808072.72</v>
      </c>
      <c r="F837" s="5">
        <v>21460759.93</v>
      </c>
      <c r="G837" s="5">
        <v>3600451.17</v>
      </c>
      <c r="H837" s="5">
        <v>9564356.25</v>
      </c>
      <c r="I837" s="5">
        <v>14798453.43</v>
      </c>
      <c r="J837" s="5">
        <v>7772733.3050000006</v>
      </c>
    </row>
    <row r="838" spans="1:10" x14ac:dyDescent="0.25">
      <c r="A838" s="4" t="s">
        <v>371</v>
      </c>
      <c r="B838" s="5">
        <v>0</v>
      </c>
      <c r="C838" s="5">
        <v>34947.620000000003</v>
      </c>
      <c r="D838" s="5">
        <v>16942.599999999999</v>
      </c>
      <c r="E838" s="5">
        <v>200605.96</v>
      </c>
      <c r="F838" s="5">
        <v>58266.9</v>
      </c>
      <c r="G838" s="5">
        <v>19949.39</v>
      </c>
      <c r="H838" s="5">
        <v>334.83</v>
      </c>
      <c r="I838" s="5">
        <v>105496.68</v>
      </c>
      <c r="J838" s="5">
        <v>54567.997500000005</v>
      </c>
    </row>
    <row r="839" spans="1:10" x14ac:dyDescent="0.25">
      <c r="A839" s="4" t="s">
        <v>633</v>
      </c>
      <c r="B839" s="5">
        <v>0</v>
      </c>
      <c r="C839" s="5">
        <v>6554545.5</v>
      </c>
      <c r="D839" s="5">
        <v>6769948.1299999999</v>
      </c>
      <c r="E839" s="5">
        <v>9415370.8399999999</v>
      </c>
      <c r="F839" s="5">
        <v>6985405.9800000004</v>
      </c>
      <c r="G839" s="5">
        <v>43324520.82</v>
      </c>
      <c r="H839" s="5">
        <v>13657354.550000001</v>
      </c>
      <c r="I839" s="5">
        <v>19370970.52</v>
      </c>
      <c r="J839" s="5">
        <v>13259764.542499999</v>
      </c>
    </row>
    <row r="840" spans="1:10" x14ac:dyDescent="0.25">
      <c r="A840" s="4" t="s">
        <v>710</v>
      </c>
      <c r="B840" s="5">
        <v>0</v>
      </c>
      <c r="C840" s="5">
        <v>0</v>
      </c>
      <c r="D840" s="5">
        <v>24192</v>
      </c>
      <c r="E840" s="5">
        <v>475808</v>
      </c>
      <c r="F840" s="5">
        <v>0</v>
      </c>
      <c r="G840" s="5">
        <v>0</v>
      </c>
      <c r="H840" s="5">
        <v>-80685.13</v>
      </c>
      <c r="I840" s="5">
        <v>20000000</v>
      </c>
      <c r="J840" s="5">
        <v>2552414.3587500001</v>
      </c>
    </row>
    <row r="841" spans="1:10" x14ac:dyDescent="0.25">
      <c r="A841" s="4" t="s">
        <v>1134</v>
      </c>
      <c r="B841" s="5"/>
      <c r="C841" s="5"/>
      <c r="D841" s="5">
        <v>0</v>
      </c>
      <c r="E841" s="5"/>
      <c r="F841" s="5"/>
      <c r="G841" s="5"/>
      <c r="H841" s="5"/>
      <c r="I841" s="5"/>
      <c r="J841" s="5">
        <v>0</v>
      </c>
    </row>
    <row r="842" spans="1:10" x14ac:dyDescent="0.25">
      <c r="A842" s="4" t="s">
        <v>632</v>
      </c>
      <c r="B842" s="5">
        <v>306743.82</v>
      </c>
      <c r="C842" s="5">
        <v>590606.97</v>
      </c>
      <c r="D842" s="5">
        <v>-402572.82</v>
      </c>
      <c r="E842" s="5">
        <v>417956.23</v>
      </c>
      <c r="F842" s="5">
        <v>2066944.49</v>
      </c>
      <c r="G842" s="5">
        <v>273163.83</v>
      </c>
      <c r="H842" s="5">
        <v>164200</v>
      </c>
      <c r="I842" s="5">
        <v>468213.17</v>
      </c>
      <c r="J842" s="5">
        <v>485656.96124999999</v>
      </c>
    </row>
    <row r="843" spans="1:10" x14ac:dyDescent="0.25">
      <c r="A843" s="4" t="s">
        <v>217</v>
      </c>
      <c r="B843" s="5">
        <v>0</v>
      </c>
      <c r="C843" s="5">
        <v>0</v>
      </c>
      <c r="D843" s="5">
        <v>0</v>
      </c>
      <c r="E843" s="5">
        <v>0</v>
      </c>
      <c r="F843" s="5">
        <v>0</v>
      </c>
      <c r="G843" s="5">
        <v>0</v>
      </c>
      <c r="H843" s="5">
        <v>0</v>
      </c>
      <c r="I843" s="5">
        <v>0</v>
      </c>
      <c r="J843" s="5">
        <v>0</v>
      </c>
    </row>
    <row r="844" spans="1:10" x14ac:dyDescent="0.25">
      <c r="A844" s="4" t="s">
        <v>509</v>
      </c>
      <c r="B844" s="5">
        <v>0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  <c r="I844" s="5">
        <v>0</v>
      </c>
      <c r="J844" s="5">
        <v>0</v>
      </c>
    </row>
    <row r="845" spans="1:10" x14ac:dyDescent="0.25">
      <c r="A845" s="4" t="s">
        <v>153</v>
      </c>
      <c r="B845" s="5">
        <v>0</v>
      </c>
      <c r="C845" s="5">
        <v>0</v>
      </c>
      <c r="D845" s="5">
        <v>0</v>
      </c>
      <c r="E845" s="5">
        <v>37630</v>
      </c>
      <c r="F845" s="5">
        <v>316393.71999999997</v>
      </c>
      <c r="G845" s="5">
        <v>90000</v>
      </c>
      <c r="H845" s="5">
        <v>-90000</v>
      </c>
      <c r="I845" s="5">
        <v>0</v>
      </c>
      <c r="J845" s="5">
        <v>44252.964999999997</v>
      </c>
    </row>
    <row r="846" spans="1:10" x14ac:dyDescent="0.25">
      <c r="A846" s="4" t="s">
        <v>980</v>
      </c>
      <c r="B846" s="5"/>
      <c r="C846" s="5">
        <v>0</v>
      </c>
      <c r="D846" s="5">
        <v>0</v>
      </c>
      <c r="E846" s="5">
        <v>0</v>
      </c>
      <c r="F846" s="5"/>
      <c r="G846" s="5"/>
      <c r="H846" s="5"/>
      <c r="I846" s="5"/>
      <c r="J846" s="5">
        <v>0</v>
      </c>
    </row>
    <row r="847" spans="1:10" x14ac:dyDescent="0.25">
      <c r="A847" s="4" t="s">
        <v>796</v>
      </c>
      <c r="B847" s="5">
        <v>42615.12</v>
      </c>
      <c r="C847" s="5">
        <v>4983922.5199999996</v>
      </c>
      <c r="D847" s="5">
        <v>2770320.69</v>
      </c>
      <c r="E847" s="5">
        <v>23124834.02</v>
      </c>
      <c r="F847" s="5">
        <v>7752038.0599999996</v>
      </c>
      <c r="G847" s="5">
        <v>13974712.060000001</v>
      </c>
      <c r="H847" s="5">
        <v>12205427.960000001</v>
      </c>
      <c r="I847" s="5">
        <v>8080338.1200000001</v>
      </c>
      <c r="J847" s="5">
        <v>9116776.0687500015</v>
      </c>
    </row>
    <row r="848" spans="1:10" x14ac:dyDescent="0.25">
      <c r="A848" s="4" t="s">
        <v>160</v>
      </c>
      <c r="B848" s="5">
        <v>0</v>
      </c>
      <c r="C848" s="5"/>
      <c r="D848" s="5"/>
      <c r="E848" s="5"/>
      <c r="F848" s="5"/>
      <c r="G848" s="5">
        <v>675250.93</v>
      </c>
      <c r="H848" s="5">
        <v>90641.15</v>
      </c>
      <c r="I848" s="5">
        <v>0</v>
      </c>
      <c r="J848" s="5">
        <v>191473.02000000002</v>
      </c>
    </row>
    <row r="849" spans="1:10" x14ac:dyDescent="0.25">
      <c r="A849" s="4" t="s">
        <v>767</v>
      </c>
      <c r="B849" s="5">
        <v>25000</v>
      </c>
      <c r="C849" s="5">
        <v>628678.31999999995</v>
      </c>
      <c r="D849" s="5">
        <v>332850.75</v>
      </c>
      <c r="E849" s="5">
        <v>508803.8</v>
      </c>
      <c r="F849" s="5">
        <v>61897.48</v>
      </c>
      <c r="G849" s="5">
        <v>4362354.8</v>
      </c>
      <c r="H849" s="5">
        <v>54212.6</v>
      </c>
      <c r="I849" s="5">
        <v>-162558.94</v>
      </c>
      <c r="J849" s="5">
        <v>726404.85124999983</v>
      </c>
    </row>
    <row r="850" spans="1:10" x14ac:dyDescent="0.25">
      <c r="A850" s="4" t="s">
        <v>287</v>
      </c>
      <c r="B850" s="5">
        <v>0</v>
      </c>
      <c r="C850" s="5">
        <v>41099.360000000001</v>
      </c>
      <c r="D850" s="5">
        <v>1039178.76</v>
      </c>
      <c r="E850" s="5">
        <v>254.59</v>
      </c>
      <c r="F850" s="5">
        <v>20797.96</v>
      </c>
      <c r="G850" s="5">
        <v>60000</v>
      </c>
      <c r="H850" s="5">
        <v>283035</v>
      </c>
      <c r="I850" s="5">
        <v>3010000</v>
      </c>
      <c r="J850" s="5">
        <v>556795.70874999999</v>
      </c>
    </row>
    <row r="851" spans="1:10" x14ac:dyDescent="0.25">
      <c r="A851" s="4" t="s">
        <v>1228</v>
      </c>
      <c r="B851" s="5"/>
      <c r="C851" s="5"/>
      <c r="D851" s="5"/>
      <c r="E851" s="5"/>
      <c r="F851" s="5">
        <v>6227018.3200000003</v>
      </c>
      <c r="G851" s="5"/>
      <c r="H851" s="5"/>
      <c r="I851" s="5"/>
      <c r="J851" s="5">
        <v>6227018.3200000003</v>
      </c>
    </row>
    <row r="852" spans="1:10" x14ac:dyDescent="0.25">
      <c r="A852" s="4" t="s">
        <v>689</v>
      </c>
      <c r="B852" s="5">
        <v>0</v>
      </c>
      <c r="C852" s="5">
        <v>50000</v>
      </c>
      <c r="D852" s="5">
        <v>0</v>
      </c>
      <c r="E852" s="5">
        <v>71000</v>
      </c>
      <c r="F852" s="5">
        <v>874437</v>
      </c>
      <c r="G852" s="5">
        <v>-19442.88</v>
      </c>
      <c r="H852" s="5">
        <v>19442.88</v>
      </c>
      <c r="I852" s="5">
        <v>0</v>
      </c>
      <c r="J852" s="5">
        <v>124429.625</v>
      </c>
    </row>
    <row r="853" spans="1:10" x14ac:dyDescent="0.25">
      <c r="A853" s="4" t="s">
        <v>553</v>
      </c>
      <c r="B853" s="5">
        <v>0</v>
      </c>
      <c r="C853" s="5">
        <v>0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  <c r="I853" s="5">
        <v>0</v>
      </c>
      <c r="J853" s="5">
        <v>0</v>
      </c>
    </row>
    <row r="854" spans="1:10" x14ac:dyDescent="0.25">
      <c r="A854" s="4" t="s">
        <v>511</v>
      </c>
      <c r="B854" s="5">
        <v>64993.93</v>
      </c>
      <c r="C854" s="5">
        <v>75547</v>
      </c>
      <c r="D854" s="5">
        <v>76855.13</v>
      </c>
      <c r="E854" s="5">
        <v>9852.7199999999993</v>
      </c>
      <c r="F854" s="5">
        <v>170704.94</v>
      </c>
      <c r="G854" s="5">
        <v>134608.76999999999</v>
      </c>
      <c r="H854" s="5">
        <v>500017.43</v>
      </c>
      <c r="I854" s="5">
        <v>175540</v>
      </c>
      <c r="J854" s="5">
        <v>151014.99</v>
      </c>
    </row>
    <row r="855" spans="1:10" x14ac:dyDescent="0.25">
      <c r="A855" s="4" t="s">
        <v>569</v>
      </c>
      <c r="B855" s="5">
        <v>0</v>
      </c>
      <c r="C855" s="5">
        <v>0</v>
      </c>
      <c r="D855" s="5"/>
      <c r="E855" s="5">
        <v>100000</v>
      </c>
      <c r="F855" s="5">
        <v>0</v>
      </c>
      <c r="G855" s="5">
        <v>0</v>
      </c>
      <c r="H855" s="5">
        <v>254.59</v>
      </c>
      <c r="I855" s="5"/>
      <c r="J855" s="5">
        <v>16709.098333333332</v>
      </c>
    </row>
    <row r="856" spans="1:10" x14ac:dyDescent="0.25">
      <c r="A856" s="4" t="s">
        <v>742</v>
      </c>
      <c r="B856" s="5">
        <v>1909903.75</v>
      </c>
      <c r="C856" s="5">
        <v>4626980.54</v>
      </c>
      <c r="D856" s="5">
        <v>464212.91</v>
      </c>
      <c r="E856" s="5">
        <v>858016.6</v>
      </c>
      <c r="F856" s="5">
        <v>2143970.9700000002</v>
      </c>
      <c r="G856" s="5">
        <v>89395.36</v>
      </c>
      <c r="H856" s="5">
        <v>-22761.91</v>
      </c>
      <c r="I856" s="5">
        <v>373337.98</v>
      </c>
      <c r="J856" s="5">
        <v>1305382.0249999999</v>
      </c>
    </row>
    <row r="857" spans="1:10" x14ac:dyDescent="0.25">
      <c r="A857" s="4" t="s">
        <v>668</v>
      </c>
      <c r="B857" s="5">
        <v>0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  <c r="I857" s="5">
        <v>0</v>
      </c>
      <c r="J857" s="5">
        <v>0</v>
      </c>
    </row>
    <row r="858" spans="1:10" x14ac:dyDescent="0.25">
      <c r="A858" s="4" t="s">
        <v>346</v>
      </c>
      <c r="B858" s="5">
        <v>0</v>
      </c>
      <c r="C858" s="5"/>
      <c r="D858" s="5"/>
      <c r="E858" s="5"/>
      <c r="F858" s="5">
        <v>122381.11</v>
      </c>
      <c r="G858" s="5">
        <v>0</v>
      </c>
      <c r="H858" s="5">
        <v>0</v>
      </c>
      <c r="I858" s="5">
        <v>0</v>
      </c>
      <c r="J858" s="5">
        <v>24476.222000000002</v>
      </c>
    </row>
    <row r="859" spans="1:10" x14ac:dyDescent="0.25">
      <c r="A859" s="4" t="s">
        <v>790</v>
      </c>
      <c r="B859" s="5">
        <v>4509937.42</v>
      </c>
      <c r="C859" s="5">
        <v>16868047.449999999</v>
      </c>
      <c r="D859" s="5">
        <v>629874.06000000006</v>
      </c>
      <c r="E859" s="5">
        <v>48201394.960000001</v>
      </c>
      <c r="F859" s="5">
        <v>45019329.909999996</v>
      </c>
      <c r="G859" s="5">
        <v>1010310.2</v>
      </c>
      <c r="H859" s="5">
        <v>4732009.32</v>
      </c>
      <c r="I859" s="5">
        <v>2589872.44</v>
      </c>
      <c r="J859" s="5">
        <v>15445096.969999999</v>
      </c>
    </row>
    <row r="860" spans="1:10" x14ac:dyDescent="0.25">
      <c r="A860" s="4" t="s">
        <v>664</v>
      </c>
      <c r="B860" s="5">
        <v>13323911633</v>
      </c>
      <c r="C860" s="5">
        <v>38900422800</v>
      </c>
      <c r="D860" s="5">
        <v>0</v>
      </c>
      <c r="E860" s="5">
        <v>45565799180</v>
      </c>
      <c r="F860" s="5">
        <v>2008200</v>
      </c>
      <c r="G860" s="5">
        <v>6000000</v>
      </c>
      <c r="H860" s="5">
        <v>0</v>
      </c>
      <c r="I860" s="5">
        <v>0</v>
      </c>
      <c r="J860" s="5">
        <v>12224767726.625</v>
      </c>
    </row>
    <row r="861" spans="1:10" x14ac:dyDescent="0.25">
      <c r="A861" s="4" t="s">
        <v>392</v>
      </c>
      <c r="B861" s="5">
        <v>0</v>
      </c>
      <c r="C861" s="5">
        <v>5593366</v>
      </c>
      <c r="D861" s="5">
        <v>0</v>
      </c>
      <c r="E861" s="5">
        <v>0</v>
      </c>
      <c r="F861" s="5">
        <v>15000000</v>
      </c>
      <c r="G861" s="5">
        <v>0</v>
      </c>
      <c r="H861" s="5"/>
      <c r="I861" s="5"/>
      <c r="J861" s="5">
        <v>3432227.6666666665</v>
      </c>
    </row>
    <row r="862" spans="1:10" x14ac:dyDescent="0.25">
      <c r="A862" s="4" t="s">
        <v>1056</v>
      </c>
      <c r="B862" s="5"/>
      <c r="C862" s="5">
        <v>0</v>
      </c>
      <c r="D862" s="5">
        <v>0</v>
      </c>
      <c r="E862" s="5"/>
      <c r="F862" s="5"/>
      <c r="G862" s="5"/>
      <c r="H862" s="5"/>
      <c r="I862" s="5"/>
      <c r="J862" s="5">
        <v>0</v>
      </c>
    </row>
    <row r="863" spans="1:10" x14ac:dyDescent="0.25">
      <c r="A863" s="4" t="s">
        <v>1035</v>
      </c>
      <c r="B863" s="5"/>
      <c r="C863" s="5">
        <v>668000000</v>
      </c>
      <c r="D863" s="5"/>
      <c r="E863" s="5">
        <v>616814670</v>
      </c>
      <c r="F863" s="5"/>
      <c r="G863" s="5">
        <v>620000000</v>
      </c>
      <c r="H863" s="5">
        <v>0</v>
      </c>
      <c r="I863" s="5">
        <v>610000000</v>
      </c>
      <c r="J863" s="5">
        <v>502962934</v>
      </c>
    </row>
    <row r="864" spans="1:10" x14ac:dyDescent="0.25">
      <c r="A864" s="4" t="s">
        <v>283</v>
      </c>
      <c r="B864" s="5">
        <v>0</v>
      </c>
      <c r="C864" s="5">
        <v>0</v>
      </c>
      <c r="D864" s="5">
        <v>0</v>
      </c>
      <c r="E864" s="5">
        <v>0</v>
      </c>
      <c r="F864" s="5"/>
      <c r="G864" s="5"/>
      <c r="H864" s="5"/>
      <c r="I864" s="5"/>
      <c r="J864" s="5">
        <v>0</v>
      </c>
    </row>
    <row r="865" spans="1:10" x14ac:dyDescent="0.25">
      <c r="A865" s="4" t="s">
        <v>792</v>
      </c>
      <c r="B865" s="5">
        <v>278678863</v>
      </c>
      <c r="C865" s="5">
        <v>0</v>
      </c>
      <c r="D865" s="5">
        <v>0</v>
      </c>
      <c r="E865" s="5"/>
      <c r="F865" s="5">
        <v>254149439.55000001</v>
      </c>
      <c r="G865" s="5"/>
      <c r="H865" s="5">
        <v>0</v>
      </c>
      <c r="I865" s="5">
        <v>6286717.5700000003</v>
      </c>
      <c r="J865" s="5">
        <v>89852503.353333339</v>
      </c>
    </row>
    <row r="866" spans="1:10" x14ac:dyDescent="0.25">
      <c r="A866" s="4" t="s">
        <v>335</v>
      </c>
      <c r="B866" s="5">
        <v>35140880.350000001</v>
      </c>
      <c r="C866" s="5">
        <v>41692145.700000003</v>
      </c>
      <c r="D866" s="5">
        <v>205571646.63999999</v>
      </c>
      <c r="E866" s="5">
        <v>23920538.949999999</v>
      </c>
      <c r="F866" s="5">
        <v>32279455.030000001</v>
      </c>
      <c r="G866" s="5">
        <v>44728489.75</v>
      </c>
      <c r="H866" s="5">
        <v>19108889.18</v>
      </c>
      <c r="I866" s="5">
        <v>20933328.600000001</v>
      </c>
      <c r="J866" s="5">
        <v>52921921.774999999</v>
      </c>
    </row>
    <row r="867" spans="1:10" x14ac:dyDescent="0.25">
      <c r="A867" s="4" t="s">
        <v>1067</v>
      </c>
      <c r="B867" s="5"/>
      <c r="C867" s="5"/>
      <c r="D867" s="5">
        <v>112500</v>
      </c>
      <c r="E867" s="5">
        <v>10302.19</v>
      </c>
      <c r="F867" s="5">
        <v>165730.31</v>
      </c>
      <c r="G867" s="5">
        <v>63788.28</v>
      </c>
      <c r="H867" s="5">
        <v>51315.35</v>
      </c>
      <c r="I867" s="5">
        <v>234472.66</v>
      </c>
      <c r="J867" s="5">
        <v>106351.46500000001</v>
      </c>
    </row>
    <row r="868" spans="1:10" x14ac:dyDescent="0.25">
      <c r="A868" s="4" t="s">
        <v>157</v>
      </c>
      <c r="B868" s="5">
        <v>60000</v>
      </c>
      <c r="C868" s="5">
        <v>4725</v>
      </c>
      <c r="D868" s="5">
        <v>987008.41</v>
      </c>
      <c r="E868" s="5">
        <v>1598.64</v>
      </c>
      <c r="F868" s="5">
        <v>1362302.1</v>
      </c>
      <c r="G868" s="5">
        <v>-292497.76</v>
      </c>
      <c r="H868" s="5">
        <v>62983.75</v>
      </c>
      <c r="I868" s="5">
        <v>755816.45</v>
      </c>
      <c r="J868" s="5">
        <v>367742.0737500001</v>
      </c>
    </row>
    <row r="869" spans="1:10" x14ac:dyDescent="0.25">
      <c r="A869" s="4" t="s">
        <v>988</v>
      </c>
      <c r="B869" s="5"/>
      <c r="C869" s="5">
        <v>52577993</v>
      </c>
      <c r="D869" s="5">
        <v>-40463584.409999996</v>
      </c>
      <c r="E869" s="5">
        <v>4174999.98</v>
      </c>
      <c r="F869" s="5">
        <v>57663584.409999996</v>
      </c>
      <c r="G869" s="5">
        <v>2547006.98</v>
      </c>
      <c r="H869" s="5">
        <v>0</v>
      </c>
      <c r="I869" s="5">
        <v>0</v>
      </c>
      <c r="J869" s="5">
        <v>10928571.422857145</v>
      </c>
    </row>
    <row r="870" spans="1:10" x14ac:dyDescent="0.25">
      <c r="A870" s="4" t="s">
        <v>440</v>
      </c>
      <c r="B870" s="5">
        <v>131371.39000000001</v>
      </c>
      <c r="C870" s="5">
        <v>99705.2</v>
      </c>
      <c r="D870" s="5">
        <v>344489.11</v>
      </c>
      <c r="E870" s="5">
        <v>417086.29</v>
      </c>
      <c r="F870" s="5">
        <v>1400925.11</v>
      </c>
      <c r="G870" s="5">
        <v>294922.65999999997</v>
      </c>
      <c r="H870" s="5">
        <v>431853.58</v>
      </c>
      <c r="I870" s="5">
        <v>193467.34</v>
      </c>
      <c r="J870" s="5">
        <v>414227.58500000002</v>
      </c>
    </row>
    <row r="871" spans="1:10" x14ac:dyDescent="0.25">
      <c r="A871" s="4" t="s">
        <v>1268</v>
      </c>
      <c r="B871" s="5"/>
      <c r="C871" s="5"/>
      <c r="D871" s="5"/>
      <c r="E871" s="5"/>
      <c r="F871" s="5"/>
      <c r="G871" s="5">
        <v>16786.77</v>
      </c>
      <c r="H871" s="5">
        <v>3805728.68</v>
      </c>
      <c r="I871" s="5">
        <v>-1137.46</v>
      </c>
      <c r="J871" s="5">
        <v>1273792.6633333333</v>
      </c>
    </row>
    <row r="872" spans="1:10" x14ac:dyDescent="0.25">
      <c r="A872" s="4" t="s">
        <v>1116</v>
      </c>
      <c r="B872" s="5"/>
      <c r="C872" s="5"/>
      <c r="D872" s="5">
        <v>120896.03</v>
      </c>
      <c r="E872" s="5">
        <v>-74542.62</v>
      </c>
      <c r="F872" s="5"/>
      <c r="G872" s="5"/>
      <c r="H872" s="5"/>
      <c r="I872" s="5">
        <v>0</v>
      </c>
      <c r="J872" s="5">
        <v>15451.136666666667</v>
      </c>
    </row>
    <row r="873" spans="1:10" x14ac:dyDescent="0.25">
      <c r="A873" s="4" t="s">
        <v>1007</v>
      </c>
      <c r="B873" s="5"/>
      <c r="C873" s="5">
        <v>4513350</v>
      </c>
      <c r="D873" s="5">
        <v>30100</v>
      </c>
      <c r="E873" s="5"/>
      <c r="F873" s="5"/>
      <c r="G873" s="5">
        <v>2973621</v>
      </c>
      <c r="H873" s="5">
        <v>0</v>
      </c>
      <c r="I873" s="5">
        <v>0</v>
      </c>
      <c r="J873" s="5">
        <v>1503414.2</v>
      </c>
    </row>
    <row r="874" spans="1:10" x14ac:dyDescent="0.25">
      <c r="A874" s="4" t="s">
        <v>1255</v>
      </c>
      <c r="B874" s="5"/>
      <c r="C874" s="5"/>
      <c r="D874" s="5"/>
      <c r="E874" s="5"/>
      <c r="F874" s="5">
        <v>1742400</v>
      </c>
      <c r="G874" s="5">
        <v>17256801.550000001</v>
      </c>
      <c r="H874" s="5">
        <v>0</v>
      </c>
      <c r="I874" s="5">
        <v>6200000</v>
      </c>
      <c r="J874" s="5">
        <v>6299800.3875000002</v>
      </c>
    </row>
    <row r="875" spans="1:10" x14ac:dyDescent="0.25">
      <c r="A875" s="4" t="s">
        <v>1189</v>
      </c>
      <c r="B875" s="5"/>
      <c r="C875" s="5"/>
      <c r="D875" s="5"/>
      <c r="E875" s="5">
        <v>2206000</v>
      </c>
      <c r="F875" s="5">
        <v>6013600.6600000001</v>
      </c>
      <c r="G875" s="5">
        <v>1914546.08</v>
      </c>
      <c r="H875" s="5">
        <v>42368990.520000003</v>
      </c>
      <c r="I875" s="5">
        <v>0</v>
      </c>
      <c r="J875" s="5">
        <v>10500627.452000001</v>
      </c>
    </row>
    <row r="876" spans="1:10" x14ac:dyDescent="0.25">
      <c r="A876" s="4" t="s">
        <v>1205</v>
      </c>
      <c r="B876" s="5"/>
      <c r="C876" s="5"/>
      <c r="D876" s="5"/>
      <c r="E876" s="5">
        <v>30494351.329999998</v>
      </c>
      <c r="F876" s="5">
        <v>90654075.980000004</v>
      </c>
      <c r="G876" s="5">
        <v>5264391.71</v>
      </c>
      <c r="H876" s="5">
        <v>7255259.5999999996</v>
      </c>
      <c r="I876" s="5">
        <v>3474587.72</v>
      </c>
      <c r="J876" s="5">
        <v>27428533.267999999</v>
      </c>
    </row>
    <row r="877" spans="1:10" x14ac:dyDescent="0.25">
      <c r="A877" s="4" t="s">
        <v>1157</v>
      </c>
      <c r="B877" s="5"/>
      <c r="C877" s="5"/>
      <c r="D877" s="5"/>
      <c r="E877" s="5">
        <v>7032929.1900000004</v>
      </c>
      <c r="F877" s="5">
        <v>6470940.8499999996</v>
      </c>
      <c r="G877" s="5">
        <v>9164771.8599999994</v>
      </c>
      <c r="H877" s="5">
        <v>6174.1</v>
      </c>
      <c r="I877" s="5"/>
      <c r="J877" s="5">
        <v>5668704</v>
      </c>
    </row>
    <row r="878" spans="1:10" x14ac:dyDescent="0.25">
      <c r="A878" s="4" t="s">
        <v>930</v>
      </c>
      <c r="B878" s="5"/>
      <c r="C878" s="5">
        <v>0</v>
      </c>
      <c r="D878" s="5">
        <v>1659385</v>
      </c>
      <c r="E878" s="5">
        <v>0</v>
      </c>
      <c r="F878" s="5">
        <v>7299024.5999999996</v>
      </c>
      <c r="G878" s="5">
        <v>0</v>
      </c>
      <c r="H878" s="5">
        <v>832000</v>
      </c>
      <c r="I878" s="5">
        <v>0</v>
      </c>
      <c r="J878" s="5">
        <v>1398629.9428571428</v>
      </c>
    </row>
    <row r="879" spans="1:10" x14ac:dyDescent="0.25">
      <c r="A879" s="4" t="s">
        <v>247</v>
      </c>
      <c r="B879" s="5">
        <v>0</v>
      </c>
      <c r="C879" s="5"/>
      <c r="D879" s="5"/>
      <c r="E879" s="5"/>
      <c r="F879" s="5"/>
      <c r="G879" s="5"/>
      <c r="H879" s="5"/>
      <c r="I879" s="5"/>
      <c r="J879" s="5">
        <v>0</v>
      </c>
    </row>
    <row r="880" spans="1:10" x14ac:dyDescent="0.25">
      <c r="A880" s="4" t="s">
        <v>888</v>
      </c>
      <c r="B880" s="5">
        <v>6068458.8899999997</v>
      </c>
      <c r="C880" s="5">
        <v>10870543.970000001</v>
      </c>
      <c r="D880" s="5">
        <v>10427093.5</v>
      </c>
      <c r="E880" s="5">
        <v>14112131.300000001</v>
      </c>
      <c r="F880" s="5">
        <v>8139661.1100000003</v>
      </c>
      <c r="G880" s="5">
        <v>39217725.310000002</v>
      </c>
      <c r="H880" s="5">
        <v>16889881.170000002</v>
      </c>
      <c r="I880" s="5">
        <v>14059876.52</v>
      </c>
      <c r="J880" s="5">
        <v>14973171.471249999</v>
      </c>
    </row>
    <row r="881" spans="1:10" x14ac:dyDescent="0.25">
      <c r="A881" s="4" t="s">
        <v>531</v>
      </c>
      <c r="B881" s="5">
        <v>0</v>
      </c>
      <c r="C881" s="5">
        <v>0</v>
      </c>
      <c r="D881" s="5">
        <v>0</v>
      </c>
      <c r="E881" s="5">
        <v>0</v>
      </c>
      <c r="F881" s="5">
        <v>0</v>
      </c>
      <c r="G881" s="5">
        <v>0</v>
      </c>
      <c r="H881" s="5"/>
      <c r="I881" s="5"/>
      <c r="J881" s="5">
        <v>0</v>
      </c>
    </row>
    <row r="882" spans="1:10" x14ac:dyDescent="0.25">
      <c r="A882" s="4" t="s">
        <v>606</v>
      </c>
      <c r="B882" s="5">
        <v>1221901.29</v>
      </c>
      <c r="C882" s="5">
        <v>1600793.31</v>
      </c>
      <c r="D882" s="5">
        <v>37043968.520000003</v>
      </c>
      <c r="E882" s="5">
        <v>9396203.5800000001</v>
      </c>
      <c r="F882" s="5">
        <v>83589125.269999996</v>
      </c>
      <c r="G882" s="5">
        <v>77450936.849999994</v>
      </c>
      <c r="H882" s="5">
        <v>-97943.07</v>
      </c>
      <c r="I882" s="5">
        <v>13457003.960000001</v>
      </c>
      <c r="J882" s="5">
        <v>27957748.713750001</v>
      </c>
    </row>
    <row r="883" spans="1:10" x14ac:dyDescent="0.25">
      <c r="A883" s="4" t="s">
        <v>1292</v>
      </c>
      <c r="B883" s="5"/>
      <c r="C883" s="5"/>
      <c r="D883" s="5"/>
      <c r="E883" s="5"/>
      <c r="F883" s="5"/>
      <c r="G883" s="5">
        <v>0</v>
      </c>
      <c r="H883" s="5">
        <v>0</v>
      </c>
      <c r="I883" s="5"/>
      <c r="J883" s="5">
        <v>0</v>
      </c>
    </row>
    <row r="884" spans="1:10" x14ac:dyDescent="0.25">
      <c r="A884" s="4" t="s">
        <v>1275</v>
      </c>
      <c r="B884" s="5"/>
      <c r="C884" s="5"/>
      <c r="D884" s="5"/>
      <c r="E884" s="5"/>
      <c r="F884" s="5"/>
      <c r="G884" s="5">
        <v>0</v>
      </c>
      <c r="H884" s="5">
        <v>0</v>
      </c>
      <c r="I884" s="5"/>
      <c r="J884" s="5">
        <v>0</v>
      </c>
    </row>
    <row r="885" spans="1:10" x14ac:dyDescent="0.25">
      <c r="A885" s="4" t="s">
        <v>446</v>
      </c>
      <c r="B885" s="5">
        <v>95291609.959999993</v>
      </c>
      <c r="C885" s="5">
        <v>64532.57</v>
      </c>
      <c r="D885" s="5">
        <v>-9976108.5800000001</v>
      </c>
      <c r="E885" s="5">
        <v>146282949.11000001</v>
      </c>
      <c r="F885" s="5">
        <v>63759138.780000001</v>
      </c>
      <c r="G885" s="5">
        <v>3248096.95</v>
      </c>
      <c r="H885" s="5">
        <v>41900851.920000002</v>
      </c>
      <c r="I885" s="5">
        <v>-10037379.369999999</v>
      </c>
      <c r="J885" s="5">
        <v>41316711.417500004</v>
      </c>
    </row>
    <row r="886" spans="1:10" x14ac:dyDescent="0.25">
      <c r="A886" s="4" t="s">
        <v>737</v>
      </c>
      <c r="B886" s="5">
        <v>4178412.05</v>
      </c>
      <c r="C886" s="5">
        <v>4425661.29</v>
      </c>
      <c r="D886" s="5">
        <v>10179994.42</v>
      </c>
      <c r="E886" s="5">
        <v>7884344.29</v>
      </c>
      <c r="F886" s="5">
        <v>16500000</v>
      </c>
      <c r="G886" s="5">
        <v>550000</v>
      </c>
      <c r="H886" s="5">
        <v>2200000</v>
      </c>
      <c r="I886" s="5">
        <v>0</v>
      </c>
      <c r="J886" s="5">
        <v>5739801.5062499996</v>
      </c>
    </row>
    <row r="887" spans="1:10" x14ac:dyDescent="0.25">
      <c r="A887" s="4" t="s">
        <v>914</v>
      </c>
      <c r="B887" s="5">
        <v>73036497.700000003</v>
      </c>
      <c r="C887" s="5">
        <v>82424502.359999999</v>
      </c>
      <c r="D887" s="5">
        <v>61479463.435000002</v>
      </c>
      <c r="E887" s="5">
        <v>98087786.359999999</v>
      </c>
      <c r="F887" s="5">
        <v>90443176.769999996</v>
      </c>
      <c r="G887" s="5">
        <v>45297334.939999998</v>
      </c>
      <c r="H887" s="5">
        <v>69548954.719999999</v>
      </c>
      <c r="I887" s="5">
        <v>35812918.344999999</v>
      </c>
      <c r="J887" s="5">
        <v>64022442.172500014</v>
      </c>
    </row>
    <row r="888" spans="1:10" x14ac:dyDescent="0.25">
      <c r="A888" s="4" t="s">
        <v>505</v>
      </c>
      <c r="B888" s="5">
        <v>2602013.73</v>
      </c>
      <c r="C888" s="5">
        <v>10913363.98</v>
      </c>
      <c r="D888" s="5">
        <v>50988694.579999998</v>
      </c>
      <c r="E888" s="5">
        <v>729272.2</v>
      </c>
      <c r="F888" s="5">
        <v>5037117.96</v>
      </c>
      <c r="G888" s="5">
        <v>69785421.659999996</v>
      </c>
      <c r="H888" s="5">
        <v>104630710.08</v>
      </c>
      <c r="I888" s="5">
        <v>54722381.810000002</v>
      </c>
      <c r="J888" s="5">
        <v>37426122</v>
      </c>
    </row>
    <row r="889" spans="1:10" x14ac:dyDescent="0.25">
      <c r="A889" s="4" t="s">
        <v>527</v>
      </c>
      <c r="B889" s="5">
        <v>2070350</v>
      </c>
      <c r="C889" s="5">
        <v>38067695.68</v>
      </c>
      <c r="D889" s="5">
        <v>29600</v>
      </c>
      <c r="E889" s="5">
        <v>5179527.7</v>
      </c>
      <c r="F889" s="5">
        <v>60000</v>
      </c>
      <c r="G889" s="5">
        <v>86976.39</v>
      </c>
      <c r="H889" s="5">
        <v>69307.05</v>
      </c>
      <c r="I889" s="5">
        <v>22820586.800000001</v>
      </c>
      <c r="J889" s="5">
        <v>8548005.4525000006</v>
      </c>
    </row>
    <row r="890" spans="1:10" x14ac:dyDescent="0.25">
      <c r="A890" s="4" t="s">
        <v>414</v>
      </c>
      <c r="B890" s="5">
        <v>256989.82</v>
      </c>
      <c r="C890" s="5">
        <v>0</v>
      </c>
      <c r="D890" s="5">
        <v>84733.1</v>
      </c>
      <c r="E890" s="5">
        <v>3551476.94</v>
      </c>
      <c r="F890" s="5">
        <v>83988.4</v>
      </c>
      <c r="G890" s="5">
        <v>6319956.1799999997</v>
      </c>
      <c r="H890" s="5">
        <v>935082.96</v>
      </c>
      <c r="I890" s="5">
        <v>245738.47</v>
      </c>
      <c r="J890" s="5">
        <v>1434745.7337499999</v>
      </c>
    </row>
    <row r="891" spans="1:10" x14ac:dyDescent="0.25">
      <c r="A891" s="4" t="s">
        <v>519</v>
      </c>
      <c r="B891" s="5">
        <v>0</v>
      </c>
      <c r="C891" s="5">
        <v>38918</v>
      </c>
      <c r="D891" s="5">
        <v>193099.27</v>
      </c>
      <c r="E891" s="5">
        <v>640391.5</v>
      </c>
      <c r="F891" s="5">
        <v>108490.48</v>
      </c>
      <c r="G891" s="5">
        <v>250674.41</v>
      </c>
      <c r="H891" s="5">
        <v>1632916.2</v>
      </c>
      <c r="I891" s="5">
        <v>274296.38</v>
      </c>
      <c r="J891" s="5">
        <v>392348.27999999997</v>
      </c>
    </row>
    <row r="892" spans="1:10" x14ac:dyDescent="0.25">
      <c r="A892" s="4" t="s">
        <v>269</v>
      </c>
      <c r="B892" s="5">
        <v>13946142.550000001</v>
      </c>
      <c r="C892" s="5">
        <v>3837989.38</v>
      </c>
      <c r="D892" s="5">
        <v>0</v>
      </c>
      <c r="E892" s="5">
        <v>0</v>
      </c>
      <c r="F892" s="5">
        <v>9647941.9299999997</v>
      </c>
      <c r="G892" s="5">
        <v>0</v>
      </c>
      <c r="H892" s="5">
        <v>3140800</v>
      </c>
      <c r="I892" s="5">
        <v>0</v>
      </c>
      <c r="J892" s="5">
        <v>3821609.2324999999</v>
      </c>
    </row>
    <row r="893" spans="1:10" x14ac:dyDescent="0.25">
      <c r="A893" s="4" t="s">
        <v>381</v>
      </c>
      <c r="B893" s="5">
        <v>1478668.37</v>
      </c>
      <c r="C893" s="5">
        <v>1626047.06</v>
      </c>
      <c r="D893" s="5">
        <v>-1992212.72</v>
      </c>
      <c r="E893" s="5">
        <v>1529147.2</v>
      </c>
      <c r="F893" s="5">
        <v>152308.18</v>
      </c>
      <c r="G893" s="5">
        <v>233163.9</v>
      </c>
      <c r="H893" s="5">
        <v>99694.99</v>
      </c>
      <c r="I893" s="5">
        <v>1788697.36</v>
      </c>
      <c r="J893" s="5">
        <v>614439.2925000001</v>
      </c>
    </row>
    <row r="894" spans="1:10" x14ac:dyDescent="0.25">
      <c r="A894" s="4" t="s">
        <v>793</v>
      </c>
      <c r="B894" s="5">
        <v>2508337.65</v>
      </c>
      <c r="C894" s="5">
        <v>3804187.69</v>
      </c>
      <c r="D894" s="5">
        <v>3678508.17</v>
      </c>
      <c r="E894" s="5">
        <v>13864506.99</v>
      </c>
      <c r="F894" s="5">
        <v>9390831.2100000009</v>
      </c>
      <c r="G894" s="5">
        <v>5424645.4699999997</v>
      </c>
      <c r="H894" s="5">
        <v>2480871.36</v>
      </c>
      <c r="I894" s="5">
        <v>2085960.36</v>
      </c>
      <c r="J894" s="5">
        <v>5404731.1124999998</v>
      </c>
    </row>
    <row r="895" spans="1:10" x14ac:dyDescent="0.25">
      <c r="A895" s="4" t="s">
        <v>530</v>
      </c>
      <c r="B895" s="5">
        <v>141591.18</v>
      </c>
      <c r="C895" s="5">
        <v>169707.98</v>
      </c>
      <c r="D895" s="5">
        <v>486192.77</v>
      </c>
      <c r="E895" s="5">
        <v>263457.51</v>
      </c>
      <c r="F895" s="5">
        <v>926578.5</v>
      </c>
      <c r="G895" s="5">
        <v>350856.69</v>
      </c>
      <c r="H895" s="5">
        <v>396708.03</v>
      </c>
      <c r="I895" s="5">
        <v>229647.3</v>
      </c>
      <c r="J895" s="5">
        <v>370592.495</v>
      </c>
    </row>
    <row r="896" spans="1:10" x14ac:dyDescent="0.25">
      <c r="A896" s="4" t="s">
        <v>789</v>
      </c>
      <c r="B896" s="5">
        <v>54791.83</v>
      </c>
      <c r="C896" s="5">
        <v>748431.35999999999</v>
      </c>
      <c r="D896" s="5">
        <v>695809.11</v>
      </c>
      <c r="E896" s="5">
        <v>4828190.1500000004</v>
      </c>
      <c r="F896" s="5">
        <v>1446904.63</v>
      </c>
      <c r="G896" s="5">
        <v>3654890.15</v>
      </c>
      <c r="H896" s="5">
        <v>910851.14</v>
      </c>
      <c r="I896" s="5">
        <v>1150646.52</v>
      </c>
      <c r="J896" s="5">
        <v>1686314.3612500001</v>
      </c>
    </row>
    <row r="897" spans="1:10" x14ac:dyDescent="0.25">
      <c r="A897" s="4" t="s">
        <v>810</v>
      </c>
      <c r="B897" s="5">
        <v>1024676.41</v>
      </c>
      <c r="C897" s="5">
        <v>1331344.73</v>
      </c>
      <c r="D897" s="5">
        <v>1447685.68</v>
      </c>
      <c r="E897" s="5">
        <v>9797826.7200000007</v>
      </c>
      <c r="F897" s="5">
        <v>2488939.2999999998</v>
      </c>
      <c r="G897" s="5">
        <v>1436629.47</v>
      </c>
      <c r="H897" s="5">
        <v>2141794.06</v>
      </c>
      <c r="I897" s="5">
        <v>1707610.51</v>
      </c>
      <c r="J897" s="5">
        <v>2672063.36</v>
      </c>
    </row>
    <row r="898" spans="1:10" x14ac:dyDescent="0.25">
      <c r="A898" s="4" t="s">
        <v>698</v>
      </c>
      <c r="B898" s="5">
        <v>0</v>
      </c>
      <c r="C898" s="5">
        <v>192140.01</v>
      </c>
      <c r="D898" s="5">
        <v>760166.64</v>
      </c>
      <c r="E898" s="5">
        <v>214219.7</v>
      </c>
      <c r="F898" s="5">
        <v>252452.69</v>
      </c>
      <c r="G898" s="5">
        <v>513664.69</v>
      </c>
      <c r="H898" s="5">
        <v>576930.49</v>
      </c>
      <c r="I898" s="5">
        <v>230756</v>
      </c>
      <c r="J898" s="5">
        <v>342541.27749999997</v>
      </c>
    </row>
    <row r="899" spans="1:10" x14ac:dyDescent="0.25">
      <c r="A899" s="4" t="s">
        <v>535</v>
      </c>
      <c r="B899" s="5">
        <v>44925.95</v>
      </c>
      <c r="C899" s="5">
        <v>22181013.760000002</v>
      </c>
      <c r="D899" s="5">
        <v>2922175.52</v>
      </c>
      <c r="E899" s="5">
        <v>7927060.1500000004</v>
      </c>
      <c r="F899" s="5">
        <v>137116764.12</v>
      </c>
      <c r="G899" s="5">
        <v>11994091.210000001</v>
      </c>
      <c r="H899" s="5">
        <v>3887800.29</v>
      </c>
      <c r="I899" s="5">
        <v>6196503.71</v>
      </c>
      <c r="J899" s="5">
        <v>24033791.838750001</v>
      </c>
    </row>
    <row r="900" spans="1:10" x14ac:dyDescent="0.25">
      <c r="A900" s="4" t="s">
        <v>327</v>
      </c>
      <c r="B900" s="5">
        <v>17325.259999999998</v>
      </c>
      <c r="C900" s="5">
        <v>50001</v>
      </c>
      <c r="D900" s="5">
        <v>40000.5</v>
      </c>
      <c r="E900" s="5">
        <v>210000.5</v>
      </c>
      <c r="F900" s="5">
        <v>86000</v>
      </c>
      <c r="G900" s="5">
        <v>100000</v>
      </c>
      <c r="H900" s="5">
        <v>20000</v>
      </c>
      <c r="I900" s="5">
        <v>0</v>
      </c>
      <c r="J900" s="5">
        <v>65415.907500000001</v>
      </c>
    </row>
    <row r="901" spans="1:10" x14ac:dyDescent="0.25">
      <c r="A901" s="4" t="s">
        <v>786</v>
      </c>
      <c r="B901" s="5">
        <v>0</v>
      </c>
      <c r="C901" s="5">
        <v>139073.87</v>
      </c>
      <c r="D901" s="5">
        <v>1369918.06</v>
      </c>
      <c r="E901" s="5">
        <v>5841358.04</v>
      </c>
      <c r="F901" s="5">
        <v>10350757.42</v>
      </c>
      <c r="G901" s="5">
        <v>1205233.99</v>
      </c>
      <c r="H901" s="5">
        <v>4431348.74</v>
      </c>
      <c r="I901" s="5">
        <v>2078874.21</v>
      </c>
      <c r="J901" s="5">
        <v>3177070.5412499998</v>
      </c>
    </row>
    <row r="902" spans="1:10" x14ac:dyDescent="0.25">
      <c r="A902" s="4" t="s">
        <v>906</v>
      </c>
      <c r="B902" s="5">
        <v>0</v>
      </c>
      <c r="C902" s="5">
        <v>35974.519999999997</v>
      </c>
      <c r="D902" s="5">
        <v>44627.9</v>
      </c>
      <c r="E902" s="5">
        <v>91310.62</v>
      </c>
      <c r="F902" s="5">
        <v>96243.51</v>
      </c>
      <c r="G902" s="5">
        <v>25841.71</v>
      </c>
      <c r="H902" s="5">
        <v>51089.05</v>
      </c>
      <c r="I902" s="5">
        <v>1840.35</v>
      </c>
      <c r="J902" s="5">
        <v>43365.957499999997</v>
      </c>
    </row>
    <row r="903" spans="1:10" x14ac:dyDescent="0.25">
      <c r="A903" s="4" t="s">
        <v>1082</v>
      </c>
      <c r="B903" s="5"/>
      <c r="C903" s="5"/>
      <c r="D903" s="5">
        <v>749802.78</v>
      </c>
      <c r="E903" s="5"/>
      <c r="F903" s="5">
        <v>0</v>
      </c>
      <c r="G903" s="5">
        <v>0</v>
      </c>
      <c r="H903" s="5">
        <v>-3727.36</v>
      </c>
      <c r="I903" s="5">
        <v>3911.29</v>
      </c>
      <c r="J903" s="5">
        <v>149997.342</v>
      </c>
    </row>
    <row r="904" spans="1:10" x14ac:dyDescent="0.25">
      <c r="A904" s="4" t="s">
        <v>1239</v>
      </c>
      <c r="B904" s="5"/>
      <c r="C904" s="5"/>
      <c r="D904" s="5"/>
      <c r="E904" s="5"/>
      <c r="F904" s="5">
        <v>983317.91</v>
      </c>
      <c r="G904" s="5">
        <v>-30086.34</v>
      </c>
      <c r="H904" s="5">
        <v>-6792.22</v>
      </c>
      <c r="I904" s="5"/>
      <c r="J904" s="5">
        <v>315479.78333333338</v>
      </c>
    </row>
    <row r="905" spans="1:10" x14ac:dyDescent="0.25">
      <c r="A905" s="4" t="s">
        <v>862</v>
      </c>
      <c r="B905" s="5">
        <v>565615.26</v>
      </c>
      <c r="C905" s="5">
        <v>1274024.1000000001</v>
      </c>
      <c r="D905" s="5">
        <v>218287.59</v>
      </c>
      <c r="E905" s="5">
        <v>261361.64</v>
      </c>
      <c r="F905" s="5">
        <v>595957.81999999995</v>
      </c>
      <c r="G905" s="5">
        <v>20200382.260000002</v>
      </c>
      <c r="H905" s="5">
        <v>449062.98</v>
      </c>
      <c r="I905" s="5">
        <v>406465.44</v>
      </c>
      <c r="J905" s="5">
        <v>2996394.6362500004</v>
      </c>
    </row>
    <row r="906" spans="1:10" x14ac:dyDescent="0.25">
      <c r="A906" s="4" t="s">
        <v>93</v>
      </c>
      <c r="B906" s="5">
        <v>50000</v>
      </c>
      <c r="C906" s="5">
        <v>0</v>
      </c>
      <c r="D906" s="5">
        <v>117813.15</v>
      </c>
      <c r="E906" s="5">
        <v>278446.95</v>
      </c>
      <c r="F906" s="5">
        <v>177320.95999999999</v>
      </c>
      <c r="G906" s="5">
        <v>493643.76</v>
      </c>
      <c r="H906" s="5">
        <v>88880.73</v>
      </c>
      <c r="I906" s="5">
        <v>1665346.84</v>
      </c>
      <c r="J906" s="5">
        <v>358931.54874999996</v>
      </c>
    </row>
    <row r="907" spans="1:10" x14ac:dyDescent="0.25">
      <c r="A907" s="4" t="s">
        <v>488</v>
      </c>
      <c r="B907" s="5">
        <v>77000</v>
      </c>
      <c r="C907" s="5">
        <v>22263.59</v>
      </c>
      <c r="D907" s="5">
        <v>180269.49</v>
      </c>
      <c r="E907" s="5">
        <v>301932.98</v>
      </c>
      <c r="F907" s="5">
        <v>231367.96</v>
      </c>
      <c r="G907" s="5">
        <v>40954.080000000002</v>
      </c>
      <c r="H907" s="5">
        <v>-70213.41</v>
      </c>
      <c r="I907" s="5">
        <v>604736.80000000005</v>
      </c>
      <c r="J907" s="5">
        <v>173538.93624999997</v>
      </c>
    </row>
    <row r="908" spans="1:10" x14ac:dyDescent="0.25">
      <c r="A908" s="4" t="s">
        <v>1305</v>
      </c>
      <c r="B908" s="5"/>
      <c r="C908" s="5"/>
      <c r="D908" s="5"/>
      <c r="E908" s="5"/>
      <c r="F908" s="5"/>
      <c r="G908" s="5"/>
      <c r="H908" s="5">
        <v>280000</v>
      </c>
      <c r="I908" s="5">
        <v>20000</v>
      </c>
      <c r="J908" s="5">
        <v>150000</v>
      </c>
    </row>
    <row r="909" spans="1:10" x14ac:dyDescent="0.25">
      <c r="A909" s="4" t="s">
        <v>475</v>
      </c>
      <c r="B909" s="5">
        <v>1552935.24</v>
      </c>
      <c r="C909" s="5">
        <v>-274699.89</v>
      </c>
      <c r="D909" s="5">
        <v>1043135.43</v>
      </c>
      <c r="E909" s="5">
        <v>1548029.22</v>
      </c>
      <c r="F909" s="5">
        <v>548900</v>
      </c>
      <c r="G909" s="5">
        <v>399000</v>
      </c>
      <c r="H909" s="5">
        <v>144500</v>
      </c>
      <c r="I909" s="5">
        <v>-407835.92</v>
      </c>
      <c r="J909" s="5">
        <v>569245.51</v>
      </c>
    </row>
    <row r="910" spans="1:10" x14ac:dyDescent="0.25">
      <c r="A910" s="4" t="s">
        <v>659</v>
      </c>
      <c r="B910" s="5">
        <v>0</v>
      </c>
      <c r="C910" s="5">
        <v>0</v>
      </c>
      <c r="D910" s="5">
        <v>0</v>
      </c>
      <c r="E910" s="5">
        <v>0</v>
      </c>
      <c r="F910" s="5">
        <v>0</v>
      </c>
      <c r="G910" s="5">
        <v>0</v>
      </c>
      <c r="H910" s="5"/>
      <c r="I910" s="5">
        <v>0</v>
      </c>
      <c r="J910" s="5">
        <v>0</v>
      </c>
    </row>
    <row r="911" spans="1:10" x14ac:dyDescent="0.25">
      <c r="A911" s="4" t="s">
        <v>395</v>
      </c>
      <c r="B911" s="5">
        <v>0</v>
      </c>
      <c r="C911" s="5">
        <v>0</v>
      </c>
      <c r="D911" s="5">
        <v>3263209.76</v>
      </c>
      <c r="E911" s="5">
        <v>22613330.199999999</v>
      </c>
      <c r="F911" s="5">
        <v>144086.57</v>
      </c>
      <c r="G911" s="5"/>
      <c r="H911" s="5">
        <v>6526419.5199999996</v>
      </c>
      <c r="I911" s="5">
        <v>0</v>
      </c>
      <c r="J911" s="5">
        <v>4649578.0071428576</v>
      </c>
    </row>
    <row r="912" spans="1:10" x14ac:dyDescent="0.25">
      <c r="A912" s="4" t="s">
        <v>868</v>
      </c>
      <c r="B912" s="5">
        <v>1152347.8600000001</v>
      </c>
      <c r="C912" s="5">
        <v>5862682.9100000001</v>
      </c>
      <c r="D912" s="5">
        <v>-993701.64</v>
      </c>
      <c r="E912" s="5">
        <v>3652637.61</v>
      </c>
      <c r="F912" s="5">
        <v>3783355.82</v>
      </c>
      <c r="G912" s="5">
        <v>1480267.06</v>
      </c>
      <c r="H912" s="5">
        <v>6695457.4800000004</v>
      </c>
      <c r="I912" s="5">
        <v>5988300.0099999998</v>
      </c>
      <c r="J912" s="5">
        <v>3233512.6855555559</v>
      </c>
    </row>
    <row r="913" spans="1:10" x14ac:dyDescent="0.25">
      <c r="A913" s="4" t="s">
        <v>764</v>
      </c>
      <c r="B913" s="5">
        <v>7835000.8700000001</v>
      </c>
      <c r="C913" s="5">
        <v>36384402.210000001</v>
      </c>
      <c r="D913" s="5">
        <v>19800072.989999998</v>
      </c>
      <c r="E913" s="5">
        <v>97594647</v>
      </c>
      <c r="F913" s="5">
        <v>75843372.530000001</v>
      </c>
      <c r="G913" s="5">
        <v>619594.72</v>
      </c>
      <c r="H913" s="5">
        <v>36489416</v>
      </c>
      <c r="I913" s="5">
        <v>2919985</v>
      </c>
      <c r="J913" s="5">
        <v>34685811.414999999</v>
      </c>
    </row>
    <row r="914" spans="1:10" x14ac:dyDescent="0.25">
      <c r="A914" s="4" t="s">
        <v>340</v>
      </c>
      <c r="B914" s="5">
        <v>5598221.3099999996</v>
      </c>
      <c r="C914" s="5">
        <v>1233971.26</v>
      </c>
      <c r="D914" s="5">
        <v>183118.36</v>
      </c>
      <c r="E914" s="5">
        <v>151183.6</v>
      </c>
      <c r="F914" s="5">
        <v>100110.18</v>
      </c>
      <c r="G914" s="5">
        <v>-1155000</v>
      </c>
      <c r="H914" s="5">
        <v>54600</v>
      </c>
      <c r="I914" s="5">
        <v>156709.32</v>
      </c>
      <c r="J914" s="5">
        <v>790364.25374999992</v>
      </c>
    </row>
    <row r="915" spans="1:10" x14ac:dyDescent="0.25">
      <c r="A915" s="4" t="s">
        <v>711</v>
      </c>
      <c r="B915" s="5">
        <v>6363545</v>
      </c>
      <c r="C915" s="5">
        <v>-279630.46999999997</v>
      </c>
      <c r="D915" s="5">
        <v>1392970.07</v>
      </c>
      <c r="E915" s="5">
        <v>3614457.96</v>
      </c>
      <c r="F915" s="5">
        <v>6495877.96</v>
      </c>
      <c r="G915" s="5">
        <v>668488.46</v>
      </c>
      <c r="H915" s="5">
        <v>-813672.71</v>
      </c>
      <c r="I915" s="5">
        <v>2144615.33</v>
      </c>
      <c r="J915" s="5">
        <v>2448331.4500000002</v>
      </c>
    </row>
    <row r="916" spans="1:10" x14ac:dyDescent="0.25">
      <c r="A916" s="4" t="s">
        <v>617</v>
      </c>
      <c r="B916" s="5">
        <v>50000</v>
      </c>
      <c r="C916" s="5">
        <v>70000</v>
      </c>
      <c r="D916" s="5">
        <v>600000</v>
      </c>
      <c r="E916" s="5">
        <v>429640.74</v>
      </c>
      <c r="F916" s="5">
        <v>190980.89</v>
      </c>
      <c r="G916" s="5">
        <v>500000</v>
      </c>
      <c r="H916" s="5">
        <v>300727.25</v>
      </c>
      <c r="I916" s="5">
        <v>60538.879999999997</v>
      </c>
      <c r="J916" s="5">
        <v>275235.96999999997</v>
      </c>
    </row>
    <row r="917" spans="1:10" x14ac:dyDescent="0.25">
      <c r="A917" s="4" t="s">
        <v>599</v>
      </c>
      <c r="B917" s="5">
        <v>105063950.05</v>
      </c>
      <c r="C917" s="5">
        <v>244727163.78999999</v>
      </c>
      <c r="D917" s="5">
        <v>52082505.93</v>
      </c>
      <c r="E917" s="5">
        <v>185126372.81999999</v>
      </c>
      <c r="F917" s="5">
        <v>101164433.03</v>
      </c>
      <c r="G917" s="5">
        <v>37840862.445</v>
      </c>
      <c r="H917" s="5">
        <v>52278490.020000003</v>
      </c>
      <c r="I917" s="5">
        <v>16499990.23</v>
      </c>
      <c r="J917" s="5">
        <v>93378906.378999978</v>
      </c>
    </row>
    <row r="918" spans="1:10" x14ac:dyDescent="0.25">
      <c r="A918" s="4" t="s">
        <v>770</v>
      </c>
      <c r="B918" s="5">
        <v>34006516.979999997</v>
      </c>
      <c r="C918" s="5">
        <v>35257943.009999998</v>
      </c>
      <c r="D918" s="5">
        <v>29933523.059999999</v>
      </c>
      <c r="E918" s="5">
        <v>312420338.95999998</v>
      </c>
      <c r="F918" s="5">
        <v>5112332.7050000001</v>
      </c>
      <c r="G918" s="5">
        <v>9065079.3100000005</v>
      </c>
      <c r="H918" s="5">
        <v>25085648.59</v>
      </c>
      <c r="I918" s="5">
        <v>-174781.86</v>
      </c>
      <c r="J918" s="5">
        <v>50646548.162222221</v>
      </c>
    </row>
    <row r="919" spans="1:10" x14ac:dyDescent="0.25">
      <c r="A919" s="4" t="s">
        <v>544</v>
      </c>
      <c r="B919" s="5">
        <v>4334884.3</v>
      </c>
      <c r="C919" s="5">
        <v>7219796.5700000003</v>
      </c>
      <c r="D919" s="5">
        <v>1610909.78</v>
      </c>
      <c r="E919" s="5">
        <v>20696979.960000001</v>
      </c>
      <c r="F919" s="5">
        <v>12432327.43</v>
      </c>
      <c r="G919" s="5">
        <v>9124639.8399999999</v>
      </c>
      <c r="H919" s="5">
        <v>4590883.74</v>
      </c>
      <c r="I919" s="5">
        <v>9508609.8399999999</v>
      </c>
      <c r="J919" s="5">
        <v>8689878.9324999992</v>
      </c>
    </row>
    <row r="920" spans="1:10" x14ac:dyDescent="0.25">
      <c r="A920" s="4" t="s">
        <v>829</v>
      </c>
      <c r="B920" s="5">
        <v>9008799.6999999993</v>
      </c>
      <c r="C920" s="5">
        <v>20712619.84</v>
      </c>
      <c r="D920" s="5">
        <v>30533570.489999998</v>
      </c>
      <c r="E920" s="5">
        <v>24859435.210000001</v>
      </c>
      <c r="F920" s="5">
        <v>126670883.33</v>
      </c>
      <c r="G920" s="5">
        <v>56500065.189999998</v>
      </c>
      <c r="H920" s="5">
        <v>166877130.05000001</v>
      </c>
      <c r="I920" s="5">
        <v>21913128.289999999</v>
      </c>
      <c r="J920" s="5">
        <v>57134454.012500003</v>
      </c>
    </row>
    <row r="921" spans="1:10" x14ac:dyDescent="0.25">
      <c r="A921" s="4" t="s">
        <v>913</v>
      </c>
      <c r="B921" s="5">
        <v>30467282.780000001</v>
      </c>
      <c r="C921" s="5">
        <v>5930959.5499999998</v>
      </c>
      <c r="D921" s="5">
        <v>26256158.68</v>
      </c>
      <c r="E921" s="5">
        <v>103867264.73999999</v>
      </c>
      <c r="F921" s="5">
        <v>67934871.209999993</v>
      </c>
      <c r="G921" s="5">
        <v>76813439.930000007</v>
      </c>
      <c r="H921" s="5">
        <v>32368028.260000002</v>
      </c>
      <c r="I921" s="5">
        <v>16159531.335000001</v>
      </c>
      <c r="J921" s="5">
        <v>41773007.535555556</v>
      </c>
    </row>
    <row r="922" spans="1:10" x14ac:dyDescent="0.25">
      <c r="A922" s="4" t="s">
        <v>671</v>
      </c>
      <c r="B922" s="5">
        <v>1119878.3999999999</v>
      </c>
      <c r="C922" s="5">
        <v>7453059.3600000003</v>
      </c>
      <c r="D922" s="5">
        <v>123112.61</v>
      </c>
      <c r="E922" s="5">
        <v>18125602.050000001</v>
      </c>
      <c r="F922" s="5">
        <v>6843198.9000000004</v>
      </c>
      <c r="G922" s="5">
        <v>427904.3</v>
      </c>
      <c r="H922" s="5">
        <v>96560694.209999993</v>
      </c>
      <c r="I922" s="5">
        <v>-607575.03</v>
      </c>
      <c r="J922" s="5">
        <v>16255734.349999998</v>
      </c>
    </row>
    <row r="923" spans="1:10" x14ac:dyDescent="0.25">
      <c r="A923" s="4" t="s">
        <v>920</v>
      </c>
      <c r="B923" s="5">
        <v>11964.52</v>
      </c>
      <c r="C923" s="5">
        <v>1001069.45</v>
      </c>
      <c r="D923" s="5">
        <v>0</v>
      </c>
      <c r="E923" s="5">
        <v>1842805.8</v>
      </c>
      <c r="F923" s="5">
        <v>81915.8</v>
      </c>
      <c r="G923" s="5">
        <v>5121784.6500000004</v>
      </c>
      <c r="H923" s="5">
        <v>308248908.86000001</v>
      </c>
      <c r="I923" s="5">
        <v>8212880.9100000001</v>
      </c>
      <c r="J923" s="5">
        <v>40565166.248750009</v>
      </c>
    </row>
    <row r="924" spans="1:10" x14ac:dyDescent="0.25">
      <c r="A924" s="4" t="s">
        <v>141</v>
      </c>
      <c r="B924" s="5">
        <v>212061.63</v>
      </c>
      <c r="C924" s="5">
        <v>2854368.09</v>
      </c>
      <c r="D924" s="5">
        <v>2045755.2</v>
      </c>
      <c r="E924" s="5">
        <v>7675880.9699999997</v>
      </c>
      <c r="F924" s="5">
        <v>20865892.260000002</v>
      </c>
      <c r="G924" s="5">
        <v>-427410.16</v>
      </c>
      <c r="H924" s="5">
        <v>1810261.82</v>
      </c>
      <c r="I924" s="5">
        <v>741662.86</v>
      </c>
      <c r="J924" s="5">
        <v>4472309.0837500002</v>
      </c>
    </row>
    <row r="925" spans="1:10" x14ac:dyDescent="0.25">
      <c r="A925" s="4" t="s">
        <v>307</v>
      </c>
      <c r="B925" s="5">
        <v>3893490.3</v>
      </c>
      <c r="C925" s="5">
        <v>2064384.54</v>
      </c>
      <c r="D925" s="5">
        <v>2336724.69</v>
      </c>
      <c r="E925" s="5">
        <v>25174280.420000002</v>
      </c>
      <c r="F925" s="5">
        <v>5898889.6100000003</v>
      </c>
      <c r="G925" s="5">
        <v>-952970.86</v>
      </c>
      <c r="H925" s="5">
        <v>425710.29</v>
      </c>
      <c r="I925" s="5">
        <v>-400408.11</v>
      </c>
      <c r="J925" s="5">
        <v>4805012.6100000003</v>
      </c>
    </row>
    <row r="926" spans="1:10" x14ac:dyDescent="0.25">
      <c r="A926" s="4" t="s">
        <v>841</v>
      </c>
      <c r="B926" s="5">
        <v>3172261.47</v>
      </c>
      <c r="C926" s="5">
        <v>7031594.4000000004</v>
      </c>
      <c r="D926" s="5">
        <v>-5986534.8399999999</v>
      </c>
      <c r="E926" s="5">
        <v>5221965.3899999997</v>
      </c>
      <c r="F926" s="5">
        <v>9935297.3499999996</v>
      </c>
      <c r="G926" s="5">
        <v>1502733.75</v>
      </c>
      <c r="H926" s="5">
        <v>3548194.96</v>
      </c>
      <c r="I926" s="5">
        <v>1858381.75</v>
      </c>
      <c r="J926" s="5">
        <v>3285486.7787500005</v>
      </c>
    </row>
    <row r="927" spans="1:10" x14ac:dyDescent="0.25">
      <c r="A927" s="4" t="s">
        <v>62</v>
      </c>
      <c r="B927" s="5">
        <v>232346.79</v>
      </c>
      <c r="C927" s="5">
        <v>301945.86</v>
      </c>
      <c r="D927" s="5">
        <v>458918.19500000001</v>
      </c>
      <c r="E927" s="5">
        <v>1370783.08</v>
      </c>
      <c r="F927" s="5">
        <v>796526.94</v>
      </c>
      <c r="G927" s="5">
        <v>784611.27</v>
      </c>
      <c r="H927" s="5">
        <v>301764.71999999997</v>
      </c>
      <c r="I927" s="5">
        <v>336966.13</v>
      </c>
      <c r="J927" s="5">
        <v>532855.48285714292</v>
      </c>
    </row>
    <row r="928" spans="1:10" x14ac:dyDescent="0.25">
      <c r="A928" s="4" t="s">
        <v>457</v>
      </c>
      <c r="B928" s="5">
        <v>3936613.14</v>
      </c>
      <c r="C928" s="5">
        <v>7237911.7999999998</v>
      </c>
      <c r="D928" s="5">
        <v>17473657.579999998</v>
      </c>
      <c r="E928" s="5">
        <v>12930179.77</v>
      </c>
      <c r="F928" s="5">
        <v>62094738.859999999</v>
      </c>
      <c r="G928" s="5">
        <v>16589101.890000001</v>
      </c>
      <c r="H928" s="5">
        <v>52778197.924999997</v>
      </c>
      <c r="I928" s="5">
        <v>26111967.199999999</v>
      </c>
      <c r="J928" s="5">
        <v>25666763.949090909</v>
      </c>
    </row>
    <row r="929" spans="1:10" x14ac:dyDescent="0.25">
      <c r="A929" s="4" t="s">
        <v>836</v>
      </c>
      <c r="B929" s="5">
        <v>30660181.640000001</v>
      </c>
      <c r="C929" s="5">
        <v>49318081.990000002</v>
      </c>
      <c r="D929" s="5">
        <v>29181511.82</v>
      </c>
      <c r="E929" s="5">
        <v>2677462.0099999998</v>
      </c>
      <c r="F929" s="5">
        <v>4267893.9400000004</v>
      </c>
      <c r="G929" s="5">
        <v>9785551.8499999996</v>
      </c>
      <c r="H929" s="5">
        <v>39669465.960000001</v>
      </c>
      <c r="I929" s="5">
        <v>92408292.599999994</v>
      </c>
      <c r="J929" s="5">
        <v>32246055.226249997</v>
      </c>
    </row>
    <row r="930" spans="1:10" x14ac:dyDescent="0.25">
      <c r="A930" s="4" t="s">
        <v>905</v>
      </c>
      <c r="B930" s="5">
        <v>730073.21</v>
      </c>
      <c r="C930" s="5">
        <v>2105235.06</v>
      </c>
      <c r="D930" s="5">
        <v>29307.61</v>
      </c>
      <c r="E930" s="5">
        <v>918163.44</v>
      </c>
      <c r="F930" s="5">
        <v>935985.75</v>
      </c>
      <c r="G930" s="5">
        <v>144795.69</v>
      </c>
      <c r="H930" s="5">
        <v>423337.12</v>
      </c>
      <c r="I930" s="5">
        <v>170969.45</v>
      </c>
      <c r="J930" s="5">
        <v>682233.41625000013</v>
      </c>
    </row>
    <row r="931" spans="1:10" x14ac:dyDescent="0.25">
      <c r="A931" s="4" t="s">
        <v>487</v>
      </c>
      <c r="B931" s="5">
        <v>26094873996.169998</v>
      </c>
      <c r="C931" s="5">
        <v>557165461.73000002</v>
      </c>
      <c r="D931" s="5">
        <v>546359008.94000006</v>
      </c>
      <c r="E931" s="5">
        <v>602378832.72000003</v>
      </c>
      <c r="F931" s="5">
        <v>373008926.49000001</v>
      </c>
      <c r="G931" s="5">
        <v>768949141.76999998</v>
      </c>
      <c r="H931" s="5">
        <v>505990172.55000001</v>
      </c>
      <c r="I931" s="5">
        <v>543680684.51999998</v>
      </c>
      <c r="J931" s="5">
        <v>3749050778.1112499</v>
      </c>
    </row>
    <row r="932" spans="1:10" x14ac:dyDescent="0.25">
      <c r="A932" s="4" t="s">
        <v>305</v>
      </c>
      <c r="B932" s="5">
        <v>18972443.420000002</v>
      </c>
      <c r="C932" s="5">
        <v>18773728.760000002</v>
      </c>
      <c r="D932" s="5">
        <v>17285152.050000001</v>
      </c>
      <c r="E932" s="5">
        <v>51393202.359999999</v>
      </c>
      <c r="F932" s="5">
        <v>57401490.789999999</v>
      </c>
      <c r="G932" s="5">
        <v>177529.55</v>
      </c>
      <c r="H932" s="5">
        <v>43810563.799999997</v>
      </c>
      <c r="I932" s="5">
        <v>19019349.030000001</v>
      </c>
      <c r="J932" s="5">
        <v>28354182.470000003</v>
      </c>
    </row>
    <row r="933" spans="1:10" x14ac:dyDescent="0.25">
      <c r="A933" s="4" t="s">
        <v>695</v>
      </c>
      <c r="B933" s="5">
        <v>0</v>
      </c>
      <c r="C933" s="5">
        <v>842748</v>
      </c>
      <c r="D933" s="5">
        <v>0</v>
      </c>
      <c r="E933" s="5">
        <v>0</v>
      </c>
      <c r="F933" s="5">
        <v>0</v>
      </c>
      <c r="G933" s="5">
        <v>-113.4</v>
      </c>
      <c r="H933" s="5">
        <v>53.3</v>
      </c>
      <c r="I933" s="5">
        <v>-206.4</v>
      </c>
      <c r="J933" s="5">
        <v>105310.1875</v>
      </c>
    </row>
    <row r="934" spans="1:10" x14ac:dyDescent="0.25">
      <c r="A934" s="4" t="s">
        <v>759</v>
      </c>
      <c r="B934" s="5">
        <v>225368.59</v>
      </c>
      <c r="C934" s="5">
        <v>330323.11</v>
      </c>
      <c r="D934" s="5">
        <v>172600.38</v>
      </c>
      <c r="E934" s="5">
        <v>3482477.36</v>
      </c>
      <c r="F934" s="5">
        <v>1197587.23</v>
      </c>
      <c r="G934" s="5">
        <v>1188964.49</v>
      </c>
      <c r="H934" s="5">
        <v>714978.12</v>
      </c>
      <c r="I934" s="5">
        <v>227098.51</v>
      </c>
      <c r="J934" s="5">
        <v>942424.72375</v>
      </c>
    </row>
    <row r="935" spans="1:10" x14ac:dyDescent="0.25">
      <c r="A935" s="4" t="s">
        <v>845</v>
      </c>
      <c r="B935" s="5">
        <v>986440.16</v>
      </c>
      <c r="C935" s="5">
        <v>1357554.36</v>
      </c>
      <c r="D935" s="5">
        <v>1100296.68</v>
      </c>
      <c r="E935" s="5">
        <v>456003.4</v>
      </c>
      <c r="F935" s="5">
        <v>285093.21000000002</v>
      </c>
      <c r="G935" s="5">
        <v>214192.09</v>
      </c>
      <c r="H935" s="5">
        <v>775415.72</v>
      </c>
      <c r="I935" s="5">
        <v>377719.08</v>
      </c>
      <c r="J935" s="5">
        <v>694089.33750000002</v>
      </c>
    </row>
    <row r="936" spans="1:10" x14ac:dyDescent="0.25">
      <c r="A936" s="4" t="s">
        <v>937</v>
      </c>
      <c r="B936" s="5"/>
      <c r="C936" s="5">
        <v>0</v>
      </c>
      <c r="D936" s="5"/>
      <c r="E936" s="5"/>
      <c r="F936" s="5"/>
      <c r="G936" s="5"/>
      <c r="H936" s="5"/>
      <c r="I936" s="5">
        <v>0</v>
      </c>
      <c r="J936" s="5">
        <v>0</v>
      </c>
    </row>
    <row r="937" spans="1:10" x14ac:dyDescent="0.25">
      <c r="A937" s="4" t="s">
        <v>655</v>
      </c>
      <c r="B937" s="5">
        <v>0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  <c r="I937" s="5">
        <v>0</v>
      </c>
      <c r="J937" s="5">
        <v>0</v>
      </c>
    </row>
    <row r="938" spans="1:10" x14ac:dyDescent="0.25">
      <c r="A938" s="4" t="s">
        <v>714</v>
      </c>
      <c r="B938" s="5">
        <v>31678380.219999999</v>
      </c>
      <c r="C938" s="5">
        <v>-20087006.969999999</v>
      </c>
      <c r="D938" s="5">
        <v>-2853539.32</v>
      </c>
      <c r="E938" s="5">
        <v>17587748.859999999</v>
      </c>
      <c r="F938" s="5">
        <v>6632484.8399999999</v>
      </c>
      <c r="G938" s="5">
        <v>6801775.0499999998</v>
      </c>
      <c r="H938" s="5">
        <v>-2236219.2999999998</v>
      </c>
      <c r="I938" s="5">
        <v>-1344238.39</v>
      </c>
      <c r="J938" s="5">
        <v>4522423.1237500003</v>
      </c>
    </row>
    <row r="939" spans="1:10" x14ac:dyDescent="0.25">
      <c r="A939" s="4" t="s">
        <v>879</v>
      </c>
      <c r="B939" s="5">
        <v>2889</v>
      </c>
      <c r="C939" s="5">
        <v>71729</v>
      </c>
      <c r="D939" s="5">
        <v>1827560.94</v>
      </c>
      <c r="E939" s="5">
        <v>185004.66</v>
      </c>
      <c r="F939" s="5">
        <v>494436.43</v>
      </c>
      <c r="G939" s="5">
        <v>416665.47</v>
      </c>
      <c r="H939" s="5">
        <v>287372.83</v>
      </c>
      <c r="I939" s="5">
        <v>857808.07</v>
      </c>
      <c r="J939" s="5">
        <v>517933.3</v>
      </c>
    </row>
    <row r="940" spans="1:10" x14ac:dyDescent="0.25">
      <c r="A940" s="4" t="s">
        <v>889</v>
      </c>
      <c r="B940" s="5">
        <v>3513347.73</v>
      </c>
      <c r="C940" s="5">
        <v>7434582.6299999999</v>
      </c>
      <c r="D940" s="5">
        <v>8393175.8000000007</v>
      </c>
      <c r="E940" s="5">
        <v>1922105.42</v>
      </c>
      <c r="F940" s="5">
        <v>4936741.2699999996</v>
      </c>
      <c r="G940" s="5">
        <v>1279743.58</v>
      </c>
      <c r="H940" s="5">
        <v>1020316.44</v>
      </c>
      <c r="I940" s="5">
        <v>2299948.81</v>
      </c>
      <c r="J940" s="5">
        <v>3849995.21</v>
      </c>
    </row>
    <row r="941" spans="1:10" x14ac:dyDescent="0.25">
      <c r="A941" s="4" t="s">
        <v>699</v>
      </c>
      <c r="B941" s="5">
        <v>1058586.99</v>
      </c>
      <c r="C941" s="5">
        <v>3022278.05</v>
      </c>
      <c r="D941" s="5">
        <v>2000</v>
      </c>
      <c r="E941" s="5">
        <v>10779340.33</v>
      </c>
      <c r="F941" s="5">
        <v>30000</v>
      </c>
      <c r="G941" s="5">
        <v>7768562.4500000002</v>
      </c>
      <c r="H941" s="5">
        <v>10175.370000000001</v>
      </c>
      <c r="I941" s="5">
        <v>-42948.13</v>
      </c>
      <c r="J941" s="5">
        <v>2828499.3825000003</v>
      </c>
    </row>
    <row r="942" spans="1:10" x14ac:dyDescent="0.25">
      <c r="A942" s="4" t="s">
        <v>563</v>
      </c>
      <c r="B942" s="5">
        <v>6964798.835</v>
      </c>
      <c r="C942" s="5">
        <v>14171996.779999999</v>
      </c>
      <c r="D942" s="5">
        <v>21885852.989999998</v>
      </c>
      <c r="E942" s="5">
        <v>62231908.939999998</v>
      </c>
      <c r="F942" s="5">
        <v>57871169.240000002</v>
      </c>
      <c r="G942" s="5">
        <v>30962473.329999998</v>
      </c>
      <c r="H942" s="5">
        <v>27745656.370000001</v>
      </c>
      <c r="I942" s="5">
        <v>16835680.699999999</v>
      </c>
      <c r="J942" s="5">
        <v>29833692.148125</v>
      </c>
    </row>
    <row r="943" spans="1:10" x14ac:dyDescent="0.25">
      <c r="A943" s="4" t="s">
        <v>145</v>
      </c>
      <c r="B943" s="5">
        <v>0</v>
      </c>
      <c r="C943" s="5">
        <v>1900.79</v>
      </c>
      <c r="D943" s="5">
        <v>16886771.43</v>
      </c>
      <c r="E943" s="5">
        <v>0</v>
      </c>
      <c r="F943" s="5">
        <v>2916697.97</v>
      </c>
      <c r="G943" s="5">
        <v>10034.620000000001</v>
      </c>
      <c r="H943" s="5">
        <v>4680000</v>
      </c>
      <c r="I943" s="5">
        <v>0</v>
      </c>
      <c r="J943" s="5">
        <v>3061925.6012499998</v>
      </c>
    </row>
    <row r="944" spans="1:10" x14ac:dyDescent="0.25">
      <c r="A944" s="4" t="s">
        <v>891</v>
      </c>
      <c r="B944" s="5">
        <v>1833839</v>
      </c>
      <c r="C944" s="5">
        <v>175349.25</v>
      </c>
      <c r="D944" s="5">
        <v>1516410.65</v>
      </c>
      <c r="E944" s="5">
        <v>2464638.59</v>
      </c>
      <c r="F944" s="5">
        <v>1059616.74</v>
      </c>
      <c r="G944" s="5">
        <v>1093473.6499999999</v>
      </c>
      <c r="H944" s="5">
        <v>99635.65</v>
      </c>
      <c r="I944" s="5">
        <v>-16628.22</v>
      </c>
      <c r="J944" s="5">
        <v>1028291.9137500002</v>
      </c>
    </row>
    <row r="945" spans="1:10" x14ac:dyDescent="0.25">
      <c r="A945" s="4" t="s">
        <v>578</v>
      </c>
      <c r="B945" s="5">
        <v>130375895.5</v>
      </c>
      <c r="C945" s="5">
        <v>10941028.9</v>
      </c>
      <c r="D945" s="5">
        <v>1627880.86</v>
      </c>
      <c r="E945" s="5">
        <v>6750684.085</v>
      </c>
      <c r="F945" s="5">
        <v>-777872</v>
      </c>
      <c r="G945" s="5">
        <v>3527030.76</v>
      </c>
      <c r="H945" s="5">
        <v>7710832.8399999999</v>
      </c>
      <c r="I945" s="5">
        <v>505067.97</v>
      </c>
      <c r="J945" s="5">
        <v>18601248.111111112</v>
      </c>
    </row>
    <row r="946" spans="1:10" x14ac:dyDescent="0.25">
      <c r="A946" s="4" t="s">
        <v>934</v>
      </c>
      <c r="B946" s="5"/>
      <c r="C946" s="5">
        <v>0</v>
      </c>
      <c r="D946" s="5">
        <v>150000</v>
      </c>
      <c r="E946" s="5">
        <v>0</v>
      </c>
      <c r="F946" s="5">
        <v>7000000</v>
      </c>
      <c r="G946" s="5">
        <v>8525</v>
      </c>
      <c r="H946" s="5">
        <v>0</v>
      </c>
      <c r="I946" s="5"/>
      <c r="J946" s="5">
        <v>1193087.5</v>
      </c>
    </row>
    <row r="947" spans="1:10" x14ac:dyDescent="0.25">
      <c r="A947" s="4" t="s">
        <v>788</v>
      </c>
      <c r="B947" s="5">
        <v>120000</v>
      </c>
      <c r="C947" s="5">
        <v>0</v>
      </c>
      <c r="D947" s="5">
        <v>120000</v>
      </c>
      <c r="E947" s="5">
        <v>29325.94</v>
      </c>
      <c r="F947" s="5">
        <v>43576</v>
      </c>
      <c r="G947" s="5">
        <v>169591.32</v>
      </c>
      <c r="H947" s="5">
        <v>15929.5</v>
      </c>
      <c r="I947" s="5">
        <v>89547.85</v>
      </c>
      <c r="J947" s="5">
        <v>73496.326249999998</v>
      </c>
    </row>
    <row r="948" spans="1:10" x14ac:dyDescent="0.25">
      <c r="A948" s="4" t="s">
        <v>580</v>
      </c>
      <c r="B948" s="5">
        <v>65290</v>
      </c>
      <c r="C948" s="5">
        <v>563013.30000000005</v>
      </c>
      <c r="D948" s="5">
        <v>-462433.3</v>
      </c>
      <c r="E948" s="5">
        <v>600970</v>
      </c>
      <c r="F948" s="5">
        <v>61091.76</v>
      </c>
      <c r="G948" s="5">
        <v>7016</v>
      </c>
      <c r="H948" s="5">
        <v>8086.98</v>
      </c>
      <c r="I948" s="5">
        <v>5011.8999999999996</v>
      </c>
      <c r="J948" s="5">
        <v>106005.83</v>
      </c>
    </row>
    <row r="949" spans="1:10" x14ac:dyDescent="0.25">
      <c r="A949" s="4" t="s">
        <v>1210</v>
      </c>
      <c r="B949" s="5"/>
      <c r="C949" s="5"/>
      <c r="D949" s="5"/>
      <c r="E949" s="5">
        <v>0</v>
      </c>
      <c r="F949" s="5"/>
      <c r="G949" s="5">
        <v>0</v>
      </c>
      <c r="H949" s="5">
        <v>0</v>
      </c>
      <c r="I949" s="5">
        <v>0</v>
      </c>
      <c r="J949" s="5">
        <v>0</v>
      </c>
    </row>
    <row r="950" spans="1:10" x14ac:dyDescent="0.25">
      <c r="A950" s="4" t="s">
        <v>80</v>
      </c>
      <c r="B950" s="5">
        <v>0</v>
      </c>
      <c r="C950" s="5">
        <v>0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  <c r="I950" s="5">
        <v>0</v>
      </c>
      <c r="J950" s="5">
        <v>0</v>
      </c>
    </row>
    <row r="951" spans="1:10" x14ac:dyDescent="0.25">
      <c r="A951" s="4" t="s">
        <v>835</v>
      </c>
      <c r="B951" s="5">
        <v>315400</v>
      </c>
      <c r="C951" s="5">
        <v>324958.76</v>
      </c>
      <c r="D951" s="5">
        <v>339656.9</v>
      </c>
      <c r="E951" s="5">
        <v>694612.1</v>
      </c>
      <c r="F951" s="5">
        <v>2960800</v>
      </c>
      <c r="G951" s="5">
        <v>0</v>
      </c>
      <c r="H951" s="5">
        <v>28000</v>
      </c>
      <c r="I951" s="5">
        <v>0</v>
      </c>
      <c r="J951" s="5">
        <v>582928.47</v>
      </c>
    </row>
    <row r="952" spans="1:10" x14ac:dyDescent="0.25">
      <c r="A952" s="4" t="s">
        <v>727</v>
      </c>
      <c r="B952" s="5">
        <v>10655.18</v>
      </c>
      <c r="C952" s="5">
        <v>4763478.9000000004</v>
      </c>
      <c r="D952" s="5">
        <v>2502218.92</v>
      </c>
      <c r="E952" s="5">
        <v>3425739.61</v>
      </c>
      <c r="F952" s="5">
        <v>564013.42000000004</v>
      </c>
      <c r="G952" s="5">
        <v>796644.82</v>
      </c>
      <c r="H952" s="5">
        <v>2566039.8199999998</v>
      </c>
      <c r="I952" s="5">
        <v>747894.58</v>
      </c>
      <c r="J952" s="5">
        <v>1922085.65625</v>
      </c>
    </row>
    <row r="953" spans="1:10" x14ac:dyDescent="0.25">
      <c r="A953" s="4" t="s">
        <v>232</v>
      </c>
      <c r="B953" s="5">
        <v>100000</v>
      </c>
      <c r="C953" s="5">
        <v>54666.3</v>
      </c>
      <c r="D953" s="5">
        <v>5910728.4400000004</v>
      </c>
      <c r="E953" s="5">
        <v>8363.0499999999993</v>
      </c>
      <c r="F953" s="5">
        <v>39261.040000000001</v>
      </c>
      <c r="G953" s="5">
        <v>7549310.9900000002</v>
      </c>
      <c r="H953" s="5">
        <v>95002.4</v>
      </c>
      <c r="I953" s="5">
        <v>1504.5</v>
      </c>
      <c r="J953" s="5">
        <v>1719854.59</v>
      </c>
    </row>
    <row r="954" spans="1:10" x14ac:dyDescent="0.25">
      <c r="A954" s="4" t="s">
        <v>871</v>
      </c>
      <c r="B954" s="5">
        <v>133693.25</v>
      </c>
      <c r="C954" s="5">
        <v>391879.71</v>
      </c>
      <c r="D954" s="5">
        <v>2968762.06</v>
      </c>
      <c r="E954" s="5">
        <v>-30492.38</v>
      </c>
      <c r="F954" s="5">
        <v>178174.49</v>
      </c>
      <c r="G954" s="5">
        <v>800944.67</v>
      </c>
      <c r="H954" s="5">
        <v>335391.48</v>
      </c>
      <c r="I954" s="5">
        <v>517327.66</v>
      </c>
      <c r="J954" s="5">
        <v>661960.11749999993</v>
      </c>
    </row>
    <row r="955" spans="1:10" x14ac:dyDescent="0.25">
      <c r="A955" s="4" t="s">
        <v>87</v>
      </c>
      <c r="B955" s="5">
        <v>0</v>
      </c>
      <c r="C955" s="5">
        <v>20000</v>
      </c>
      <c r="D955" s="5">
        <v>2877500</v>
      </c>
      <c r="E955" s="5">
        <v>418365.22</v>
      </c>
      <c r="F955" s="5">
        <v>16574.2</v>
      </c>
      <c r="G955" s="5">
        <v>6458098.7699999996</v>
      </c>
      <c r="H955" s="5">
        <v>55918.06</v>
      </c>
      <c r="I955" s="5">
        <v>979323.64</v>
      </c>
      <c r="J955" s="5">
        <v>1353222.4862500001</v>
      </c>
    </row>
    <row r="956" spans="1:10" x14ac:dyDescent="0.25">
      <c r="A956" s="4" t="s">
        <v>302</v>
      </c>
      <c r="B956" s="5">
        <v>0</v>
      </c>
      <c r="C956" s="5">
        <v>240000</v>
      </c>
      <c r="D956" s="5">
        <v>76236.73</v>
      </c>
      <c r="E956" s="5">
        <v>42950.34</v>
      </c>
      <c r="F956" s="5">
        <v>-1270.99</v>
      </c>
      <c r="G956" s="5">
        <v>-2292.1799999999998</v>
      </c>
      <c r="H956" s="5">
        <v>-517.48</v>
      </c>
      <c r="I956" s="5">
        <v>-12485.09</v>
      </c>
      <c r="J956" s="5">
        <v>42827.666249999995</v>
      </c>
    </row>
    <row r="957" spans="1:10" x14ac:dyDescent="0.25">
      <c r="A957" s="4" t="s">
        <v>515</v>
      </c>
      <c r="B957" s="5">
        <v>0</v>
      </c>
      <c r="C957" s="5">
        <v>0</v>
      </c>
      <c r="D957" s="5">
        <v>0</v>
      </c>
      <c r="E957" s="5">
        <v>0</v>
      </c>
      <c r="F957" s="5"/>
      <c r="G957" s="5"/>
      <c r="H957" s="5"/>
      <c r="I957" s="5">
        <v>0</v>
      </c>
      <c r="J957" s="5">
        <v>0</v>
      </c>
    </row>
    <row r="958" spans="1:10" x14ac:dyDescent="0.25">
      <c r="A958" s="4" t="s">
        <v>39</v>
      </c>
      <c r="B958" s="5">
        <v>562344.72</v>
      </c>
      <c r="C958" s="5">
        <v>1206951.51</v>
      </c>
      <c r="D958" s="5">
        <v>237278</v>
      </c>
      <c r="E958" s="5">
        <v>3267197.58</v>
      </c>
      <c r="F958" s="5">
        <v>474064.28</v>
      </c>
      <c r="G958" s="5">
        <v>59726.559999999998</v>
      </c>
      <c r="H958" s="5">
        <v>-34399.93</v>
      </c>
      <c r="I958" s="5">
        <v>457605.57</v>
      </c>
      <c r="J958" s="5">
        <v>778846.03625000012</v>
      </c>
    </row>
    <row r="959" spans="1:10" x14ac:dyDescent="0.25">
      <c r="A959" s="4" t="s">
        <v>1332</v>
      </c>
      <c r="B959" s="5"/>
      <c r="C959" s="5"/>
      <c r="D959" s="5"/>
      <c r="E959" s="5"/>
      <c r="F959" s="5"/>
      <c r="G959" s="5"/>
      <c r="H959" s="5"/>
      <c r="I959" s="5">
        <v>30000</v>
      </c>
      <c r="J959" s="5">
        <v>30000</v>
      </c>
    </row>
    <row r="960" spans="1:10" x14ac:dyDescent="0.25">
      <c r="A960" s="4" t="s">
        <v>651</v>
      </c>
      <c r="B960" s="5">
        <v>53517.7</v>
      </c>
      <c r="C960" s="5"/>
      <c r="D960" s="5">
        <v>100000</v>
      </c>
      <c r="E960" s="5">
        <v>17578.73</v>
      </c>
      <c r="F960" s="5">
        <v>100000</v>
      </c>
      <c r="G960" s="5">
        <v>-5000</v>
      </c>
      <c r="H960" s="5">
        <v>0</v>
      </c>
      <c r="I960" s="5">
        <v>0</v>
      </c>
      <c r="J960" s="5">
        <v>38013.775714285723</v>
      </c>
    </row>
    <row r="961" spans="1:10" x14ac:dyDescent="0.25">
      <c r="A961" s="4" t="s">
        <v>214</v>
      </c>
      <c r="B961" s="5">
        <v>0</v>
      </c>
      <c r="C961" s="5"/>
      <c r="D961" s="5"/>
      <c r="E961" s="5"/>
      <c r="F961" s="5"/>
      <c r="G961" s="5">
        <v>0</v>
      </c>
      <c r="H961" s="5"/>
      <c r="I961" s="5">
        <v>0</v>
      </c>
      <c r="J961" s="5">
        <v>0</v>
      </c>
    </row>
    <row r="962" spans="1:10" x14ac:dyDescent="0.25">
      <c r="A962" s="4" t="s">
        <v>665</v>
      </c>
      <c r="B962" s="5">
        <v>591194.54</v>
      </c>
      <c r="C962" s="5">
        <v>1744660.02</v>
      </c>
      <c r="D962" s="5">
        <v>145184.12</v>
      </c>
      <c r="E962" s="5">
        <v>732299.89</v>
      </c>
      <c r="F962" s="5">
        <v>1363453.99</v>
      </c>
      <c r="G962" s="5">
        <v>208482.71</v>
      </c>
      <c r="H962" s="5">
        <v>303661.67</v>
      </c>
      <c r="I962" s="5">
        <v>2359049.06</v>
      </c>
      <c r="J962" s="5">
        <v>930998.25</v>
      </c>
    </row>
    <row r="963" spans="1:10" x14ac:dyDescent="0.25">
      <c r="A963" s="4" t="s">
        <v>843</v>
      </c>
      <c r="B963" s="5">
        <v>6193701.9000000004</v>
      </c>
      <c r="C963" s="5">
        <v>5874558.7699999996</v>
      </c>
      <c r="D963" s="5">
        <v>14798296.710000001</v>
      </c>
      <c r="E963" s="5">
        <v>49110309.609999999</v>
      </c>
      <c r="F963" s="5">
        <v>23328818.600000001</v>
      </c>
      <c r="G963" s="5">
        <v>1574505.74</v>
      </c>
      <c r="H963" s="5">
        <v>2719238.57</v>
      </c>
      <c r="I963" s="5">
        <v>14197020.07</v>
      </c>
      <c r="J963" s="5">
        <v>14724556.24625</v>
      </c>
    </row>
    <row r="964" spans="1:10" x14ac:dyDescent="0.25">
      <c r="A964" s="4" t="s">
        <v>876</v>
      </c>
      <c r="B964" s="5">
        <v>20209.09</v>
      </c>
      <c r="C964" s="5">
        <v>212604.12</v>
      </c>
      <c r="D964" s="5">
        <v>176054.63</v>
      </c>
      <c r="E964" s="5">
        <v>205339.02</v>
      </c>
      <c r="F964" s="5">
        <v>92162.95</v>
      </c>
      <c r="G964" s="5">
        <v>124311.76</v>
      </c>
      <c r="H964" s="5">
        <v>97483.01</v>
      </c>
      <c r="I964" s="5">
        <v>93381.06</v>
      </c>
      <c r="J964" s="5">
        <v>127693.20499999999</v>
      </c>
    </row>
    <row r="965" spans="1:10" x14ac:dyDescent="0.25">
      <c r="A965" s="4" t="s">
        <v>1123</v>
      </c>
      <c r="B965" s="5"/>
      <c r="C965" s="5"/>
      <c r="D965" s="5">
        <v>176565.86</v>
      </c>
      <c r="E965" s="5">
        <v>1617524.61</v>
      </c>
      <c r="F965" s="5">
        <v>3363852.77</v>
      </c>
      <c r="G965" s="5">
        <v>5235730.74</v>
      </c>
      <c r="H965" s="5">
        <v>3327876.98</v>
      </c>
      <c r="I965" s="5">
        <v>3815660.47</v>
      </c>
      <c r="J965" s="5">
        <v>2922868.5716666668</v>
      </c>
    </row>
    <row r="966" spans="1:10" x14ac:dyDescent="0.25">
      <c r="A966" s="4" t="s">
        <v>249</v>
      </c>
      <c r="B966" s="5">
        <v>0</v>
      </c>
      <c r="C966" s="5"/>
      <c r="D966" s="5"/>
      <c r="E966" s="5"/>
      <c r="F966" s="5"/>
      <c r="G966" s="5">
        <v>0</v>
      </c>
      <c r="H966" s="5">
        <v>0</v>
      </c>
      <c r="I966" s="5"/>
      <c r="J966" s="5">
        <v>0</v>
      </c>
    </row>
    <row r="967" spans="1:10" x14ac:dyDescent="0.25">
      <c r="A967" s="4" t="s">
        <v>45</v>
      </c>
      <c r="B967" s="5">
        <v>0</v>
      </c>
      <c r="C967" s="5"/>
      <c r="D967" s="5">
        <v>0</v>
      </c>
      <c r="E967" s="5">
        <v>253160</v>
      </c>
      <c r="F967" s="5">
        <v>30000</v>
      </c>
      <c r="G967" s="5">
        <v>16000</v>
      </c>
      <c r="H967" s="5">
        <v>1030155.9</v>
      </c>
      <c r="I967" s="5">
        <v>15079.08</v>
      </c>
      <c r="J967" s="5">
        <v>192056.42571428572</v>
      </c>
    </row>
    <row r="968" spans="1:10" x14ac:dyDescent="0.25">
      <c r="A968" s="4" t="s">
        <v>1175</v>
      </c>
      <c r="B968" s="5"/>
      <c r="C968" s="5"/>
      <c r="D968" s="5"/>
      <c r="E968" s="5">
        <v>0</v>
      </c>
      <c r="F968" s="5">
        <v>2608027071</v>
      </c>
      <c r="G968" s="5">
        <v>801268562</v>
      </c>
      <c r="H968" s="5">
        <v>1995464955.0599999</v>
      </c>
      <c r="I968" s="5">
        <v>290442265</v>
      </c>
      <c r="J968" s="5">
        <v>1139040570.612</v>
      </c>
    </row>
    <row r="969" spans="1:10" x14ac:dyDescent="0.25">
      <c r="A969" s="4" t="s">
        <v>1195</v>
      </c>
      <c r="B969" s="5"/>
      <c r="C969" s="5"/>
      <c r="D969" s="5"/>
      <c r="E969" s="5">
        <v>0</v>
      </c>
      <c r="F969" s="5">
        <v>1442402163</v>
      </c>
      <c r="G969" s="5">
        <v>915269375</v>
      </c>
      <c r="H969" s="5">
        <v>2914070529.1500001</v>
      </c>
      <c r="I969" s="5">
        <v>598417552</v>
      </c>
      <c r="J969" s="5">
        <v>1174031923.8299999</v>
      </c>
    </row>
    <row r="970" spans="1:10" x14ac:dyDescent="0.25">
      <c r="A970" s="4" t="s">
        <v>1331</v>
      </c>
      <c r="B970" s="5"/>
      <c r="C970" s="5"/>
      <c r="D970" s="5"/>
      <c r="E970" s="5"/>
      <c r="F970" s="5"/>
      <c r="G970" s="5"/>
      <c r="H970" s="5"/>
      <c r="I970" s="5">
        <v>0</v>
      </c>
      <c r="J970" s="5">
        <v>0</v>
      </c>
    </row>
    <row r="971" spans="1:10" x14ac:dyDescent="0.25">
      <c r="A971" s="4" t="s">
        <v>936</v>
      </c>
      <c r="B971" s="5"/>
      <c r="C971" s="5">
        <v>0</v>
      </c>
      <c r="D971" s="5">
        <v>0</v>
      </c>
      <c r="E971" s="5">
        <v>0</v>
      </c>
      <c r="F971" s="5"/>
      <c r="G971" s="5">
        <v>0</v>
      </c>
      <c r="H971" s="5">
        <v>28890</v>
      </c>
      <c r="I971" s="5">
        <v>71110</v>
      </c>
      <c r="J971" s="5">
        <v>16666.666666666668</v>
      </c>
    </row>
    <row r="972" spans="1:10" x14ac:dyDescent="0.25">
      <c r="A972" s="4" t="s">
        <v>1103</v>
      </c>
      <c r="B972" s="5"/>
      <c r="C972" s="5"/>
      <c r="D972" s="5">
        <v>0</v>
      </c>
      <c r="E972" s="5"/>
      <c r="F972" s="5"/>
      <c r="G972" s="5">
        <v>0</v>
      </c>
      <c r="H972" s="5">
        <v>0</v>
      </c>
      <c r="I972" s="5"/>
      <c r="J972" s="5">
        <v>0</v>
      </c>
    </row>
    <row r="973" spans="1:10" x14ac:dyDescent="0.25">
      <c r="A973" s="4" t="s">
        <v>1012</v>
      </c>
      <c r="B973" s="5"/>
      <c r="C973" s="5">
        <v>18033325</v>
      </c>
      <c r="D973" s="5">
        <v>0</v>
      </c>
      <c r="E973" s="5">
        <v>-8432000</v>
      </c>
      <c r="F973" s="5">
        <v>8846270.8399999999</v>
      </c>
      <c r="G973" s="5">
        <v>-460664.82</v>
      </c>
      <c r="H973" s="5">
        <v>-132724.49</v>
      </c>
      <c r="I973" s="5">
        <v>5346892.58</v>
      </c>
      <c r="J973" s="5">
        <v>3314442.73</v>
      </c>
    </row>
    <row r="974" spans="1:10" x14ac:dyDescent="0.25">
      <c r="A974" s="4" t="s">
        <v>313</v>
      </c>
      <c r="B974" s="5">
        <v>0</v>
      </c>
      <c r="C974" s="5">
        <v>0</v>
      </c>
      <c r="D974" s="5">
        <v>0</v>
      </c>
      <c r="E974" s="5"/>
      <c r="F974" s="5"/>
      <c r="G974" s="5"/>
      <c r="H974" s="5"/>
      <c r="I974" s="5"/>
      <c r="J974" s="5">
        <v>0</v>
      </c>
    </row>
    <row r="975" spans="1:10" x14ac:dyDescent="0.25">
      <c r="A975" s="4" t="s">
        <v>201</v>
      </c>
      <c r="B975" s="5">
        <v>360320.4</v>
      </c>
      <c r="C975" s="5">
        <v>2595900.6</v>
      </c>
      <c r="D975" s="5">
        <v>637707.76</v>
      </c>
      <c r="E975" s="5">
        <v>121113.38</v>
      </c>
      <c r="F975" s="5">
        <v>317563.24</v>
      </c>
      <c r="G975" s="5">
        <v>98201.65</v>
      </c>
      <c r="H975" s="5">
        <v>2107078.46</v>
      </c>
      <c r="I975" s="5">
        <v>116686.34</v>
      </c>
      <c r="J975" s="5">
        <v>794321.47875000001</v>
      </c>
    </row>
    <row r="976" spans="1:10" x14ac:dyDescent="0.25">
      <c r="A976" s="4" t="s">
        <v>912</v>
      </c>
      <c r="B976" s="5">
        <v>77061822.969999999</v>
      </c>
      <c r="C976" s="5">
        <v>37804647.744999997</v>
      </c>
      <c r="D976" s="5">
        <v>35852639.494999997</v>
      </c>
      <c r="E976" s="5">
        <v>292263799.38</v>
      </c>
      <c r="F976" s="5">
        <v>86886308.754999995</v>
      </c>
      <c r="G976" s="5">
        <v>77310583.659999996</v>
      </c>
      <c r="H976" s="5">
        <v>108694699.89</v>
      </c>
      <c r="I976" s="5">
        <v>53832627.399999999</v>
      </c>
      <c r="J976" s="5">
        <v>84568247.753636345</v>
      </c>
    </row>
    <row r="977" spans="1:10" x14ac:dyDescent="0.25">
      <c r="A977" s="4" t="s">
        <v>66</v>
      </c>
      <c r="B977" s="5">
        <v>323639.84000000003</v>
      </c>
      <c r="C977" s="5">
        <v>396651.28</v>
      </c>
      <c r="D977" s="5">
        <v>411878.12</v>
      </c>
      <c r="E977" s="5">
        <v>302054.88</v>
      </c>
      <c r="F977" s="5">
        <v>479382.58</v>
      </c>
      <c r="G977" s="5">
        <v>1930382.43</v>
      </c>
      <c r="H977" s="5">
        <v>526259.91</v>
      </c>
      <c r="I977" s="5">
        <v>99665.9</v>
      </c>
      <c r="J977" s="5">
        <v>558739.36750000005</v>
      </c>
    </row>
    <row r="978" spans="1:10" x14ac:dyDescent="0.25">
      <c r="A978" s="4" t="s">
        <v>822</v>
      </c>
      <c r="B978" s="5">
        <v>0</v>
      </c>
      <c r="C978" s="5">
        <v>760555.69</v>
      </c>
      <c r="D978" s="5">
        <v>504</v>
      </c>
      <c r="E978" s="5">
        <v>1500</v>
      </c>
      <c r="F978" s="5">
        <v>308091.53999999998</v>
      </c>
      <c r="G978" s="5">
        <v>136032.32999999999</v>
      </c>
      <c r="H978" s="5">
        <v>-4697.6499999999996</v>
      </c>
      <c r="I978" s="5">
        <v>0</v>
      </c>
      <c r="J978" s="5">
        <v>150248.23875000002</v>
      </c>
    </row>
    <row r="979" spans="1:10" x14ac:dyDescent="0.25">
      <c r="A979" s="4" t="s">
        <v>673</v>
      </c>
      <c r="B979" s="5">
        <v>0</v>
      </c>
      <c r="C979" s="5">
        <v>0</v>
      </c>
      <c r="D979" s="5">
        <v>0</v>
      </c>
      <c r="E979" s="5">
        <v>0</v>
      </c>
      <c r="F979" s="5">
        <v>0</v>
      </c>
      <c r="G979" s="5">
        <v>0</v>
      </c>
      <c r="H979" s="5">
        <v>4420000</v>
      </c>
      <c r="I979" s="5">
        <v>0</v>
      </c>
      <c r="J979" s="5">
        <v>552500</v>
      </c>
    </row>
    <row r="980" spans="1:10" x14ac:dyDescent="0.25">
      <c r="A980" s="4" t="s">
        <v>1013</v>
      </c>
      <c r="B980" s="5"/>
      <c r="C980" s="5">
        <v>0</v>
      </c>
      <c r="D980" s="5">
        <v>0</v>
      </c>
      <c r="E980" s="5">
        <v>0</v>
      </c>
      <c r="F980" s="5">
        <v>0</v>
      </c>
      <c r="G980" s="5">
        <v>4676556.34</v>
      </c>
      <c r="H980" s="5">
        <v>2080000</v>
      </c>
      <c r="I980" s="5">
        <v>0</v>
      </c>
      <c r="J980" s="5">
        <v>965222.33428571431</v>
      </c>
    </row>
    <row r="981" spans="1:10" x14ac:dyDescent="0.25">
      <c r="A981" s="4" t="s">
        <v>1057</v>
      </c>
      <c r="B981" s="5"/>
      <c r="C981" s="5">
        <v>390135.27</v>
      </c>
      <c r="D981" s="5">
        <v>0</v>
      </c>
      <c r="E981" s="5">
        <v>0</v>
      </c>
      <c r="F981" s="5">
        <v>500000</v>
      </c>
      <c r="G981" s="5">
        <v>0</v>
      </c>
      <c r="H981" s="5">
        <v>3319271.82</v>
      </c>
      <c r="I981" s="5">
        <v>0</v>
      </c>
      <c r="J981" s="5">
        <v>601343.87</v>
      </c>
    </row>
    <row r="982" spans="1:10" x14ac:dyDescent="0.25">
      <c r="A982" s="4" t="s">
        <v>965</v>
      </c>
      <c r="B982" s="5"/>
      <c r="C982" s="5">
        <v>0</v>
      </c>
      <c r="D982" s="5">
        <v>138135.57</v>
      </c>
      <c r="E982" s="5"/>
      <c r="F982" s="5">
        <v>0</v>
      </c>
      <c r="G982" s="5">
        <v>4505.5</v>
      </c>
      <c r="H982" s="5">
        <v>0</v>
      </c>
      <c r="I982" s="5"/>
      <c r="J982" s="5">
        <v>28528.214</v>
      </c>
    </row>
    <row r="983" spans="1:10" x14ac:dyDescent="0.25">
      <c r="A983" s="4" t="s">
        <v>615</v>
      </c>
      <c r="B983" s="5">
        <v>15920450.744999999</v>
      </c>
      <c r="C983" s="5">
        <v>8005169.3849999998</v>
      </c>
      <c r="D983" s="5">
        <v>12317447.43</v>
      </c>
      <c r="E983" s="5">
        <v>17122753.890000001</v>
      </c>
      <c r="F983" s="5">
        <v>11609548.824999999</v>
      </c>
      <c r="G983" s="5">
        <v>27202138.324999999</v>
      </c>
      <c r="H983" s="5">
        <v>3740141.81</v>
      </c>
      <c r="I983" s="5">
        <v>19031768.399999999</v>
      </c>
      <c r="J983" s="5">
        <v>14615705.655384617</v>
      </c>
    </row>
    <row r="984" spans="1:10" x14ac:dyDescent="0.25">
      <c r="A984" s="4" t="s">
        <v>432</v>
      </c>
      <c r="B984" s="5">
        <v>189060.67</v>
      </c>
      <c r="C984" s="5">
        <v>12369677</v>
      </c>
      <c r="D984" s="5">
        <v>4545427.6900000004</v>
      </c>
      <c r="E984" s="5">
        <v>0</v>
      </c>
      <c r="F984" s="5">
        <v>378273.21</v>
      </c>
      <c r="G984" s="5">
        <v>0</v>
      </c>
      <c r="H984" s="5">
        <v>6383440.75</v>
      </c>
      <c r="I984" s="5">
        <v>0</v>
      </c>
      <c r="J984" s="5">
        <v>2983234.915</v>
      </c>
    </row>
    <row r="985" spans="1:10" x14ac:dyDescent="0.25">
      <c r="A985" s="4" t="s">
        <v>67</v>
      </c>
      <c r="B985" s="5">
        <v>10663925</v>
      </c>
      <c r="C985" s="5">
        <v>0</v>
      </c>
      <c r="D985" s="5">
        <v>2732537.26</v>
      </c>
      <c r="E985" s="5">
        <v>0</v>
      </c>
      <c r="F985" s="5">
        <v>15657353.810000001</v>
      </c>
      <c r="G985" s="5">
        <v>45700</v>
      </c>
      <c r="H985" s="5">
        <v>47200</v>
      </c>
      <c r="I985" s="5">
        <v>0</v>
      </c>
      <c r="J985" s="5">
        <v>3643339.50875</v>
      </c>
    </row>
    <row r="986" spans="1:10" x14ac:dyDescent="0.25">
      <c r="A986" s="4" t="s">
        <v>747</v>
      </c>
      <c r="B986" s="5">
        <v>0</v>
      </c>
      <c r="C986" s="5"/>
      <c r="D986" s="5"/>
      <c r="E986" s="5">
        <v>0</v>
      </c>
      <c r="F986" s="5">
        <v>2200000</v>
      </c>
      <c r="G986" s="5">
        <v>347000</v>
      </c>
      <c r="H986" s="5">
        <v>931290.47</v>
      </c>
      <c r="I986" s="5">
        <v>110000</v>
      </c>
      <c r="J986" s="5">
        <v>598048.41166666662</v>
      </c>
    </row>
    <row r="987" spans="1:10" x14ac:dyDescent="0.25">
      <c r="A987" s="4" t="s">
        <v>126</v>
      </c>
      <c r="B987" s="5">
        <v>16473.04</v>
      </c>
      <c r="C987" s="5">
        <v>78624.289999999994</v>
      </c>
      <c r="D987" s="5">
        <v>29155.61</v>
      </c>
      <c r="E987" s="5">
        <v>18649.560000000001</v>
      </c>
      <c r="F987" s="5">
        <v>29404.42</v>
      </c>
      <c r="G987" s="5"/>
      <c r="H987" s="5">
        <v>1291144.78</v>
      </c>
      <c r="I987" s="5">
        <v>1113149.1100000001</v>
      </c>
      <c r="J987" s="5">
        <v>368085.83</v>
      </c>
    </row>
    <row r="988" spans="1:10" x14ac:dyDescent="0.25">
      <c r="A988" s="4" t="s">
        <v>289</v>
      </c>
      <c r="B988" s="5">
        <v>0</v>
      </c>
      <c r="C988" s="5">
        <v>1350</v>
      </c>
      <c r="D988" s="5">
        <v>0</v>
      </c>
      <c r="E988" s="5">
        <v>0</v>
      </c>
      <c r="F988" s="5">
        <v>0</v>
      </c>
      <c r="G988" s="5">
        <v>14799.68</v>
      </c>
      <c r="H988" s="5">
        <v>2768.2</v>
      </c>
      <c r="I988" s="5">
        <v>0</v>
      </c>
      <c r="J988" s="5">
        <v>2364.7350000000001</v>
      </c>
    </row>
    <row r="989" spans="1:10" x14ac:dyDescent="0.25">
      <c r="A989" s="4" t="s">
        <v>990</v>
      </c>
      <c r="B989" s="5"/>
      <c r="C989" s="5">
        <v>164840</v>
      </c>
      <c r="D989" s="5"/>
      <c r="E989" s="5"/>
      <c r="F989" s="5"/>
      <c r="G989" s="5"/>
      <c r="H989" s="5"/>
      <c r="I989" s="5"/>
      <c r="J989" s="5">
        <v>164840</v>
      </c>
    </row>
    <row r="990" spans="1:10" x14ac:dyDescent="0.25">
      <c r="A990" s="4" t="s">
        <v>1282</v>
      </c>
      <c r="B990" s="5"/>
      <c r="C990" s="5"/>
      <c r="D990" s="5"/>
      <c r="E990" s="5"/>
      <c r="F990" s="5"/>
      <c r="G990" s="5">
        <v>566400.71</v>
      </c>
      <c r="H990" s="5">
        <v>41670.07</v>
      </c>
      <c r="I990" s="5"/>
      <c r="J990" s="5">
        <v>304035.38999999996</v>
      </c>
    </row>
    <row r="991" spans="1:10" x14ac:dyDescent="0.25">
      <c r="A991" s="4" t="s">
        <v>412</v>
      </c>
      <c r="B991" s="5">
        <v>171990.51</v>
      </c>
      <c r="C991" s="5"/>
      <c r="D991" s="5">
        <v>0</v>
      </c>
      <c r="E991" s="5"/>
      <c r="F991" s="5">
        <v>322000</v>
      </c>
      <c r="G991" s="5">
        <v>252593.38</v>
      </c>
      <c r="H991" s="5">
        <v>746583.89</v>
      </c>
      <c r="I991" s="5"/>
      <c r="J991" s="5">
        <v>298633.55599999998</v>
      </c>
    </row>
    <row r="992" spans="1:10" x14ac:dyDescent="0.25">
      <c r="A992" s="4" t="s">
        <v>480</v>
      </c>
      <c r="B992" s="5">
        <v>78330.22</v>
      </c>
      <c r="C992" s="5">
        <v>0</v>
      </c>
      <c r="D992" s="5">
        <v>8755.4599999999991</v>
      </c>
      <c r="E992" s="5">
        <v>83004.070000000007</v>
      </c>
      <c r="F992" s="5">
        <v>387896.6</v>
      </c>
      <c r="G992" s="5">
        <v>0</v>
      </c>
      <c r="H992" s="5">
        <v>13133.19</v>
      </c>
      <c r="I992" s="5">
        <v>4139.08</v>
      </c>
      <c r="J992" s="5">
        <v>71907.327499999985</v>
      </c>
    </row>
    <row r="993" spans="1:10" x14ac:dyDescent="0.25">
      <c r="A993" s="4" t="s">
        <v>390</v>
      </c>
      <c r="B993" s="5">
        <v>0</v>
      </c>
      <c r="C993" s="5">
        <v>13230.64</v>
      </c>
      <c r="D993" s="5">
        <v>136173.18</v>
      </c>
      <c r="E993" s="5">
        <v>16162</v>
      </c>
      <c r="F993" s="5">
        <v>119130.7</v>
      </c>
      <c r="G993" s="5">
        <v>100000</v>
      </c>
      <c r="H993" s="5">
        <v>189688.33</v>
      </c>
      <c r="I993" s="5">
        <v>37909.74</v>
      </c>
      <c r="J993" s="5">
        <v>76536.823749999996</v>
      </c>
    </row>
    <row r="994" spans="1:10" x14ac:dyDescent="0.25">
      <c r="A994" s="4" t="s">
        <v>927</v>
      </c>
      <c r="B994" s="5"/>
      <c r="C994" s="5">
        <v>0</v>
      </c>
      <c r="D994" s="5">
        <v>0</v>
      </c>
      <c r="E994" s="5"/>
      <c r="F994" s="5">
        <v>0</v>
      </c>
      <c r="G994" s="5">
        <v>3300</v>
      </c>
      <c r="H994" s="5"/>
      <c r="I994" s="5"/>
      <c r="J994" s="5">
        <v>825</v>
      </c>
    </row>
    <row r="995" spans="1:10" x14ac:dyDescent="0.25">
      <c r="A995" s="4" t="s">
        <v>121</v>
      </c>
      <c r="B995" s="5">
        <v>0</v>
      </c>
      <c r="C995" s="5">
        <v>57398.19</v>
      </c>
      <c r="D995" s="5">
        <v>0</v>
      </c>
      <c r="E995" s="5">
        <v>30456.25</v>
      </c>
      <c r="F995" s="5">
        <v>0</v>
      </c>
      <c r="G995" s="5">
        <v>170157.12</v>
      </c>
      <c r="H995" s="5">
        <v>38909.47</v>
      </c>
      <c r="I995" s="5">
        <v>0</v>
      </c>
      <c r="J995" s="5">
        <v>37115.128750000003</v>
      </c>
    </row>
    <row r="996" spans="1:10" x14ac:dyDescent="0.25">
      <c r="A996" s="4" t="s">
        <v>660</v>
      </c>
      <c r="B996" s="5">
        <v>0</v>
      </c>
      <c r="C996" s="5">
        <v>0</v>
      </c>
      <c r="D996" s="5">
        <v>8619.4599999999991</v>
      </c>
      <c r="E996" s="5">
        <v>-135.22</v>
      </c>
      <c r="F996" s="5">
        <v>161.51</v>
      </c>
      <c r="G996" s="5">
        <v>-469.45</v>
      </c>
      <c r="H996" s="5">
        <v>11068.49</v>
      </c>
      <c r="I996" s="5">
        <v>0</v>
      </c>
      <c r="J996" s="5">
        <v>2405.5987500000001</v>
      </c>
    </row>
    <row r="997" spans="1:10" x14ac:dyDescent="0.25">
      <c r="A997" s="4" t="s">
        <v>863</v>
      </c>
      <c r="B997" s="5">
        <v>712109600.02999997</v>
      </c>
      <c r="C997" s="5">
        <v>110692770.79000001</v>
      </c>
      <c r="D997" s="5">
        <v>210860824.27000001</v>
      </c>
      <c r="E997" s="5">
        <v>29638312.210000001</v>
      </c>
      <c r="F997" s="5">
        <v>18083649.25</v>
      </c>
      <c r="G997" s="5">
        <v>28821644.600000001</v>
      </c>
      <c r="H997" s="5">
        <v>171604829.16</v>
      </c>
      <c r="I997" s="5">
        <v>0</v>
      </c>
      <c r="J997" s="5">
        <v>160226453.78874999</v>
      </c>
    </row>
    <row r="998" spans="1:10" x14ac:dyDescent="0.25">
      <c r="A998" s="4" t="s">
        <v>413</v>
      </c>
      <c r="B998" s="5">
        <v>0</v>
      </c>
      <c r="C998" s="5">
        <v>0</v>
      </c>
      <c r="D998" s="5">
        <v>0</v>
      </c>
      <c r="E998" s="5"/>
      <c r="F998" s="5"/>
      <c r="G998" s="5">
        <v>0</v>
      </c>
      <c r="H998" s="5">
        <v>0</v>
      </c>
      <c r="I998" s="5">
        <v>0</v>
      </c>
      <c r="J998" s="5">
        <v>0</v>
      </c>
    </row>
    <row r="999" spans="1:10" x14ac:dyDescent="0.25">
      <c r="A999" s="4" t="s">
        <v>295</v>
      </c>
      <c r="B999" s="5">
        <v>298473.23</v>
      </c>
      <c r="C999" s="5">
        <v>3855343.29</v>
      </c>
      <c r="D999" s="5">
        <v>-1294662.8500000001</v>
      </c>
      <c r="E999" s="5">
        <v>878935.01</v>
      </c>
      <c r="F999" s="5">
        <v>1580821.21</v>
      </c>
      <c r="G999" s="5">
        <v>1554837.58</v>
      </c>
      <c r="H999" s="5">
        <v>2291893.31</v>
      </c>
      <c r="I999" s="5">
        <v>1806542.35</v>
      </c>
      <c r="J999" s="5">
        <v>1371522.8912499999</v>
      </c>
    </row>
    <row r="1000" spans="1:10" x14ac:dyDescent="0.25">
      <c r="A1000" s="4" t="s">
        <v>316</v>
      </c>
      <c r="B1000" s="5">
        <v>105982935.05</v>
      </c>
      <c r="C1000" s="5">
        <v>66424286.090000004</v>
      </c>
      <c r="D1000" s="5">
        <v>88726260.769999996</v>
      </c>
      <c r="E1000" s="5">
        <v>4056501.84</v>
      </c>
      <c r="F1000" s="5">
        <v>12414909.34</v>
      </c>
      <c r="G1000" s="5">
        <v>60605806.159999996</v>
      </c>
      <c r="H1000" s="5">
        <v>4867860.54</v>
      </c>
      <c r="I1000" s="5">
        <v>71979562.939999998</v>
      </c>
      <c r="J1000" s="5">
        <v>51882265.341250002</v>
      </c>
    </row>
    <row r="1001" spans="1:10" x14ac:dyDescent="0.25">
      <c r="A1001" s="4" t="s">
        <v>493</v>
      </c>
      <c r="B1001" s="5">
        <v>298845798.56999999</v>
      </c>
      <c r="C1001" s="5">
        <v>216369136.06999999</v>
      </c>
      <c r="D1001" s="5">
        <v>487251633.91000003</v>
      </c>
      <c r="E1001" s="5">
        <v>16450449.619999999</v>
      </c>
      <c r="F1001" s="5">
        <v>7896755.3700000001</v>
      </c>
      <c r="G1001" s="5">
        <v>19045910.219999999</v>
      </c>
      <c r="H1001" s="5">
        <v>593522459.66999996</v>
      </c>
      <c r="I1001" s="5">
        <v>60632795.240000002</v>
      </c>
      <c r="J1001" s="5">
        <v>212501867.33374998</v>
      </c>
    </row>
    <row r="1002" spans="1:10" x14ac:dyDescent="0.25">
      <c r="A1002" s="4" t="s">
        <v>14</v>
      </c>
      <c r="B1002" s="5">
        <v>119210561.45</v>
      </c>
      <c r="C1002" s="5">
        <v>3533097.01</v>
      </c>
      <c r="D1002" s="5">
        <v>0</v>
      </c>
      <c r="E1002" s="5">
        <v>0</v>
      </c>
      <c r="F1002" s="5">
        <v>24256341.539999999</v>
      </c>
      <c r="G1002" s="5">
        <v>0</v>
      </c>
      <c r="H1002" s="5">
        <v>0</v>
      </c>
      <c r="I1002" s="5">
        <v>0</v>
      </c>
      <c r="J1002" s="5">
        <v>18375000</v>
      </c>
    </row>
    <row r="1003" spans="1:10" x14ac:dyDescent="0.25">
      <c r="A1003" s="4" t="s">
        <v>1164</v>
      </c>
      <c r="B1003" s="5"/>
      <c r="C1003" s="5"/>
      <c r="D1003" s="5"/>
      <c r="E1003" s="5">
        <v>0</v>
      </c>
      <c r="F1003" s="5"/>
      <c r="G1003" s="5"/>
      <c r="H1003" s="5"/>
      <c r="I1003" s="5"/>
      <c r="J1003" s="5">
        <v>0</v>
      </c>
    </row>
    <row r="1004" spans="1:10" x14ac:dyDescent="0.25">
      <c r="A1004" s="4" t="s">
        <v>1019</v>
      </c>
      <c r="B1004" s="5"/>
      <c r="C1004" s="5">
        <v>500000</v>
      </c>
      <c r="D1004" s="5">
        <v>-11154.72</v>
      </c>
      <c r="E1004" s="5"/>
      <c r="F1004" s="5"/>
      <c r="G1004" s="5"/>
      <c r="H1004" s="5"/>
      <c r="I1004" s="5"/>
      <c r="J1004" s="5">
        <v>244422.64</v>
      </c>
    </row>
    <row r="1005" spans="1:10" x14ac:dyDescent="0.25">
      <c r="A1005" s="4" t="s">
        <v>331</v>
      </c>
      <c r="B1005" s="5">
        <v>922551.63</v>
      </c>
      <c r="C1005" s="5">
        <v>1238019.98</v>
      </c>
      <c r="D1005" s="5">
        <v>2174944.7000000002</v>
      </c>
      <c r="E1005" s="5">
        <v>14436452.630000001</v>
      </c>
      <c r="F1005" s="5">
        <v>7233995.8499999996</v>
      </c>
      <c r="G1005" s="5">
        <v>6158147.8499999996</v>
      </c>
      <c r="H1005" s="5">
        <v>8504916.7400000002</v>
      </c>
      <c r="I1005" s="5">
        <v>4191372.45</v>
      </c>
      <c r="J1005" s="5">
        <v>5607550.2287500007</v>
      </c>
    </row>
    <row r="1006" spans="1:10" x14ac:dyDescent="0.25">
      <c r="A1006" s="4" t="s">
        <v>957</v>
      </c>
      <c r="B1006" s="5"/>
      <c r="C1006" s="5">
        <v>0</v>
      </c>
      <c r="D1006" s="5">
        <v>0</v>
      </c>
      <c r="E1006" s="5"/>
      <c r="F1006" s="5"/>
      <c r="G1006" s="5"/>
      <c r="H1006" s="5"/>
      <c r="I1006" s="5"/>
      <c r="J1006" s="5">
        <v>0</v>
      </c>
    </row>
    <row r="1007" spans="1:10" x14ac:dyDescent="0.25">
      <c r="A1007" s="4" t="s">
        <v>78</v>
      </c>
      <c r="B1007" s="5">
        <v>1636078.7450000001</v>
      </c>
      <c r="C1007" s="5">
        <v>3255434.82</v>
      </c>
      <c r="D1007" s="5">
        <v>2161967.5449999999</v>
      </c>
      <c r="E1007" s="5">
        <v>1683020.24</v>
      </c>
      <c r="F1007" s="5">
        <v>3272128.52</v>
      </c>
      <c r="G1007" s="5">
        <v>2840707.42</v>
      </c>
      <c r="H1007" s="5">
        <v>3062802.8849999998</v>
      </c>
      <c r="I1007" s="5">
        <v>5535538.5700000003</v>
      </c>
      <c r="J1007" s="5">
        <v>2652493.6226666663</v>
      </c>
    </row>
    <row r="1008" spans="1:10" x14ac:dyDescent="0.25">
      <c r="A1008" s="4" t="s">
        <v>641</v>
      </c>
      <c r="B1008" s="5">
        <v>0</v>
      </c>
      <c r="C1008" s="5">
        <v>20000</v>
      </c>
      <c r="D1008" s="5">
        <v>0</v>
      </c>
      <c r="E1008" s="5"/>
      <c r="F1008" s="5">
        <v>0</v>
      </c>
      <c r="G1008" s="5"/>
      <c r="H1008" s="5"/>
      <c r="I1008" s="5"/>
      <c r="J1008" s="5">
        <v>5000</v>
      </c>
    </row>
    <row r="1009" spans="1:10" x14ac:dyDescent="0.25">
      <c r="A1009" s="4" t="s">
        <v>1001</v>
      </c>
      <c r="B1009" s="5"/>
      <c r="C1009" s="5">
        <v>0</v>
      </c>
      <c r="D1009" s="5"/>
      <c r="E1009" s="5"/>
      <c r="F1009" s="5"/>
      <c r="G1009" s="5"/>
      <c r="H1009" s="5"/>
      <c r="I1009" s="5"/>
      <c r="J1009" s="5">
        <v>0</v>
      </c>
    </row>
    <row r="1010" spans="1:10" x14ac:dyDescent="0.25">
      <c r="A1010" s="4" t="s">
        <v>825</v>
      </c>
      <c r="B1010" s="5">
        <v>21902591.18</v>
      </c>
      <c r="C1010" s="5">
        <v>708283.32499999995</v>
      </c>
      <c r="D1010" s="5">
        <v>31841725.960000001</v>
      </c>
      <c r="E1010" s="5">
        <v>40383360.369999997</v>
      </c>
      <c r="F1010" s="5">
        <v>54921329.43</v>
      </c>
      <c r="G1010" s="5">
        <v>31369507.91</v>
      </c>
      <c r="H1010" s="5">
        <v>47186113.57</v>
      </c>
      <c r="I1010" s="5">
        <v>3134356.3050000002</v>
      </c>
      <c r="J1010" s="5">
        <v>23528990.767999999</v>
      </c>
    </row>
    <row r="1011" spans="1:10" x14ac:dyDescent="0.25">
      <c r="A1011" s="4" t="s">
        <v>593</v>
      </c>
      <c r="B1011" s="5">
        <v>4313518.24</v>
      </c>
      <c r="C1011" s="5">
        <v>1629126.21</v>
      </c>
      <c r="D1011" s="5">
        <v>2926482.64</v>
      </c>
      <c r="E1011" s="5">
        <v>933205.86</v>
      </c>
      <c r="F1011" s="5">
        <v>1512484.82</v>
      </c>
      <c r="G1011" s="5">
        <v>1788910.83</v>
      </c>
      <c r="H1011" s="5">
        <v>5895299.54</v>
      </c>
      <c r="I1011" s="5">
        <v>4859139.16</v>
      </c>
      <c r="J1011" s="5">
        <v>2982270.9125000001</v>
      </c>
    </row>
    <row r="1012" spans="1:10" x14ac:dyDescent="0.25">
      <c r="A1012" s="4" t="s">
        <v>397</v>
      </c>
      <c r="B1012" s="5">
        <v>6264705.7699999996</v>
      </c>
      <c r="C1012" s="5">
        <v>-3608584</v>
      </c>
      <c r="D1012" s="5">
        <v>-150000</v>
      </c>
      <c r="E1012" s="5">
        <v>6297926.1699999999</v>
      </c>
      <c r="F1012" s="5">
        <v>90500</v>
      </c>
      <c r="G1012" s="5">
        <v>57090.62</v>
      </c>
      <c r="H1012" s="5">
        <v>-314781.74</v>
      </c>
      <c r="I1012" s="5">
        <v>767888.85</v>
      </c>
      <c r="J1012" s="5">
        <v>1175593.2087499998</v>
      </c>
    </row>
    <row r="1013" spans="1:10" x14ac:dyDescent="0.25">
      <c r="A1013" s="4" t="s">
        <v>156</v>
      </c>
      <c r="B1013" s="5">
        <v>5070130.1900000004</v>
      </c>
      <c r="C1013" s="5">
        <v>-3430184</v>
      </c>
      <c r="D1013" s="5">
        <v>-160000</v>
      </c>
      <c r="E1013" s="5">
        <v>4029078.53</v>
      </c>
      <c r="F1013" s="5">
        <v>144765.01</v>
      </c>
      <c r="G1013" s="5">
        <v>45000</v>
      </c>
      <c r="H1013" s="5">
        <v>-165000</v>
      </c>
      <c r="I1013" s="5">
        <v>804781.08</v>
      </c>
      <c r="J1013" s="5">
        <v>792321.35125000007</v>
      </c>
    </row>
    <row r="1014" spans="1:10" x14ac:dyDescent="0.25">
      <c r="A1014" s="4" t="s">
        <v>478</v>
      </c>
      <c r="B1014" s="5">
        <v>2965491231.7199998</v>
      </c>
      <c r="C1014" s="5">
        <v>864938227.38999999</v>
      </c>
      <c r="D1014" s="5">
        <v>455865003.04000002</v>
      </c>
      <c r="E1014" s="5">
        <v>769603515.23000002</v>
      </c>
      <c r="F1014" s="5">
        <v>518428870.18000001</v>
      </c>
      <c r="G1014" s="5">
        <v>1243182194.71</v>
      </c>
      <c r="H1014" s="5">
        <v>1245590096.4200001</v>
      </c>
      <c r="I1014" s="5">
        <v>613131535.16999996</v>
      </c>
      <c r="J1014" s="5">
        <v>1014677297.4333333</v>
      </c>
    </row>
    <row r="1015" spans="1:10" x14ac:dyDescent="0.25">
      <c r="A1015" s="4" t="s">
        <v>704</v>
      </c>
      <c r="B1015" s="5">
        <v>1000000</v>
      </c>
      <c r="C1015" s="5">
        <v>-500000</v>
      </c>
      <c r="D1015" s="5">
        <v>-200000</v>
      </c>
      <c r="E1015" s="5">
        <v>2200000</v>
      </c>
      <c r="F1015" s="5"/>
      <c r="G1015" s="5"/>
      <c r="H1015" s="5"/>
      <c r="I1015" s="5"/>
      <c r="J1015" s="5">
        <v>625000</v>
      </c>
    </row>
    <row r="1016" spans="1:10" x14ac:dyDescent="0.25">
      <c r="A1016" s="4" t="s">
        <v>454</v>
      </c>
      <c r="B1016" s="5">
        <v>28214474.100000001</v>
      </c>
      <c r="C1016" s="5">
        <v>0</v>
      </c>
      <c r="D1016" s="5">
        <v>0</v>
      </c>
      <c r="E1016" s="5">
        <v>62098723.990000002</v>
      </c>
      <c r="F1016" s="5">
        <v>69937063.840000004</v>
      </c>
      <c r="G1016" s="5">
        <v>3737088</v>
      </c>
      <c r="H1016" s="5">
        <v>1524183.56</v>
      </c>
      <c r="I1016" s="5"/>
      <c r="J1016" s="5">
        <v>23644504.784285717</v>
      </c>
    </row>
    <row r="1017" spans="1:10" x14ac:dyDescent="0.25">
      <c r="A1017" s="4" t="s">
        <v>207</v>
      </c>
      <c r="B1017" s="5">
        <v>0</v>
      </c>
      <c r="C1017" s="5">
        <v>155000</v>
      </c>
      <c r="D1017" s="5">
        <v>132778.4</v>
      </c>
      <c r="E1017" s="5">
        <v>0</v>
      </c>
      <c r="F1017" s="5">
        <v>220515.8</v>
      </c>
      <c r="G1017" s="5">
        <v>30000</v>
      </c>
      <c r="H1017" s="5">
        <v>0</v>
      </c>
      <c r="I1017" s="5">
        <v>101000</v>
      </c>
      <c r="J1017" s="5">
        <v>79911.774999999994</v>
      </c>
    </row>
    <row r="1018" spans="1:10" x14ac:dyDescent="0.25">
      <c r="A1018" s="4" t="s">
        <v>172</v>
      </c>
      <c r="B1018" s="5">
        <v>0</v>
      </c>
      <c r="C1018" s="5">
        <v>0</v>
      </c>
      <c r="D1018" s="5"/>
      <c r="E1018" s="5">
        <v>0</v>
      </c>
      <c r="F1018" s="5">
        <v>52015</v>
      </c>
      <c r="G1018" s="5">
        <v>37495</v>
      </c>
      <c r="H1018" s="5">
        <v>24000</v>
      </c>
      <c r="I1018" s="5">
        <v>0</v>
      </c>
      <c r="J1018" s="5">
        <v>16215.714285714286</v>
      </c>
    </row>
    <row r="1019" spans="1:10" x14ac:dyDescent="0.25">
      <c r="A1019" s="4" t="s">
        <v>686</v>
      </c>
      <c r="B1019" s="5">
        <v>282813.03999999998</v>
      </c>
      <c r="C1019" s="5">
        <v>11993673.26</v>
      </c>
      <c r="D1019" s="5">
        <v>17853877.890000001</v>
      </c>
      <c r="E1019" s="5">
        <v>4277117.63</v>
      </c>
      <c r="F1019" s="5">
        <v>11770117.689999999</v>
      </c>
      <c r="G1019" s="5">
        <v>11410295.4</v>
      </c>
      <c r="H1019" s="5">
        <v>9433545.8499999996</v>
      </c>
      <c r="I1019" s="5">
        <v>5633588.21</v>
      </c>
      <c r="J1019" s="5">
        <v>9081878.6212499999</v>
      </c>
    </row>
    <row r="1020" spans="1:10" x14ac:dyDescent="0.25">
      <c r="A1020" s="4" t="s">
        <v>168</v>
      </c>
      <c r="B1020" s="5">
        <v>6693511.1100000003</v>
      </c>
      <c r="C1020" s="5">
        <v>3360290.53</v>
      </c>
      <c r="D1020" s="5">
        <v>-128416</v>
      </c>
      <c r="E1020" s="5">
        <v>23078792.59</v>
      </c>
      <c r="F1020" s="5">
        <v>658169.03</v>
      </c>
      <c r="G1020" s="5">
        <v>160000</v>
      </c>
      <c r="H1020" s="5">
        <v>770756.84</v>
      </c>
      <c r="I1020" s="5">
        <v>876611.24</v>
      </c>
      <c r="J1020" s="5">
        <v>4433714.4175000004</v>
      </c>
    </row>
    <row r="1021" spans="1:10" x14ac:dyDescent="0.25">
      <c r="A1021" s="4" t="s">
        <v>961</v>
      </c>
      <c r="B1021" s="5"/>
      <c r="C1021" s="5">
        <v>0</v>
      </c>
      <c r="D1021" s="5">
        <v>0</v>
      </c>
      <c r="E1021" s="5"/>
      <c r="F1021" s="5">
        <v>63000</v>
      </c>
      <c r="G1021" s="5">
        <v>0</v>
      </c>
      <c r="H1021" s="5">
        <v>0</v>
      </c>
      <c r="I1021" s="5">
        <v>83000</v>
      </c>
      <c r="J1021" s="5">
        <v>24333.333333333332</v>
      </c>
    </row>
    <row r="1022" spans="1:10" x14ac:dyDescent="0.25">
      <c r="A1022" s="4" t="s">
        <v>1008</v>
      </c>
      <c r="B1022" s="5"/>
      <c r="C1022" s="5">
        <v>73000</v>
      </c>
      <c r="D1022" s="5">
        <v>0</v>
      </c>
      <c r="E1022" s="5">
        <v>17172.68</v>
      </c>
      <c r="F1022" s="5">
        <v>5000</v>
      </c>
      <c r="G1022" s="5">
        <v>30000</v>
      </c>
      <c r="H1022" s="5">
        <v>30671.75</v>
      </c>
      <c r="I1022" s="5">
        <v>65000</v>
      </c>
      <c r="J1022" s="5">
        <v>31549.204285714284</v>
      </c>
    </row>
    <row r="1023" spans="1:10" x14ac:dyDescent="0.25">
      <c r="A1023" s="4" t="s">
        <v>1002</v>
      </c>
      <c r="B1023" s="5"/>
      <c r="C1023" s="5">
        <v>48000</v>
      </c>
      <c r="D1023" s="5">
        <v>0</v>
      </c>
      <c r="E1023" s="5">
        <v>29000</v>
      </c>
      <c r="F1023" s="5">
        <v>101000</v>
      </c>
      <c r="G1023" s="5">
        <v>15000</v>
      </c>
      <c r="H1023" s="5">
        <v>85000</v>
      </c>
      <c r="I1023" s="5">
        <v>102859.66</v>
      </c>
      <c r="J1023" s="5">
        <v>54408.52285714286</v>
      </c>
    </row>
    <row r="1024" spans="1:10" x14ac:dyDescent="0.25">
      <c r="A1024" s="4" t="s">
        <v>148</v>
      </c>
      <c r="B1024" s="5">
        <v>0</v>
      </c>
      <c r="C1024" s="5">
        <v>2534000</v>
      </c>
      <c r="D1024" s="5">
        <v>9299671</v>
      </c>
      <c r="E1024" s="5">
        <v>0</v>
      </c>
      <c r="F1024" s="5">
        <v>58600000</v>
      </c>
      <c r="G1024" s="5">
        <v>0</v>
      </c>
      <c r="H1024" s="5">
        <v>1504.7</v>
      </c>
      <c r="I1024" s="5">
        <v>0</v>
      </c>
      <c r="J1024" s="5">
        <v>8804396.9625000004</v>
      </c>
    </row>
    <row r="1025" spans="1:10" x14ac:dyDescent="0.25">
      <c r="A1025" s="4" t="s">
        <v>687</v>
      </c>
      <c r="B1025" s="5">
        <v>10337.26</v>
      </c>
      <c r="C1025" s="5">
        <v>18400</v>
      </c>
      <c r="D1025" s="5">
        <v>26800</v>
      </c>
      <c r="E1025" s="5">
        <v>100276.62</v>
      </c>
      <c r="F1025" s="5">
        <v>41512.1</v>
      </c>
      <c r="G1025" s="5">
        <v>33300</v>
      </c>
      <c r="H1025" s="5">
        <v>9180</v>
      </c>
      <c r="I1025" s="5">
        <v>125569</v>
      </c>
      <c r="J1025" s="5">
        <v>45671.872499999998</v>
      </c>
    </row>
    <row r="1026" spans="1:10" x14ac:dyDescent="0.25">
      <c r="A1026" s="4" t="s">
        <v>417</v>
      </c>
      <c r="B1026" s="5">
        <v>0</v>
      </c>
      <c r="C1026" s="5">
        <v>0</v>
      </c>
      <c r="D1026" s="5">
        <v>550000</v>
      </c>
      <c r="E1026" s="5">
        <v>0</v>
      </c>
      <c r="F1026" s="5">
        <v>0</v>
      </c>
      <c r="G1026" s="5">
        <v>2548470.54</v>
      </c>
      <c r="H1026" s="5">
        <v>348385.4</v>
      </c>
      <c r="I1026" s="5">
        <v>260000</v>
      </c>
      <c r="J1026" s="5">
        <v>463356.99249999999</v>
      </c>
    </row>
    <row r="1027" spans="1:10" x14ac:dyDescent="0.25">
      <c r="A1027" s="4" t="s">
        <v>596</v>
      </c>
      <c r="B1027" s="5">
        <v>473301.66</v>
      </c>
      <c r="C1027" s="5">
        <v>0</v>
      </c>
      <c r="D1027" s="5">
        <v>1682942.03</v>
      </c>
      <c r="E1027" s="5">
        <v>3007033.53</v>
      </c>
      <c r="F1027" s="5">
        <v>93256.28</v>
      </c>
      <c r="G1027" s="5">
        <v>320100</v>
      </c>
      <c r="H1027" s="5">
        <v>458000</v>
      </c>
      <c r="I1027" s="5">
        <v>252785.95</v>
      </c>
      <c r="J1027" s="5">
        <v>785927.43125000002</v>
      </c>
    </row>
    <row r="1028" spans="1:10" x14ac:dyDescent="0.25">
      <c r="A1028" s="4" t="s">
        <v>292</v>
      </c>
      <c r="B1028" s="5">
        <v>0</v>
      </c>
      <c r="C1028" s="5">
        <v>302822</v>
      </c>
      <c r="D1028" s="5">
        <v>39832029.030000001</v>
      </c>
      <c r="E1028" s="5">
        <v>384769.07</v>
      </c>
      <c r="F1028" s="5">
        <v>742114.35</v>
      </c>
      <c r="G1028" s="5">
        <v>13408015.25</v>
      </c>
      <c r="H1028" s="5">
        <v>144070025.94</v>
      </c>
      <c r="I1028" s="5">
        <v>401.82</v>
      </c>
      <c r="J1028" s="5">
        <v>24842522.182499997</v>
      </c>
    </row>
    <row r="1029" spans="1:10" x14ac:dyDescent="0.25">
      <c r="A1029" s="4" t="s">
        <v>298</v>
      </c>
      <c r="B1029" s="5">
        <v>0</v>
      </c>
      <c r="C1029" s="5">
        <v>66119.399999999994</v>
      </c>
      <c r="D1029" s="5">
        <v>0</v>
      </c>
      <c r="E1029" s="5">
        <v>0</v>
      </c>
      <c r="F1029" s="5">
        <v>10000000</v>
      </c>
      <c r="G1029" s="5">
        <v>550000</v>
      </c>
      <c r="H1029" s="5">
        <v>3014000</v>
      </c>
      <c r="I1029" s="5">
        <v>0</v>
      </c>
      <c r="J1029" s="5">
        <v>1703764.925</v>
      </c>
    </row>
    <row r="1030" spans="1:10" x14ac:dyDescent="0.25">
      <c r="A1030" s="4" t="s">
        <v>323</v>
      </c>
      <c r="B1030" s="5">
        <v>0</v>
      </c>
      <c r="C1030" s="5">
        <v>7353.6</v>
      </c>
      <c r="D1030" s="5">
        <v>43767.34</v>
      </c>
      <c r="E1030" s="5">
        <v>20000</v>
      </c>
      <c r="F1030" s="5">
        <v>106235.04</v>
      </c>
      <c r="G1030" s="5">
        <v>5725000</v>
      </c>
      <c r="H1030" s="5">
        <v>33253.26</v>
      </c>
      <c r="I1030" s="5">
        <v>18.399999999999999</v>
      </c>
      <c r="J1030" s="5">
        <v>671318.07555555552</v>
      </c>
    </row>
    <row r="1031" spans="1:10" x14ac:dyDescent="0.25">
      <c r="A1031" s="4" t="s">
        <v>419</v>
      </c>
      <c r="B1031" s="5">
        <v>0</v>
      </c>
      <c r="C1031" s="5">
        <v>153537.15</v>
      </c>
      <c r="D1031" s="5">
        <v>38000</v>
      </c>
      <c r="E1031" s="5">
        <v>36610.58</v>
      </c>
      <c r="F1031" s="5">
        <v>29356.99</v>
      </c>
      <c r="G1031" s="5">
        <v>5080261.68</v>
      </c>
      <c r="H1031" s="5">
        <v>-2407696.59</v>
      </c>
      <c r="I1031" s="5">
        <v>985000</v>
      </c>
      <c r="J1031" s="5">
        <v>489383.72624999995</v>
      </c>
    </row>
    <row r="1032" spans="1:10" x14ac:dyDescent="0.25">
      <c r="A1032" s="4" t="s">
        <v>310</v>
      </c>
      <c r="B1032" s="5">
        <v>0</v>
      </c>
      <c r="C1032" s="5">
        <v>0</v>
      </c>
      <c r="D1032" s="5">
        <v>0</v>
      </c>
      <c r="E1032" s="5">
        <v>0</v>
      </c>
      <c r="F1032" s="5">
        <v>0</v>
      </c>
      <c r="G1032" s="5">
        <v>0</v>
      </c>
      <c r="H1032" s="5">
        <v>0</v>
      </c>
      <c r="I1032" s="5">
        <v>0</v>
      </c>
      <c r="J1032" s="5">
        <v>0</v>
      </c>
    </row>
    <row r="1033" spans="1:10" x14ac:dyDescent="0.25">
      <c r="A1033" s="4" t="s">
        <v>820</v>
      </c>
      <c r="B1033" s="5">
        <v>250000</v>
      </c>
      <c r="C1033" s="5">
        <v>400000</v>
      </c>
      <c r="D1033" s="5">
        <v>0</v>
      </c>
      <c r="E1033" s="5">
        <v>0</v>
      </c>
      <c r="F1033" s="5">
        <v>4472240.13</v>
      </c>
      <c r="G1033" s="5">
        <v>12890480.84</v>
      </c>
      <c r="H1033" s="5">
        <v>101662.62</v>
      </c>
      <c r="I1033" s="5">
        <v>800000</v>
      </c>
      <c r="J1033" s="5">
        <v>2364297.94875</v>
      </c>
    </row>
    <row r="1034" spans="1:10" x14ac:dyDescent="0.25">
      <c r="A1034" s="4" t="s">
        <v>182</v>
      </c>
      <c r="B1034" s="5">
        <v>0</v>
      </c>
      <c r="C1034" s="5">
        <v>0</v>
      </c>
      <c r="D1034" s="5">
        <v>0</v>
      </c>
      <c r="E1034" s="5">
        <v>0</v>
      </c>
      <c r="F1034" s="5">
        <v>0</v>
      </c>
      <c r="G1034" s="5">
        <v>0</v>
      </c>
      <c r="H1034" s="5">
        <v>2666086.6949999998</v>
      </c>
      <c r="I1034" s="5">
        <v>9519927.9100000001</v>
      </c>
      <c r="J1034" s="5">
        <v>1624801.9473333333</v>
      </c>
    </row>
    <row r="1035" spans="1:10" x14ac:dyDescent="0.25">
      <c r="A1035" s="4" t="s">
        <v>787</v>
      </c>
      <c r="B1035" s="5">
        <v>0</v>
      </c>
      <c r="C1035" s="5">
        <v>3000000</v>
      </c>
      <c r="D1035" s="5">
        <v>74367713.879999995</v>
      </c>
      <c r="E1035" s="5">
        <v>31540092.170000002</v>
      </c>
      <c r="F1035" s="5">
        <v>5045636.42</v>
      </c>
      <c r="G1035" s="5">
        <v>115407366.81</v>
      </c>
      <c r="H1035" s="5">
        <v>68106495.480000004</v>
      </c>
      <c r="I1035" s="5">
        <v>242840513.44999999</v>
      </c>
      <c r="J1035" s="5">
        <v>67538477.276250005</v>
      </c>
    </row>
    <row r="1036" spans="1:10" x14ac:dyDescent="0.25">
      <c r="A1036" s="4" t="s">
        <v>1246</v>
      </c>
      <c r="B1036" s="5"/>
      <c r="C1036" s="5"/>
      <c r="D1036" s="5"/>
      <c r="E1036" s="5"/>
      <c r="F1036" s="5">
        <v>0</v>
      </c>
      <c r="G1036" s="5">
        <v>0</v>
      </c>
      <c r="H1036" s="5"/>
      <c r="I1036" s="5"/>
      <c r="J1036" s="5">
        <v>0</v>
      </c>
    </row>
    <row r="1037" spans="1:10" x14ac:dyDescent="0.25">
      <c r="A1037" s="4" t="s">
        <v>1028</v>
      </c>
      <c r="B1037" s="5"/>
      <c r="C1037" s="5">
        <v>0</v>
      </c>
      <c r="D1037" s="5">
        <v>220000</v>
      </c>
      <c r="E1037" s="5"/>
      <c r="F1037" s="5">
        <v>0</v>
      </c>
      <c r="G1037" s="5">
        <v>0</v>
      </c>
      <c r="H1037" s="5"/>
      <c r="I1037" s="5"/>
      <c r="J1037" s="5">
        <v>55000</v>
      </c>
    </row>
    <row r="1038" spans="1:10" x14ac:dyDescent="0.25">
      <c r="A1038" s="4" t="s">
        <v>403</v>
      </c>
      <c r="B1038" s="5">
        <v>0</v>
      </c>
      <c r="C1038" s="5">
        <v>2000</v>
      </c>
      <c r="D1038" s="5">
        <v>241077.36</v>
      </c>
      <c r="E1038" s="5">
        <v>2615621.92</v>
      </c>
      <c r="F1038" s="5">
        <v>8475252.9550000001</v>
      </c>
      <c r="G1038" s="5">
        <v>-287312.8</v>
      </c>
      <c r="H1038" s="5">
        <v>1461026.36</v>
      </c>
      <c r="I1038" s="5">
        <v>4459796.41</v>
      </c>
      <c r="J1038" s="5">
        <v>2120932.7756249998</v>
      </c>
    </row>
    <row r="1039" spans="1:10" x14ac:dyDescent="0.25">
      <c r="A1039" s="4" t="s">
        <v>1130</v>
      </c>
      <c r="B1039" s="5"/>
      <c r="C1039" s="5"/>
      <c r="D1039" s="5">
        <v>17808.330000000002</v>
      </c>
      <c r="E1039" s="5">
        <v>147.52000000000001</v>
      </c>
      <c r="F1039" s="5">
        <v>-91.2</v>
      </c>
      <c r="G1039" s="5">
        <v>-628.16999999999996</v>
      </c>
      <c r="H1039" s="5">
        <v>225.6</v>
      </c>
      <c r="I1039" s="5"/>
      <c r="J1039" s="5">
        <v>3492.4160000000002</v>
      </c>
    </row>
    <row r="1040" spans="1:10" x14ac:dyDescent="0.25">
      <c r="A1040" s="4" t="s">
        <v>1000</v>
      </c>
      <c r="B1040" s="5"/>
      <c r="C1040" s="5">
        <v>0</v>
      </c>
      <c r="D1040" s="5">
        <v>0</v>
      </c>
      <c r="E1040" s="5">
        <v>0</v>
      </c>
      <c r="F1040" s="5">
        <v>0</v>
      </c>
      <c r="G1040" s="5">
        <v>0</v>
      </c>
      <c r="H1040" s="5">
        <v>0</v>
      </c>
      <c r="I1040" s="5">
        <v>0</v>
      </c>
      <c r="J1040" s="5">
        <v>0</v>
      </c>
    </row>
    <row r="1041" spans="1:10" x14ac:dyDescent="0.25">
      <c r="A1041" s="4" t="s">
        <v>631</v>
      </c>
      <c r="B1041" s="5">
        <v>0</v>
      </c>
      <c r="C1041" s="5">
        <v>51833.81</v>
      </c>
      <c r="D1041" s="5">
        <v>90336.15</v>
      </c>
      <c r="E1041" s="5">
        <v>-1592.7</v>
      </c>
      <c r="F1041" s="5">
        <v>301902.45</v>
      </c>
      <c r="G1041" s="5">
        <v>-5529.49</v>
      </c>
      <c r="H1041" s="5">
        <v>702683.26</v>
      </c>
      <c r="I1041" s="5">
        <v>3170092.96</v>
      </c>
      <c r="J1041" s="5">
        <v>538715.80499999993</v>
      </c>
    </row>
    <row r="1042" spans="1:10" x14ac:dyDescent="0.25">
      <c r="A1042" s="4" t="s">
        <v>265</v>
      </c>
      <c r="B1042" s="5">
        <v>216666666.66</v>
      </c>
      <c r="C1042" s="5">
        <v>108333333.33</v>
      </c>
      <c r="D1042" s="5">
        <v>108333333.33</v>
      </c>
      <c r="E1042" s="5">
        <v>108333333.33</v>
      </c>
      <c r="F1042" s="5">
        <v>108333333.33</v>
      </c>
      <c r="G1042" s="5">
        <v>108333333.33</v>
      </c>
      <c r="H1042" s="5">
        <v>108333333.33</v>
      </c>
      <c r="I1042" s="5">
        <v>0</v>
      </c>
      <c r="J1042" s="5">
        <v>108333333.33000001</v>
      </c>
    </row>
    <row r="1043" spans="1:10" x14ac:dyDescent="0.25">
      <c r="A1043" s="4" t="s">
        <v>592</v>
      </c>
      <c r="B1043" s="5">
        <v>2050000</v>
      </c>
      <c r="C1043" s="5">
        <v>2030000</v>
      </c>
      <c r="D1043" s="5">
        <v>2170886.06</v>
      </c>
      <c r="E1043" s="5">
        <v>6820711.1600000001</v>
      </c>
      <c r="F1043" s="5">
        <v>2178000</v>
      </c>
      <c r="G1043" s="5">
        <v>2170000</v>
      </c>
      <c r="H1043" s="5">
        <v>2168000</v>
      </c>
      <c r="I1043" s="5">
        <v>2110000</v>
      </c>
      <c r="J1043" s="5">
        <v>2712199.6524999999</v>
      </c>
    </row>
    <row r="1044" spans="1:10" x14ac:dyDescent="0.25">
      <c r="A1044" s="4" t="s">
        <v>421</v>
      </c>
      <c r="B1044" s="5">
        <v>443528.24</v>
      </c>
      <c r="C1044" s="5">
        <v>571653.01</v>
      </c>
      <c r="D1044" s="5">
        <v>3681209.67</v>
      </c>
      <c r="E1044" s="5">
        <v>1339792.1399999999</v>
      </c>
      <c r="F1044" s="5">
        <v>1760520.98</v>
      </c>
      <c r="G1044" s="5">
        <v>2185041.35</v>
      </c>
      <c r="H1044" s="5">
        <v>1483135.24</v>
      </c>
      <c r="I1044" s="5">
        <v>2274079.4300000002</v>
      </c>
      <c r="J1044" s="5">
        <v>1717370.0074999998</v>
      </c>
    </row>
    <row r="1045" spans="1:10" x14ac:dyDescent="0.25">
      <c r="A1045" s="4" t="s">
        <v>584</v>
      </c>
      <c r="B1045" s="5">
        <v>300299.68</v>
      </c>
      <c r="C1045" s="5">
        <v>8551135.9000000004</v>
      </c>
      <c r="D1045" s="5">
        <v>1273891.6599999999</v>
      </c>
      <c r="E1045" s="5">
        <v>750149.58</v>
      </c>
      <c r="F1045" s="5">
        <v>5539260.29</v>
      </c>
      <c r="G1045" s="5">
        <v>2565857.04</v>
      </c>
      <c r="H1045" s="5">
        <v>138081.63</v>
      </c>
      <c r="I1045" s="5">
        <v>8996574.5500000007</v>
      </c>
      <c r="J1045" s="5">
        <v>3514406.2912499998</v>
      </c>
    </row>
    <row r="1046" spans="1:10" x14ac:dyDescent="0.25">
      <c r="A1046" s="4" t="s">
        <v>152</v>
      </c>
      <c r="B1046" s="5">
        <v>0</v>
      </c>
      <c r="C1046" s="5">
        <v>880291.27</v>
      </c>
      <c r="D1046" s="5">
        <v>685461.53</v>
      </c>
      <c r="E1046" s="5">
        <v>0</v>
      </c>
      <c r="F1046" s="5">
        <v>0</v>
      </c>
      <c r="G1046" s="5">
        <v>0</v>
      </c>
      <c r="H1046" s="5">
        <v>0</v>
      </c>
      <c r="I1046" s="5">
        <v>0</v>
      </c>
      <c r="J1046" s="5">
        <v>195719.1</v>
      </c>
    </row>
    <row r="1047" spans="1:10" x14ac:dyDescent="0.25">
      <c r="A1047" s="4" t="s">
        <v>469</v>
      </c>
      <c r="B1047" s="5">
        <v>39030611.399999999</v>
      </c>
      <c r="C1047" s="5">
        <v>43509373.950000003</v>
      </c>
      <c r="D1047" s="5">
        <v>37930534.994999997</v>
      </c>
      <c r="E1047" s="5">
        <v>79101932.885000005</v>
      </c>
      <c r="F1047" s="5">
        <v>42700212.034999996</v>
      </c>
      <c r="G1047" s="5">
        <v>88909710.495000005</v>
      </c>
      <c r="H1047" s="5">
        <v>60072670.090000004</v>
      </c>
      <c r="I1047" s="5">
        <v>44185771.740000002</v>
      </c>
      <c r="J1047" s="5">
        <v>54758799.524999999</v>
      </c>
    </row>
    <row r="1048" spans="1:10" x14ac:dyDescent="0.25">
      <c r="A1048" s="4" t="s">
        <v>762</v>
      </c>
      <c r="B1048" s="5">
        <v>0</v>
      </c>
      <c r="C1048" s="5">
        <v>9555.7800000000007</v>
      </c>
      <c r="D1048" s="5">
        <v>35154</v>
      </c>
      <c r="E1048" s="5"/>
      <c r="F1048" s="5">
        <v>10481.91</v>
      </c>
      <c r="G1048" s="5">
        <v>0</v>
      </c>
      <c r="H1048" s="5">
        <v>7838.7</v>
      </c>
      <c r="I1048" s="5">
        <v>0</v>
      </c>
      <c r="J1048" s="5">
        <v>9004.341428571428</v>
      </c>
    </row>
    <row r="1049" spans="1:10" x14ac:dyDescent="0.25">
      <c r="A1049" s="4" t="s">
        <v>147</v>
      </c>
      <c r="B1049" s="5">
        <v>0</v>
      </c>
      <c r="C1049" s="5"/>
      <c r="D1049" s="5"/>
      <c r="E1049" s="5"/>
      <c r="F1049" s="5"/>
      <c r="G1049" s="5">
        <v>748000</v>
      </c>
      <c r="H1049" s="5">
        <v>0</v>
      </c>
      <c r="I1049" s="5">
        <v>0</v>
      </c>
      <c r="J1049" s="5">
        <v>187000</v>
      </c>
    </row>
    <row r="1050" spans="1:10" x14ac:dyDescent="0.25">
      <c r="A1050" s="4" t="s">
        <v>227</v>
      </c>
      <c r="B1050" s="5">
        <v>0</v>
      </c>
      <c r="C1050" s="5"/>
      <c r="D1050" s="5"/>
      <c r="E1050" s="5"/>
      <c r="F1050" s="5"/>
      <c r="G1050" s="5"/>
      <c r="H1050" s="5"/>
      <c r="I1050" s="5"/>
      <c r="J1050" s="5">
        <v>0</v>
      </c>
    </row>
    <row r="1051" spans="1:10" x14ac:dyDescent="0.25">
      <c r="A1051" s="4" t="s">
        <v>356</v>
      </c>
      <c r="B1051" s="5">
        <v>0</v>
      </c>
      <c r="C1051" s="5">
        <v>2069078.89</v>
      </c>
      <c r="D1051" s="5">
        <v>3617396</v>
      </c>
      <c r="E1051" s="5">
        <v>0</v>
      </c>
      <c r="F1051" s="5">
        <v>19645167.329999998</v>
      </c>
      <c r="G1051" s="5">
        <v>0</v>
      </c>
      <c r="H1051" s="5">
        <v>270000</v>
      </c>
      <c r="I1051" s="5">
        <v>45853382.710000001</v>
      </c>
      <c r="J1051" s="5">
        <v>8931878.1162500009</v>
      </c>
    </row>
    <row r="1052" spans="1:10" x14ac:dyDescent="0.25">
      <c r="A1052" s="4" t="s">
        <v>270</v>
      </c>
      <c r="B1052" s="5">
        <v>5778619.0199999996</v>
      </c>
      <c r="C1052" s="5">
        <v>1161227.6299999999</v>
      </c>
      <c r="D1052" s="5">
        <v>-87364.95</v>
      </c>
      <c r="E1052" s="5">
        <v>-191844.16</v>
      </c>
      <c r="F1052" s="5">
        <v>7899735.4400000004</v>
      </c>
      <c r="G1052" s="5">
        <v>1148331.8500000001</v>
      </c>
      <c r="H1052" s="5">
        <v>2749696.89</v>
      </c>
      <c r="I1052" s="5">
        <v>583352.85</v>
      </c>
      <c r="J1052" s="5">
        <v>2380219.32125</v>
      </c>
    </row>
    <row r="1053" spans="1:10" x14ac:dyDescent="0.25">
      <c r="A1053" s="4" t="s">
        <v>528</v>
      </c>
      <c r="B1053" s="5">
        <v>10900</v>
      </c>
      <c r="C1053" s="5">
        <v>-10900</v>
      </c>
      <c r="D1053" s="5">
        <v>89226.04</v>
      </c>
      <c r="E1053" s="5">
        <v>332544</v>
      </c>
      <c r="F1053" s="5">
        <v>323399.64</v>
      </c>
      <c r="G1053" s="5">
        <v>64887.199999999997</v>
      </c>
      <c r="H1053" s="5">
        <v>82956.3</v>
      </c>
      <c r="I1053" s="5">
        <v>152547.42000000001</v>
      </c>
      <c r="J1053" s="5">
        <v>130695.075</v>
      </c>
    </row>
    <row r="1054" spans="1:10" x14ac:dyDescent="0.25">
      <c r="A1054" s="4" t="s">
        <v>623</v>
      </c>
      <c r="B1054" s="5">
        <v>54992.959999999999</v>
      </c>
      <c r="C1054" s="5"/>
      <c r="D1054" s="5"/>
      <c r="E1054" s="5"/>
      <c r="F1054" s="5"/>
      <c r="G1054" s="5">
        <v>5000</v>
      </c>
      <c r="H1054" s="5">
        <v>166064.56</v>
      </c>
      <c r="I1054" s="5"/>
      <c r="J1054" s="5">
        <v>75352.506666666668</v>
      </c>
    </row>
    <row r="1055" spans="1:10" x14ac:dyDescent="0.25">
      <c r="A1055" s="4" t="s">
        <v>385</v>
      </c>
      <c r="B1055" s="5">
        <v>1616176.75</v>
      </c>
      <c r="C1055" s="5">
        <v>10984993.550000001</v>
      </c>
      <c r="D1055" s="5">
        <v>14070628.210000001</v>
      </c>
      <c r="E1055" s="5">
        <v>4851889.2549999999</v>
      </c>
      <c r="F1055" s="5">
        <v>3081604.31</v>
      </c>
      <c r="G1055" s="5">
        <v>11603461.58</v>
      </c>
      <c r="H1055" s="5">
        <v>11831876.43</v>
      </c>
      <c r="I1055" s="5">
        <v>16513368.48</v>
      </c>
      <c r="J1055" s="5">
        <v>8822876.4244444445</v>
      </c>
    </row>
    <row r="1056" spans="1:10" x14ac:dyDescent="0.25">
      <c r="A1056" s="4" t="s">
        <v>827</v>
      </c>
      <c r="B1056" s="5">
        <v>0</v>
      </c>
      <c r="C1056" s="5">
        <v>0</v>
      </c>
      <c r="D1056" s="5">
        <v>0</v>
      </c>
      <c r="E1056" s="5">
        <v>0</v>
      </c>
      <c r="F1056" s="5">
        <v>114983</v>
      </c>
      <c r="G1056" s="5">
        <v>1051914.47</v>
      </c>
      <c r="H1056" s="5">
        <v>1920288.34</v>
      </c>
      <c r="I1056" s="5">
        <v>374769.63</v>
      </c>
      <c r="J1056" s="5">
        <v>432744.43</v>
      </c>
    </row>
    <row r="1057" spans="1:10" x14ac:dyDescent="0.25">
      <c r="A1057" s="4" t="s">
        <v>1296</v>
      </c>
      <c r="B1057" s="5"/>
      <c r="C1057" s="5"/>
      <c r="D1057" s="5"/>
      <c r="E1057" s="5"/>
      <c r="F1057" s="5"/>
      <c r="G1057" s="5"/>
      <c r="H1057" s="5">
        <v>0</v>
      </c>
      <c r="I1057" s="5"/>
      <c r="J1057" s="5">
        <v>0</v>
      </c>
    </row>
    <row r="1058" spans="1:10" x14ac:dyDescent="0.25">
      <c r="A1058" s="4" t="s">
        <v>653</v>
      </c>
      <c r="B1058" s="5">
        <v>0</v>
      </c>
      <c r="C1058" s="5">
        <v>0</v>
      </c>
      <c r="D1058" s="5">
        <v>0</v>
      </c>
      <c r="E1058" s="5">
        <v>0</v>
      </c>
      <c r="F1058" s="5">
        <v>1532544.75</v>
      </c>
      <c r="G1058" s="5">
        <v>96000</v>
      </c>
      <c r="H1058" s="5">
        <v>1312000</v>
      </c>
      <c r="I1058" s="5">
        <v>1644654</v>
      </c>
      <c r="J1058" s="5">
        <v>573149.84375</v>
      </c>
    </row>
    <row r="1059" spans="1:10" x14ac:dyDescent="0.25">
      <c r="A1059" s="4" t="s">
        <v>89</v>
      </c>
      <c r="B1059" s="5">
        <v>310533.82</v>
      </c>
      <c r="C1059" s="5">
        <v>102842.95</v>
      </c>
      <c r="D1059" s="5">
        <v>0</v>
      </c>
      <c r="E1059" s="5">
        <v>1057152.97</v>
      </c>
      <c r="F1059" s="5">
        <v>-618370.28</v>
      </c>
      <c r="G1059" s="5">
        <v>0</v>
      </c>
      <c r="H1059" s="5"/>
      <c r="I1059" s="5"/>
      <c r="J1059" s="5">
        <v>166099.04</v>
      </c>
    </row>
    <row r="1060" spans="1:10" x14ac:dyDescent="0.25">
      <c r="A1060" s="4" t="s">
        <v>82</v>
      </c>
      <c r="B1060" s="5">
        <v>0</v>
      </c>
      <c r="C1060" s="5">
        <v>53500</v>
      </c>
      <c r="D1060" s="5">
        <v>32594.9</v>
      </c>
      <c r="E1060" s="5">
        <v>-2000</v>
      </c>
      <c r="F1060" s="5">
        <v>-18295.12</v>
      </c>
      <c r="G1060" s="5"/>
      <c r="H1060" s="5">
        <v>-34088.33</v>
      </c>
      <c r="I1060" s="5"/>
      <c r="J1060" s="5">
        <v>4530.2071428571426</v>
      </c>
    </row>
    <row r="1061" spans="1:10" x14ac:dyDescent="0.25">
      <c r="A1061" s="4" t="s">
        <v>684</v>
      </c>
      <c r="B1061" s="5">
        <v>489367.2</v>
      </c>
      <c r="C1061" s="5">
        <v>269530.32</v>
      </c>
      <c r="D1061" s="5">
        <v>975406.22</v>
      </c>
      <c r="E1061" s="5">
        <v>157568.26</v>
      </c>
      <c r="F1061" s="5">
        <v>1451904.95</v>
      </c>
      <c r="G1061" s="5">
        <v>161913</v>
      </c>
      <c r="H1061" s="5">
        <v>1410583.14</v>
      </c>
      <c r="I1061" s="5">
        <v>-5380.33</v>
      </c>
      <c r="J1061" s="5">
        <v>613861.59499999997</v>
      </c>
    </row>
    <row r="1062" spans="1:10" x14ac:dyDescent="0.25">
      <c r="A1062" s="4" t="s">
        <v>642</v>
      </c>
      <c r="B1062" s="5">
        <v>0</v>
      </c>
      <c r="C1062" s="5">
        <v>200304</v>
      </c>
      <c r="D1062" s="5">
        <v>6184524.5199999996</v>
      </c>
      <c r="E1062" s="5">
        <v>5276293.82</v>
      </c>
      <c r="F1062" s="5">
        <v>1429538.6</v>
      </c>
      <c r="G1062" s="5">
        <v>684211.32</v>
      </c>
      <c r="H1062" s="5">
        <v>-2542.0500000000002</v>
      </c>
      <c r="I1062" s="5">
        <v>828403.69</v>
      </c>
      <c r="J1062" s="5">
        <v>1825091.7374999998</v>
      </c>
    </row>
    <row r="1063" spans="1:10" x14ac:dyDescent="0.25">
      <c r="A1063" s="4" t="s">
        <v>652</v>
      </c>
      <c r="B1063" s="5">
        <v>0</v>
      </c>
      <c r="C1063" s="5">
        <v>53324738</v>
      </c>
      <c r="D1063" s="5">
        <v>8280747</v>
      </c>
      <c r="E1063" s="5">
        <v>26000000</v>
      </c>
      <c r="F1063" s="5">
        <v>80000000</v>
      </c>
      <c r="G1063" s="5">
        <v>49000000</v>
      </c>
      <c r="H1063" s="5">
        <v>41239152.32</v>
      </c>
      <c r="I1063" s="5">
        <v>0</v>
      </c>
      <c r="J1063" s="5">
        <v>32230579.664999999</v>
      </c>
    </row>
    <row r="1064" spans="1:10" x14ac:dyDescent="0.25">
      <c r="A1064" s="4" t="s">
        <v>643</v>
      </c>
      <c r="B1064" s="5">
        <v>0</v>
      </c>
      <c r="C1064" s="5">
        <v>2200000</v>
      </c>
      <c r="D1064" s="5">
        <v>0</v>
      </c>
      <c r="E1064" s="5">
        <v>26050000</v>
      </c>
      <c r="F1064" s="5">
        <v>0</v>
      </c>
      <c r="G1064" s="5">
        <v>0</v>
      </c>
      <c r="H1064" s="5">
        <v>0</v>
      </c>
      <c r="I1064" s="5">
        <v>0</v>
      </c>
      <c r="J1064" s="5">
        <v>3531250</v>
      </c>
    </row>
    <row r="1065" spans="1:10" x14ac:dyDescent="0.25">
      <c r="A1065" s="4" t="s">
        <v>167</v>
      </c>
      <c r="B1065" s="5">
        <v>0</v>
      </c>
      <c r="C1065" s="5">
        <v>0</v>
      </c>
      <c r="D1065" s="5">
        <v>0</v>
      </c>
      <c r="E1065" s="5"/>
      <c r="F1065" s="5"/>
      <c r="G1065" s="5"/>
      <c r="H1065" s="5"/>
      <c r="I1065" s="5">
        <v>0</v>
      </c>
      <c r="J1065" s="5">
        <v>0</v>
      </c>
    </row>
    <row r="1066" spans="1:10" x14ac:dyDescent="0.25">
      <c r="A1066" s="4" t="s">
        <v>290</v>
      </c>
      <c r="B1066" s="5">
        <v>0</v>
      </c>
      <c r="C1066" s="5">
        <v>0</v>
      </c>
      <c r="D1066" s="5">
        <v>0</v>
      </c>
      <c r="E1066" s="5"/>
      <c r="F1066" s="5"/>
      <c r="G1066" s="5"/>
      <c r="H1066" s="5"/>
      <c r="I1066" s="5">
        <v>0</v>
      </c>
      <c r="J1066" s="5">
        <v>0</v>
      </c>
    </row>
    <row r="1067" spans="1:10" x14ac:dyDescent="0.25">
      <c r="A1067" s="4" t="s">
        <v>627</v>
      </c>
      <c r="B1067" s="5">
        <v>0</v>
      </c>
      <c r="C1067" s="5">
        <v>0</v>
      </c>
      <c r="D1067" s="5">
        <v>0</v>
      </c>
      <c r="E1067" s="5">
        <v>0</v>
      </c>
      <c r="F1067" s="5">
        <v>0</v>
      </c>
      <c r="G1067" s="5">
        <v>0</v>
      </c>
      <c r="H1067" s="5"/>
      <c r="I1067" s="5"/>
      <c r="J1067" s="5">
        <v>0</v>
      </c>
    </row>
    <row r="1068" spans="1:10" x14ac:dyDescent="0.25">
      <c r="A1068" s="4" t="s">
        <v>974</v>
      </c>
      <c r="B1068" s="5"/>
      <c r="C1068" s="5">
        <v>0</v>
      </c>
      <c r="D1068" s="5"/>
      <c r="E1068" s="5"/>
      <c r="F1068" s="5">
        <v>0</v>
      </c>
      <c r="G1068" s="5"/>
      <c r="H1068" s="5">
        <v>0</v>
      </c>
      <c r="I1068" s="5"/>
      <c r="J1068" s="5">
        <v>0</v>
      </c>
    </row>
    <row r="1069" spans="1:10" x14ac:dyDescent="0.25">
      <c r="A1069" s="4" t="s">
        <v>589</v>
      </c>
      <c r="B1069" s="5">
        <v>0</v>
      </c>
      <c r="C1069" s="5">
        <v>0</v>
      </c>
      <c r="D1069" s="5">
        <v>0</v>
      </c>
      <c r="E1069" s="5">
        <v>0</v>
      </c>
      <c r="F1069" s="5">
        <v>0</v>
      </c>
      <c r="G1069" s="5">
        <v>0</v>
      </c>
      <c r="H1069" s="5">
        <v>0</v>
      </c>
      <c r="I1069" s="5">
        <v>0</v>
      </c>
      <c r="J1069" s="5">
        <v>0</v>
      </c>
    </row>
    <row r="1070" spans="1:10" x14ac:dyDescent="0.25">
      <c r="A1070" s="4" t="s">
        <v>700</v>
      </c>
      <c r="B1070" s="5">
        <v>0</v>
      </c>
      <c r="C1070" s="5">
        <v>0</v>
      </c>
      <c r="D1070" s="5">
        <v>0</v>
      </c>
      <c r="E1070" s="5">
        <v>35306066.609999999</v>
      </c>
      <c r="F1070" s="5">
        <v>27529115.379999999</v>
      </c>
      <c r="G1070" s="5">
        <v>7750801.5499999998</v>
      </c>
      <c r="H1070" s="5">
        <v>0</v>
      </c>
      <c r="I1070" s="5">
        <v>0</v>
      </c>
      <c r="J1070" s="5">
        <v>8823247.942499999</v>
      </c>
    </row>
    <row r="1071" spans="1:10" x14ac:dyDescent="0.25">
      <c r="A1071" s="4" t="s">
        <v>76</v>
      </c>
      <c r="B1071" s="5">
        <v>0</v>
      </c>
      <c r="C1071" s="5">
        <v>0</v>
      </c>
      <c r="D1071" s="5">
        <v>0</v>
      </c>
      <c r="E1071" s="5">
        <v>77691.600000000006</v>
      </c>
      <c r="F1071" s="5">
        <v>3997215.23</v>
      </c>
      <c r="G1071" s="5">
        <v>4588950.33</v>
      </c>
      <c r="H1071" s="5">
        <v>-59098.47</v>
      </c>
      <c r="I1071" s="5">
        <v>0</v>
      </c>
      <c r="J1071" s="5">
        <v>1075594.8362499999</v>
      </c>
    </row>
    <row r="1072" spans="1:10" x14ac:dyDescent="0.25">
      <c r="A1072" s="4" t="s">
        <v>433</v>
      </c>
      <c r="B1072" s="5">
        <v>0</v>
      </c>
      <c r="C1072" s="5">
        <v>0</v>
      </c>
      <c r="D1072" s="5">
        <v>9013307.6799999997</v>
      </c>
      <c r="E1072" s="5">
        <v>55643229.799999997</v>
      </c>
      <c r="F1072" s="5">
        <v>0</v>
      </c>
      <c r="G1072" s="5">
        <v>3092441</v>
      </c>
      <c r="H1072" s="5">
        <v>0</v>
      </c>
      <c r="I1072" s="5">
        <v>0</v>
      </c>
      <c r="J1072" s="5">
        <v>8468622.3099999987</v>
      </c>
    </row>
    <row r="1073" spans="1:10" x14ac:dyDescent="0.25">
      <c r="A1073" s="4" t="s">
        <v>634</v>
      </c>
      <c r="B1073" s="5">
        <v>0</v>
      </c>
      <c r="C1073" s="5"/>
      <c r="D1073" s="5">
        <v>0</v>
      </c>
      <c r="E1073" s="5">
        <v>4901902.57</v>
      </c>
      <c r="F1073" s="5">
        <v>0</v>
      </c>
      <c r="G1073" s="5">
        <v>0</v>
      </c>
      <c r="H1073" s="5">
        <v>0</v>
      </c>
      <c r="I1073" s="5">
        <v>0</v>
      </c>
      <c r="J1073" s="5">
        <v>700271.79571428581</v>
      </c>
    </row>
    <row r="1074" spans="1:10" x14ac:dyDescent="0.25">
      <c r="A1074" s="4" t="s">
        <v>949</v>
      </c>
      <c r="B1074" s="5"/>
      <c r="C1074" s="5">
        <v>1000000</v>
      </c>
      <c r="D1074" s="5"/>
      <c r="E1074" s="5">
        <v>7140000</v>
      </c>
      <c r="F1074" s="5"/>
      <c r="G1074" s="5"/>
      <c r="H1074" s="5"/>
      <c r="I1074" s="5"/>
      <c r="J1074" s="5">
        <v>4070000</v>
      </c>
    </row>
    <row r="1075" spans="1:10" x14ac:dyDescent="0.25">
      <c r="A1075" s="4" t="s">
        <v>754</v>
      </c>
      <c r="B1075" s="5">
        <v>0</v>
      </c>
      <c r="C1075" s="5">
        <v>0</v>
      </c>
      <c r="D1075" s="5">
        <v>0</v>
      </c>
      <c r="E1075" s="5">
        <v>0</v>
      </c>
      <c r="F1075" s="5">
        <v>0</v>
      </c>
      <c r="G1075" s="5">
        <v>0</v>
      </c>
      <c r="H1075" s="5">
        <v>0</v>
      </c>
      <c r="I1075" s="5">
        <v>0</v>
      </c>
      <c r="J1075" s="5">
        <v>0</v>
      </c>
    </row>
    <row r="1076" spans="1:10" x14ac:dyDescent="0.25">
      <c r="A1076" s="4" t="s">
        <v>562</v>
      </c>
      <c r="B1076" s="5">
        <v>17850000</v>
      </c>
      <c r="C1076" s="5">
        <v>1203800</v>
      </c>
      <c r="D1076" s="5">
        <v>29821660.010000002</v>
      </c>
      <c r="E1076" s="5">
        <v>10833867.34</v>
      </c>
      <c r="F1076" s="5">
        <v>17665295.640000001</v>
      </c>
      <c r="G1076" s="5">
        <v>8146477.2300000004</v>
      </c>
      <c r="H1076" s="5">
        <v>21317626.539999999</v>
      </c>
      <c r="I1076" s="5">
        <v>160831.24</v>
      </c>
      <c r="J1076" s="5">
        <v>13374944.750000002</v>
      </c>
    </row>
    <row r="1077" spans="1:10" x14ac:dyDescent="0.25">
      <c r="A1077" s="4" t="s">
        <v>720</v>
      </c>
      <c r="B1077" s="5">
        <v>0</v>
      </c>
      <c r="C1077" s="5">
        <v>1089072.83</v>
      </c>
      <c r="D1077" s="5">
        <v>362627.53</v>
      </c>
      <c r="E1077" s="5">
        <v>0</v>
      </c>
      <c r="F1077" s="5">
        <v>0</v>
      </c>
      <c r="G1077" s="5">
        <v>0</v>
      </c>
      <c r="H1077" s="5">
        <v>0</v>
      </c>
      <c r="I1077" s="5">
        <v>123192.06</v>
      </c>
      <c r="J1077" s="5">
        <v>196861.55250000002</v>
      </c>
    </row>
    <row r="1078" spans="1:10" x14ac:dyDescent="0.25">
      <c r="A1078" s="4" t="s">
        <v>967</v>
      </c>
      <c r="B1078" s="5"/>
      <c r="C1078" s="5">
        <v>1700000</v>
      </c>
      <c r="D1078" s="5">
        <v>2653328</v>
      </c>
      <c r="E1078" s="5"/>
      <c r="F1078" s="5">
        <v>0</v>
      </c>
      <c r="G1078" s="5">
        <v>0</v>
      </c>
      <c r="H1078" s="5"/>
      <c r="I1078" s="5">
        <v>0</v>
      </c>
      <c r="J1078" s="5">
        <v>870665.6</v>
      </c>
    </row>
    <row r="1079" spans="1:10" x14ac:dyDescent="0.25">
      <c r="A1079" s="4" t="s">
        <v>516</v>
      </c>
      <c r="B1079" s="5">
        <v>0</v>
      </c>
      <c r="C1079" s="5">
        <v>0</v>
      </c>
      <c r="D1079" s="5">
        <v>0</v>
      </c>
      <c r="E1079" s="5">
        <v>0</v>
      </c>
      <c r="F1079" s="5">
        <v>520000</v>
      </c>
      <c r="G1079" s="5">
        <v>0</v>
      </c>
      <c r="H1079" s="5">
        <v>62139029.799999997</v>
      </c>
      <c r="I1079" s="5"/>
      <c r="J1079" s="5">
        <v>8951289.9714285713</v>
      </c>
    </row>
    <row r="1080" spans="1:10" x14ac:dyDescent="0.25">
      <c r="A1080" s="4" t="s">
        <v>622</v>
      </c>
      <c r="B1080" s="5">
        <v>0</v>
      </c>
      <c r="C1080" s="5">
        <v>472736</v>
      </c>
      <c r="D1080" s="5">
        <v>0</v>
      </c>
      <c r="E1080" s="5">
        <v>428349.72</v>
      </c>
      <c r="F1080" s="5">
        <v>0</v>
      </c>
      <c r="G1080" s="5">
        <v>0</v>
      </c>
      <c r="H1080" s="5">
        <v>0</v>
      </c>
      <c r="I1080" s="5">
        <v>0</v>
      </c>
      <c r="J1080" s="5">
        <v>112635.715</v>
      </c>
    </row>
    <row r="1081" spans="1:10" x14ac:dyDescent="0.25">
      <c r="A1081" s="4" t="s">
        <v>1201</v>
      </c>
      <c r="B1081" s="5"/>
      <c r="C1081" s="5"/>
      <c r="D1081" s="5"/>
      <c r="E1081" s="5">
        <v>0</v>
      </c>
      <c r="F1081" s="5"/>
      <c r="G1081" s="5">
        <v>0</v>
      </c>
      <c r="H1081" s="5">
        <v>0</v>
      </c>
      <c r="I1081" s="5">
        <v>0</v>
      </c>
      <c r="J1081" s="5">
        <v>0</v>
      </c>
    </row>
    <row r="1082" spans="1:10" x14ac:dyDescent="0.25">
      <c r="A1082" s="4" t="s">
        <v>1181</v>
      </c>
      <c r="B1082" s="5"/>
      <c r="C1082" s="5"/>
      <c r="D1082" s="5"/>
      <c r="E1082" s="5">
        <v>0</v>
      </c>
      <c r="F1082" s="5">
        <v>0</v>
      </c>
      <c r="G1082" s="5"/>
      <c r="H1082" s="5">
        <v>450000</v>
      </c>
      <c r="I1082" s="5"/>
      <c r="J1082" s="5">
        <v>150000</v>
      </c>
    </row>
    <row r="1083" spans="1:10" x14ac:dyDescent="0.25">
      <c r="A1083" s="4" t="s">
        <v>650</v>
      </c>
      <c r="B1083" s="5">
        <v>0</v>
      </c>
      <c r="C1083" s="5">
        <v>10897421</v>
      </c>
      <c r="D1083" s="5">
        <v>53000000</v>
      </c>
      <c r="E1083" s="5">
        <v>58506310.659999996</v>
      </c>
      <c r="F1083" s="5">
        <v>0</v>
      </c>
      <c r="G1083" s="5">
        <v>0</v>
      </c>
      <c r="H1083" s="5">
        <v>2141206</v>
      </c>
      <c r="I1083" s="5">
        <v>0</v>
      </c>
      <c r="J1083" s="5">
        <v>15568117.2075</v>
      </c>
    </row>
    <row r="1084" spans="1:10" x14ac:dyDescent="0.25">
      <c r="A1084" s="4" t="s">
        <v>173</v>
      </c>
      <c r="B1084" s="5">
        <v>0</v>
      </c>
      <c r="C1084" s="5">
        <v>12857297</v>
      </c>
      <c r="D1084" s="5">
        <v>50000000</v>
      </c>
      <c r="E1084" s="5">
        <v>0</v>
      </c>
      <c r="F1084" s="5">
        <v>0</v>
      </c>
      <c r="G1084" s="5">
        <v>0</v>
      </c>
      <c r="H1084" s="5">
        <v>0</v>
      </c>
      <c r="I1084" s="5">
        <v>0</v>
      </c>
      <c r="J1084" s="5">
        <v>7857162.125</v>
      </c>
    </row>
    <row r="1085" spans="1:10" x14ac:dyDescent="0.25">
      <c r="A1085" s="4" t="s">
        <v>170</v>
      </c>
      <c r="B1085" s="5">
        <v>0</v>
      </c>
      <c r="C1085" s="5"/>
      <c r="D1085" s="5"/>
      <c r="E1085" s="5"/>
      <c r="F1085" s="5"/>
      <c r="G1085" s="5"/>
      <c r="H1085" s="5"/>
      <c r="I1085" s="5"/>
      <c r="J1085" s="5">
        <v>0</v>
      </c>
    </row>
    <row r="1086" spans="1:10" x14ac:dyDescent="0.25">
      <c r="A1086" s="4" t="s">
        <v>524</v>
      </c>
      <c r="B1086" s="5">
        <v>0</v>
      </c>
      <c r="C1086" s="5">
        <v>3846332</v>
      </c>
      <c r="D1086" s="5">
        <v>1800000</v>
      </c>
      <c r="E1086" s="5">
        <v>25000000</v>
      </c>
      <c r="F1086" s="5">
        <v>0</v>
      </c>
      <c r="G1086" s="5">
        <v>0</v>
      </c>
      <c r="H1086" s="5">
        <v>0</v>
      </c>
      <c r="I1086" s="5">
        <v>0</v>
      </c>
      <c r="J1086" s="5">
        <v>3830791.5</v>
      </c>
    </row>
    <row r="1087" spans="1:10" x14ac:dyDescent="0.25">
      <c r="A1087" s="4" t="s">
        <v>1234</v>
      </c>
      <c r="B1087" s="5"/>
      <c r="C1087" s="5"/>
      <c r="D1087" s="5"/>
      <c r="E1087" s="5"/>
      <c r="F1087" s="5">
        <v>0</v>
      </c>
      <c r="G1087" s="5"/>
      <c r="H1087" s="5">
        <v>0</v>
      </c>
      <c r="I1087" s="5"/>
      <c r="J1087" s="5">
        <v>0</v>
      </c>
    </row>
    <row r="1088" spans="1:10" x14ac:dyDescent="0.25">
      <c r="A1088" s="4" t="s">
        <v>1026</v>
      </c>
      <c r="B1088" s="5"/>
      <c r="C1088" s="5">
        <v>0</v>
      </c>
      <c r="D1088" s="5">
        <v>0</v>
      </c>
      <c r="E1088" s="5">
        <v>0</v>
      </c>
      <c r="F1088" s="5">
        <v>0</v>
      </c>
      <c r="G1088" s="5">
        <v>0</v>
      </c>
      <c r="H1088" s="5">
        <v>0</v>
      </c>
      <c r="I1088" s="5">
        <v>0</v>
      </c>
      <c r="J1088" s="5">
        <v>0</v>
      </c>
    </row>
    <row r="1089" spans="1:10" x14ac:dyDescent="0.25">
      <c r="A1089" s="4" t="s">
        <v>795</v>
      </c>
      <c r="B1089" s="5">
        <v>0</v>
      </c>
      <c r="C1089" s="5">
        <v>0</v>
      </c>
      <c r="D1089" s="5">
        <v>0</v>
      </c>
      <c r="E1089" s="5">
        <v>46500000</v>
      </c>
      <c r="F1089" s="5">
        <v>1120000</v>
      </c>
      <c r="G1089" s="5">
        <v>0</v>
      </c>
      <c r="H1089" s="5">
        <v>0</v>
      </c>
      <c r="I1089" s="5">
        <v>160000</v>
      </c>
      <c r="J1089" s="5">
        <v>5972500</v>
      </c>
    </row>
    <row r="1090" spans="1:10" x14ac:dyDescent="0.25">
      <c r="A1090" s="4" t="s">
        <v>775</v>
      </c>
      <c r="B1090" s="5">
        <v>0</v>
      </c>
      <c r="C1090" s="5">
        <v>3557190</v>
      </c>
      <c r="D1090" s="5">
        <v>0</v>
      </c>
      <c r="E1090" s="5">
        <v>2997810</v>
      </c>
      <c r="F1090" s="5">
        <v>1828696</v>
      </c>
      <c r="G1090" s="5">
        <v>143776.65</v>
      </c>
      <c r="H1090" s="5">
        <v>-654755.59</v>
      </c>
      <c r="I1090" s="5">
        <v>0</v>
      </c>
      <c r="J1090" s="5">
        <v>984089.63250000007</v>
      </c>
    </row>
    <row r="1091" spans="1:10" x14ac:dyDescent="0.25">
      <c r="A1091" s="4" t="s">
        <v>1222</v>
      </c>
      <c r="B1091" s="5"/>
      <c r="C1091" s="5"/>
      <c r="D1091" s="5"/>
      <c r="E1091" s="5"/>
      <c r="F1091" s="5">
        <v>1024549</v>
      </c>
      <c r="G1091" s="5"/>
      <c r="H1091" s="5"/>
      <c r="I1091" s="5"/>
      <c r="J1091" s="5">
        <v>1024549</v>
      </c>
    </row>
    <row r="1092" spans="1:10" x14ac:dyDescent="0.25">
      <c r="A1092" s="4" t="s">
        <v>797</v>
      </c>
      <c r="B1092" s="5">
        <v>0</v>
      </c>
      <c r="C1092" s="5">
        <v>0</v>
      </c>
      <c r="D1092" s="5">
        <v>0</v>
      </c>
      <c r="E1092" s="5">
        <v>943338</v>
      </c>
      <c r="F1092" s="5">
        <v>0</v>
      </c>
      <c r="G1092" s="5">
        <v>0</v>
      </c>
      <c r="H1092" s="5">
        <v>0</v>
      </c>
      <c r="I1092" s="5">
        <v>42667111.520000003</v>
      </c>
      <c r="J1092" s="5">
        <v>5451306.1900000004</v>
      </c>
    </row>
    <row r="1093" spans="1:10" x14ac:dyDescent="0.25">
      <c r="A1093" s="4" t="s">
        <v>939</v>
      </c>
      <c r="B1093" s="5"/>
      <c r="C1093" s="5">
        <v>6380356</v>
      </c>
      <c r="D1093" s="5">
        <v>29000000</v>
      </c>
      <c r="E1093" s="5">
        <v>51419489.43</v>
      </c>
      <c r="F1093" s="5">
        <v>0</v>
      </c>
      <c r="G1093" s="5">
        <v>1000000</v>
      </c>
      <c r="H1093" s="5">
        <v>0</v>
      </c>
      <c r="I1093" s="5">
        <v>0</v>
      </c>
      <c r="J1093" s="5">
        <v>12542835.061428573</v>
      </c>
    </row>
    <row r="1094" spans="1:10" x14ac:dyDescent="0.25">
      <c r="A1094" s="4" t="s">
        <v>985</v>
      </c>
      <c r="B1094" s="5"/>
      <c r="C1094" s="5">
        <v>5476942</v>
      </c>
      <c r="D1094" s="5">
        <v>0</v>
      </c>
      <c r="E1094" s="5">
        <v>8000000</v>
      </c>
      <c r="F1094" s="5">
        <v>1400000</v>
      </c>
      <c r="G1094" s="5">
        <v>0</v>
      </c>
      <c r="H1094" s="5">
        <v>28088373</v>
      </c>
      <c r="I1094" s="5"/>
      <c r="J1094" s="5">
        <v>7160885.833333333</v>
      </c>
    </row>
    <row r="1095" spans="1:10" x14ac:dyDescent="0.25">
      <c r="A1095" s="4" t="s">
        <v>1071</v>
      </c>
      <c r="B1095" s="5"/>
      <c r="C1095" s="5"/>
      <c r="D1095" s="5">
        <v>0</v>
      </c>
      <c r="E1095" s="5"/>
      <c r="F1095" s="5"/>
      <c r="G1095" s="5"/>
      <c r="H1095" s="5"/>
      <c r="I1095" s="5"/>
      <c r="J1095" s="5">
        <v>0</v>
      </c>
    </row>
    <row r="1096" spans="1:10" x14ac:dyDescent="0.25">
      <c r="A1096" s="4" t="s">
        <v>1285</v>
      </c>
      <c r="B1096" s="5"/>
      <c r="C1096" s="5"/>
      <c r="D1096" s="5"/>
      <c r="E1096" s="5"/>
      <c r="F1096" s="5"/>
      <c r="G1096" s="5">
        <v>0</v>
      </c>
      <c r="H1096" s="5"/>
      <c r="I1096" s="5"/>
      <c r="J1096" s="5">
        <v>0</v>
      </c>
    </row>
    <row r="1097" spans="1:10" x14ac:dyDescent="0.25">
      <c r="A1097" s="4" t="s">
        <v>212</v>
      </c>
      <c r="B1097" s="5">
        <v>5985112</v>
      </c>
      <c r="C1097" s="5"/>
      <c r="D1097" s="5"/>
      <c r="E1097" s="5">
        <v>450000</v>
      </c>
      <c r="F1097" s="5">
        <v>23000000</v>
      </c>
      <c r="G1097" s="5">
        <v>54977212</v>
      </c>
      <c r="H1097" s="5">
        <v>0</v>
      </c>
      <c r="I1097" s="5">
        <v>0</v>
      </c>
      <c r="J1097" s="5">
        <v>14068720.666666666</v>
      </c>
    </row>
    <row r="1098" spans="1:10" x14ac:dyDescent="0.25">
      <c r="A1098" s="4" t="s">
        <v>973</v>
      </c>
      <c r="B1098" s="5"/>
      <c r="C1098" s="5">
        <v>0</v>
      </c>
      <c r="D1098" s="5">
        <v>4686456</v>
      </c>
      <c r="E1098" s="5">
        <v>18028188.600000001</v>
      </c>
      <c r="F1098" s="5">
        <v>30000000</v>
      </c>
      <c r="G1098" s="5">
        <v>6000213</v>
      </c>
      <c r="H1098" s="5">
        <v>30000000</v>
      </c>
      <c r="I1098" s="5">
        <v>60000000</v>
      </c>
      <c r="J1098" s="5">
        <v>21244979.657142855</v>
      </c>
    </row>
    <row r="1099" spans="1:10" x14ac:dyDescent="0.25">
      <c r="A1099" s="4" t="s">
        <v>1264</v>
      </c>
      <c r="B1099" s="5"/>
      <c r="C1099" s="5"/>
      <c r="D1099" s="5"/>
      <c r="E1099" s="5"/>
      <c r="F1099" s="5"/>
      <c r="G1099" s="5">
        <v>6662672</v>
      </c>
      <c r="H1099" s="5"/>
      <c r="I1099" s="5"/>
      <c r="J1099" s="5">
        <v>6662672</v>
      </c>
    </row>
    <row r="1100" spans="1:10" x14ac:dyDescent="0.25">
      <c r="A1100" s="4" t="s">
        <v>353</v>
      </c>
      <c r="B1100" s="5">
        <v>0</v>
      </c>
      <c r="C1100" s="5">
        <v>750000</v>
      </c>
      <c r="D1100" s="5">
        <v>3008794</v>
      </c>
      <c r="E1100" s="5">
        <v>50000000</v>
      </c>
      <c r="F1100" s="5">
        <v>0</v>
      </c>
      <c r="G1100" s="5">
        <v>0</v>
      </c>
      <c r="H1100" s="5"/>
      <c r="I1100" s="5">
        <v>0</v>
      </c>
      <c r="J1100" s="5">
        <v>7679827.7142857146</v>
      </c>
    </row>
    <row r="1101" spans="1:10" x14ac:dyDescent="0.25">
      <c r="A1101" s="4" t="s">
        <v>1308</v>
      </c>
      <c r="B1101" s="5"/>
      <c r="C1101" s="5"/>
      <c r="D1101" s="5"/>
      <c r="E1101" s="5"/>
      <c r="F1101" s="5"/>
      <c r="G1101" s="5"/>
      <c r="H1101" s="5">
        <v>52885492</v>
      </c>
      <c r="I1101" s="5"/>
      <c r="J1101" s="5">
        <v>52885492</v>
      </c>
    </row>
    <row r="1102" spans="1:10" x14ac:dyDescent="0.25">
      <c r="A1102" s="4" t="s">
        <v>431</v>
      </c>
      <c r="B1102" s="5">
        <v>2000000</v>
      </c>
      <c r="C1102" s="5">
        <v>6638888</v>
      </c>
      <c r="D1102" s="5">
        <v>1250000</v>
      </c>
      <c r="E1102" s="5">
        <v>3779554.51</v>
      </c>
      <c r="F1102" s="5">
        <v>500000</v>
      </c>
      <c r="G1102" s="5">
        <v>2300000</v>
      </c>
      <c r="H1102" s="5">
        <v>0</v>
      </c>
      <c r="I1102" s="5">
        <v>0</v>
      </c>
      <c r="J1102" s="5">
        <v>2058555.31375</v>
      </c>
    </row>
    <row r="1103" spans="1:10" x14ac:dyDescent="0.25">
      <c r="A1103" s="4" t="s">
        <v>184</v>
      </c>
      <c r="B1103" s="5">
        <v>0</v>
      </c>
      <c r="C1103" s="5">
        <v>0</v>
      </c>
      <c r="D1103" s="5">
        <v>0</v>
      </c>
      <c r="E1103" s="5">
        <v>23000000</v>
      </c>
      <c r="F1103" s="5">
        <v>1067974.1100000001</v>
      </c>
      <c r="G1103" s="5">
        <v>0</v>
      </c>
      <c r="H1103" s="5">
        <v>0</v>
      </c>
      <c r="I1103" s="5">
        <v>0</v>
      </c>
      <c r="J1103" s="5">
        <v>3008496.7637499999</v>
      </c>
    </row>
    <row r="1104" spans="1:10" x14ac:dyDescent="0.25">
      <c r="A1104" s="4" t="s">
        <v>1049</v>
      </c>
      <c r="B1104" s="5"/>
      <c r="C1104" s="5">
        <v>13523728</v>
      </c>
      <c r="D1104" s="5">
        <v>13000000</v>
      </c>
      <c r="E1104" s="5">
        <v>0</v>
      </c>
      <c r="F1104" s="5">
        <v>0</v>
      </c>
      <c r="G1104" s="5">
        <v>5300000</v>
      </c>
      <c r="H1104" s="5">
        <v>0</v>
      </c>
      <c r="I1104" s="5">
        <v>0</v>
      </c>
      <c r="J1104" s="5">
        <v>4546246.8571428573</v>
      </c>
    </row>
    <row r="1105" spans="1:10" x14ac:dyDescent="0.25">
      <c r="A1105" s="4" t="s">
        <v>242</v>
      </c>
      <c r="B1105" s="5">
        <v>0</v>
      </c>
      <c r="C1105" s="5">
        <v>7566085</v>
      </c>
      <c r="D1105" s="5">
        <v>12700053</v>
      </c>
      <c r="E1105" s="5">
        <v>36268435.409999996</v>
      </c>
      <c r="F1105" s="5">
        <v>3214860.2</v>
      </c>
      <c r="G1105" s="5">
        <v>0</v>
      </c>
      <c r="H1105" s="5">
        <v>0</v>
      </c>
      <c r="I1105" s="5">
        <v>0</v>
      </c>
      <c r="J1105" s="5">
        <v>7468679.2012499999</v>
      </c>
    </row>
    <row r="1106" spans="1:10" x14ac:dyDescent="0.25">
      <c r="A1106" s="4" t="s">
        <v>958</v>
      </c>
      <c r="B1106" s="5"/>
      <c r="C1106" s="5">
        <v>0</v>
      </c>
      <c r="D1106" s="5">
        <v>0</v>
      </c>
      <c r="E1106" s="5">
        <v>13121491.6</v>
      </c>
      <c r="F1106" s="5">
        <v>0</v>
      </c>
      <c r="G1106" s="5">
        <v>0</v>
      </c>
      <c r="H1106" s="5">
        <v>0</v>
      </c>
      <c r="I1106" s="5"/>
      <c r="J1106" s="5">
        <v>2186915.2666666666</v>
      </c>
    </row>
    <row r="1107" spans="1:10" x14ac:dyDescent="0.25">
      <c r="A1107" s="4" t="s">
        <v>330</v>
      </c>
      <c r="B1107" s="5">
        <v>0</v>
      </c>
      <c r="C1107" s="5">
        <v>2427924</v>
      </c>
      <c r="D1107" s="5">
        <v>0</v>
      </c>
      <c r="E1107" s="5">
        <v>8407340</v>
      </c>
      <c r="F1107" s="5"/>
      <c r="G1107" s="5">
        <v>0</v>
      </c>
      <c r="H1107" s="5">
        <v>0</v>
      </c>
      <c r="I1107" s="5">
        <v>0</v>
      </c>
      <c r="J1107" s="5">
        <v>1547894.857142857</v>
      </c>
    </row>
    <row r="1108" spans="1:10" x14ac:dyDescent="0.25">
      <c r="A1108" s="4" t="s">
        <v>312</v>
      </c>
      <c r="B1108" s="5">
        <v>0</v>
      </c>
      <c r="C1108" s="5">
        <v>0</v>
      </c>
      <c r="D1108" s="5">
        <v>5000000</v>
      </c>
      <c r="E1108" s="5">
        <v>0</v>
      </c>
      <c r="F1108" s="5">
        <v>1815722</v>
      </c>
      <c r="G1108" s="5">
        <v>0</v>
      </c>
      <c r="H1108" s="5">
        <v>2532624</v>
      </c>
      <c r="I1108" s="5">
        <v>0</v>
      </c>
      <c r="J1108" s="5">
        <v>1168543.25</v>
      </c>
    </row>
    <row r="1109" spans="1:10" x14ac:dyDescent="0.25">
      <c r="A1109" s="4" t="s">
        <v>274</v>
      </c>
      <c r="B1109" s="5">
        <v>0</v>
      </c>
      <c r="C1109" s="5">
        <v>51945.1</v>
      </c>
      <c r="D1109" s="5">
        <v>-2907.27</v>
      </c>
      <c r="E1109" s="5">
        <v>0</v>
      </c>
      <c r="F1109" s="5">
        <v>0</v>
      </c>
      <c r="G1109" s="5">
        <v>20000</v>
      </c>
      <c r="H1109" s="5">
        <v>0</v>
      </c>
      <c r="I1109" s="5">
        <v>399749.6</v>
      </c>
      <c r="J1109" s="5">
        <v>52087.492222222223</v>
      </c>
    </row>
    <row r="1110" spans="1:10" x14ac:dyDescent="0.25">
      <c r="A1110" s="4" t="s">
        <v>1066</v>
      </c>
      <c r="B1110" s="5"/>
      <c r="C1110" s="5"/>
      <c r="D1110" s="5">
        <v>11650000</v>
      </c>
      <c r="E1110" s="5"/>
      <c r="F1110" s="5"/>
      <c r="G1110" s="5"/>
      <c r="H1110" s="5"/>
      <c r="I1110" s="5"/>
      <c r="J1110" s="5">
        <v>11650000</v>
      </c>
    </row>
    <row r="1111" spans="1:10" x14ac:dyDescent="0.25">
      <c r="A1111" s="4" t="s">
        <v>1133</v>
      </c>
      <c r="B1111" s="5"/>
      <c r="C1111" s="5"/>
      <c r="D1111" s="5">
        <v>960685.44</v>
      </c>
      <c r="E1111" s="5">
        <v>4048463.44</v>
      </c>
      <c r="F1111" s="5">
        <v>3813649.56</v>
      </c>
      <c r="G1111" s="5">
        <v>4699284.5199999996</v>
      </c>
      <c r="H1111" s="5">
        <v>1710294.49</v>
      </c>
      <c r="I1111" s="5">
        <v>34319966.490000002</v>
      </c>
      <c r="J1111" s="5">
        <v>8258723.9899999993</v>
      </c>
    </row>
    <row r="1112" spans="1:10" x14ac:dyDescent="0.25">
      <c r="A1112" s="4" t="s">
        <v>348</v>
      </c>
      <c r="B1112" s="5">
        <v>0</v>
      </c>
      <c r="C1112" s="5"/>
      <c r="D1112" s="5">
        <v>0</v>
      </c>
      <c r="E1112" s="5">
        <v>806428.2</v>
      </c>
      <c r="F1112" s="5">
        <v>124576.93</v>
      </c>
      <c r="G1112" s="5">
        <v>0</v>
      </c>
      <c r="H1112" s="5">
        <v>-37369.654999999999</v>
      </c>
      <c r="I1112" s="5">
        <v>28661</v>
      </c>
      <c r="J1112" s="5">
        <v>91773.068181818177</v>
      </c>
    </row>
    <row r="1113" spans="1:10" x14ac:dyDescent="0.25">
      <c r="A1113" s="4" t="s">
        <v>1321</v>
      </c>
      <c r="B1113" s="5"/>
      <c r="C1113" s="5"/>
      <c r="D1113" s="5"/>
      <c r="E1113" s="5"/>
      <c r="F1113" s="5"/>
      <c r="G1113" s="5"/>
      <c r="H1113" s="5"/>
      <c r="I1113" s="5">
        <v>50000000</v>
      </c>
      <c r="J1113" s="5">
        <v>50000000</v>
      </c>
    </row>
    <row r="1114" spans="1:10" x14ac:dyDescent="0.25">
      <c r="A1114" s="4" t="s">
        <v>559</v>
      </c>
      <c r="B1114" s="5">
        <v>17108386</v>
      </c>
      <c r="C1114" s="5">
        <v>0</v>
      </c>
      <c r="D1114" s="5">
        <v>25888428.079999998</v>
      </c>
      <c r="E1114" s="5">
        <v>5000000</v>
      </c>
      <c r="F1114" s="5">
        <v>48000000</v>
      </c>
      <c r="G1114" s="5">
        <v>0</v>
      </c>
      <c r="H1114" s="5">
        <v>34003185.920000002</v>
      </c>
      <c r="I1114" s="5">
        <v>0</v>
      </c>
      <c r="J1114" s="5">
        <v>16250000</v>
      </c>
    </row>
    <row r="1115" spans="1:10" x14ac:dyDescent="0.25">
      <c r="A1115" s="4" t="s">
        <v>22</v>
      </c>
      <c r="B1115" s="5">
        <v>0</v>
      </c>
      <c r="C1115" s="5">
        <v>457000</v>
      </c>
      <c r="D1115" s="5"/>
      <c r="E1115" s="5">
        <v>0</v>
      </c>
      <c r="F1115" s="5">
        <v>25772868</v>
      </c>
      <c r="G1115" s="5">
        <v>0</v>
      </c>
      <c r="H1115" s="5"/>
      <c r="I1115" s="5"/>
      <c r="J1115" s="5">
        <v>5245973.5999999996</v>
      </c>
    </row>
    <row r="1116" spans="1:10" x14ac:dyDescent="0.25">
      <c r="A1116" s="4" t="s">
        <v>1027</v>
      </c>
      <c r="B1116" s="5"/>
      <c r="C1116" s="5">
        <v>3097966.63</v>
      </c>
      <c r="D1116" s="5"/>
      <c r="E1116" s="5">
        <v>22485387.170000002</v>
      </c>
      <c r="F1116" s="5"/>
      <c r="G1116" s="5">
        <v>3101503</v>
      </c>
      <c r="H1116" s="5"/>
      <c r="I1116" s="5"/>
      <c r="J1116" s="5">
        <v>9561618.9333333336</v>
      </c>
    </row>
    <row r="1117" spans="1:10" x14ac:dyDescent="0.25">
      <c r="A1117" s="4" t="s">
        <v>1006</v>
      </c>
      <c r="B1117" s="5"/>
      <c r="C1117" s="5">
        <v>6000000</v>
      </c>
      <c r="D1117" s="5">
        <v>0</v>
      </c>
      <c r="E1117" s="5">
        <v>0</v>
      </c>
      <c r="F1117" s="5">
        <v>0</v>
      </c>
      <c r="G1117" s="5">
        <v>0</v>
      </c>
      <c r="H1117" s="5">
        <v>200000</v>
      </c>
      <c r="I1117" s="5">
        <v>0</v>
      </c>
      <c r="J1117" s="5">
        <v>885714.28571428568</v>
      </c>
    </row>
    <row r="1118" spans="1:10" x14ac:dyDescent="0.25">
      <c r="A1118" s="4" t="s">
        <v>1271</v>
      </c>
      <c r="B1118" s="5"/>
      <c r="C1118" s="5"/>
      <c r="D1118" s="5"/>
      <c r="E1118" s="5"/>
      <c r="F1118" s="5"/>
      <c r="G1118" s="5">
        <v>40250000</v>
      </c>
      <c r="H1118" s="5"/>
      <c r="I1118" s="5">
        <v>0</v>
      </c>
      <c r="J1118" s="5">
        <v>20125000</v>
      </c>
    </row>
    <row r="1119" spans="1:10" x14ac:dyDescent="0.25">
      <c r="A1119" s="4" t="s">
        <v>1317</v>
      </c>
      <c r="B1119" s="5"/>
      <c r="C1119" s="5"/>
      <c r="D1119" s="5"/>
      <c r="E1119" s="5"/>
      <c r="F1119" s="5"/>
      <c r="G1119" s="5"/>
      <c r="H1119" s="5"/>
      <c r="I1119" s="5">
        <v>0</v>
      </c>
      <c r="J1119" s="5">
        <v>0</v>
      </c>
    </row>
    <row r="1120" spans="1:10" x14ac:dyDescent="0.25">
      <c r="A1120" s="4" t="s">
        <v>1314</v>
      </c>
      <c r="B1120" s="5"/>
      <c r="C1120" s="5"/>
      <c r="D1120" s="5"/>
      <c r="E1120" s="5"/>
      <c r="F1120" s="5"/>
      <c r="G1120" s="5"/>
      <c r="H1120" s="5"/>
      <c r="I1120" s="5">
        <v>0</v>
      </c>
      <c r="J1120" s="5">
        <v>0</v>
      </c>
    </row>
    <row r="1121" spans="1:10" x14ac:dyDescent="0.25">
      <c r="A1121" s="4" t="s">
        <v>1272</v>
      </c>
      <c r="B1121" s="5"/>
      <c r="C1121" s="5"/>
      <c r="D1121" s="5"/>
      <c r="E1121" s="5"/>
      <c r="F1121" s="5"/>
      <c r="G1121" s="5">
        <v>2000000</v>
      </c>
      <c r="H1121" s="5"/>
      <c r="I1121" s="5"/>
      <c r="J1121" s="5">
        <v>2000000</v>
      </c>
    </row>
    <row r="1122" spans="1:10" x14ac:dyDescent="0.25">
      <c r="A1122" s="4" t="s">
        <v>1172</v>
      </c>
      <c r="B1122" s="5"/>
      <c r="C1122" s="5"/>
      <c r="D1122" s="5"/>
      <c r="E1122" s="5">
        <v>18556521</v>
      </c>
      <c r="F1122" s="5"/>
      <c r="G1122" s="5"/>
      <c r="H1122" s="5"/>
      <c r="I1122" s="5">
        <v>0</v>
      </c>
      <c r="J1122" s="5">
        <v>9278260.5</v>
      </c>
    </row>
    <row r="1123" spans="1:10" x14ac:dyDescent="0.25">
      <c r="A1123" s="4" t="s">
        <v>1099</v>
      </c>
      <c r="B1123" s="5"/>
      <c r="C1123" s="5"/>
      <c r="D1123" s="5">
        <v>0</v>
      </c>
      <c r="E1123" s="5">
        <v>0</v>
      </c>
      <c r="F1123" s="5"/>
      <c r="G1123" s="5"/>
      <c r="H1123" s="5"/>
      <c r="I1123" s="5"/>
      <c r="J1123" s="5">
        <v>0</v>
      </c>
    </row>
    <row r="1124" spans="1:10" x14ac:dyDescent="0.25">
      <c r="A1124" s="4" t="s">
        <v>404</v>
      </c>
      <c r="B1124" s="5">
        <v>0</v>
      </c>
      <c r="C1124" s="5">
        <v>0</v>
      </c>
      <c r="D1124" s="5">
        <v>0</v>
      </c>
      <c r="E1124" s="5">
        <v>0</v>
      </c>
      <c r="F1124" s="5">
        <v>0</v>
      </c>
      <c r="G1124" s="5">
        <v>0</v>
      </c>
      <c r="H1124" s="5">
        <v>0</v>
      </c>
      <c r="I1124" s="5">
        <v>0</v>
      </c>
      <c r="J1124" s="5">
        <v>0</v>
      </c>
    </row>
    <row r="1125" spans="1:10" x14ac:dyDescent="0.25">
      <c r="A1125" s="4" t="s">
        <v>984</v>
      </c>
      <c r="B1125" s="5"/>
      <c r="C1125" s="5">
        <v>1451190</v>
      </c>
      <c r="D1125" s="5">
        <v>315400</v>
      </c>
      <c r="E1125" s="5">
        <v>73011.53</v>
      </c>
      <c r="F1125" s="5">
        <v>7200</v>
      </c>
      <c r="G1125" s="5">
        <v>5766000.9400000004</v>
      </c>
      <c r="H1125" s="5">
        <v>1305954.31</v>
      </c>
      <c r="I1125" s="5">
        <v>722666.07</v>
      </c>
      <c r="J1125" s="5">
        <v>1377346.1214285716</v>
      </c>
    </row>
    <row r="1126" spans="1:10" x14ac:dyDescent="0.25">
      <c r="A1126" s="4" t="s">
        <v>630</v>
      </c>
      <c r="B1126" s="5">
        <v>0</v>
      </c>
      <c r="C1126" s="5">
        <v>0</v>
      </c>
      <c r="D1126" s="5">
        <v>0</v>
      </c>
      <c r="E1126" s="5">
        <v>0</v>
      </c>
      <c r="F1126" s="5">
        <v>63815</v>
      </c>
      <c r="G1126" s="5">
        <v>1229058.74</v>
      </c>
      <c r="H1126" s="5">
        <v>27730</v>
      </c>
      <c r="I1126" s="5">
        <v>292951.92</v>
      </c>
      <c r="J1126" s="5">
        <v>201694.45749999999</v>
      </c>
    </row>
    <row r="1127" spans="1:10" x14ac:dyDescent="0.25">
      <c r="A1127" s="4" t="s">
        <v>1088</v>
      </c>
      <c r="B1127" s="5"/>
      <c r="C1127" s="5"/>
      <c r="D1127" s="5">
        <v>2000000</v>
      </c>
      <c r="E1127" s="5">
        <v>0</v>
      </c>
      <c r="F1127" s="5">
        <v>0</v>
      </c>
      <c r="G1127" s="5">
        <v>6000000</v>
      </c>
      <c r="H1127" s="5">
        <v>0</v>
      </c>
      <c r="I1127" s="5">
        <v>0</v>
      </c>
      <c r="J1127" s="5">
        <v>1333333.3333333333</v>
      </c>
    </row>
    <row r="1128" spans="1:10" x14ac:dyDescent="0.25">
      <c r="A1128" s="4" t="s">
        <v>1297</v>
      </c>
      <c r="B1128" s="5"/>
      <c r="C1128" s="5"/>
      <c r="D1128" s="5"/>
      <c r="E1128" s="5"/>
      <c r="F1128" s="5"/>
      <c r="G1128" s="5"/>
      <c r="H1128" s="5">
        <v>313337.93</v>
      </c>
      <c r="I1128" s="5">
        <v>0</v>
      </c>
      <c r="J1128" s="5">
        <v>156668.965</v>
      </c>
    </row>
    <row r="1129" spans="1:10" x14ac:dyDescent="0.25">
      <c r="A1129" s="4" t="s">
        <v>943</v>
      </c>
      <c r="B1129" s="5"/>
      <c r="C1129" s="5">
        <v>0</v>
      </c>
      <c r="D1129" s="5">
        <v>0</v>
      </c>
      <c r="E1129" s="5"/>
      <c r="F1129" s="5">
        <v>0</v>
      </c>
      <c r="G1129" s="5"/>
      <c r="H1129" s="5">
        <v>26200</v>
      </c>
      <c r="I1129" s="5">
        <v>-8520.5400000000009</v>
      </c>
      <c r="J1129" s="5">
        <v>3535.8919999999998</v>
      </c>
    </row>
    <row r="1130" spans="1:10" x14ac:dyDescent="0.25">
      <c r="A1130" s="4" t="s">
        <v>1298</v>
      </c>
      <c r="B1130" s="5"/>
      <c r="C1130" s="5"/>
      <c r="D1130" s="5"/>
      <c r="E1130" s="5"/>
      <c r="F1130" s="5"/>
      <c r="G1130" s="5"/>
      <c r="H1130" s="5">
        <v>10000</v>
      </c>
      <c r="I1130" s="5"/>
      <c r="J1130" s="5">
        <v>10000</v>
      </c>
    </row>
    <row r="1131" spans="1:10" x14ac:dyDescent="0.25">
      <c r="A1131" s="4" t="s">
        <v>1047</v>
      </c>
      <c r="B1131" s="5"/>
      <c r="C1131" s="5">
        <v>66000</v>
      </c>
      <c r="D1131" s="5">
        <v>0</v>
      </c>
      <c r="E1131" s="5">
        <v>15000</v>
      </c>
      <c r="F1131" s="5">
        <v>160879.71</v>
      </c>
      <c r="G1131" s="5">
        <v>1629209</v>
      </c>
      <c r="H1131" s="5">
        <v>559795.59</v>
      </c>
      <c r="I1131" s="5">
        <v>42660</v>
      </c>
      <c r="J1131" s="5">
        <v>353363.47142857139</v>
      </c>
    </row>
    <row r="1132" spans="1:10" x14ac:dyDescent="0.25">
      <c r="A1132" s="4" t="s">
        <v>279</v>
      </c>
      <c r="B1132" s="5">
        <v>252000</v>
      </c>
      <c r="C1132" s="5">
        <v>260000</v>
      </c>
      <c r="D1132" s="5">
        <v>1526692.67</v>
      </c>
      <c r="E1132" s="5">
        <v>0</v>
      </c>
      <c r="F1132" s="5">
        <v>101100.15</v>
      </c>
      <c r="G1132" s="5">
        <v>3249.41</v>
      </c>
      <c r="H1132" s="5">
        <v>0</v>
      </c>
      <c r="I1132" s="5">
        <v>0</v>
      </c>
      <c r="J1132" s="5">
        <v>267880.27875</v>
      </c>
    </row>
    <row r="1133" spans="1:10" x14ac:dyDescent="0.25">
      <c r="A1133" s="4" t="s">
        <v>890</v>
      </c>
      <c r="B1133" s="5">
        <v>6596028.29</v>
      </c>
      <c r="C1133" s="5">
        <v>25603313.199999999</v>
      </c>
      <c r="D1133" s="5">
        <v>12356649.65</v>
      </c>
      <c r="E1133" s="5">
        <v>80607268.140000001</v>
      </c>
      <c r="F1133" s="5">
        <v>48271412.5</v>
      </c>
      <c r="G1133" s="5">
        <v>29205811.605</v>
      </c>
      <c r="H1133" s="5">
        <v>34520536.770000003</v>
      </c>
      <c r="I1133" s="5">
        <v>15161896.895</v>
      </c>
      <c r="J1133" s="5">
        <v>32628852.316153847</v>
      </c>
    </row>
    <row r="1134" spans="1:10" x14ac:dyDescent="0.25">
      <c r="A1134" s="4" t="s">
        <v>590</v>
      </c>
      <c r="B1134" s="5">
        <v>400000</v>
      </c>
      <c r="C1134" s="5">
        <v>237573.53</v>
      </c>
      <c r="D1134" s="5">
        <v>80799.009999999995</v>
      </c>
      <c r="E1134" s="5">
        <v>100000</v>
      </c>
      <c r="F1134" s="5">
        <v>13500</v>
      </c>
      <c r="G1134" s="5">
        <v>1661050.51</v>
      </c>
      <c r="H1134" s="5">
        <v>621000</v>
      </c>
      <c r="I1134" s="5">
        <v>169470.63</v>
      </c>
      <c r="J1134" s="5">
        <v>410424.20999999996</v>
      </c>
    </row>
    <row r="1135" spans="1:10" x14ac:dyDescent="0.25">
      <c r="A1135" s="4" t="s">
        <v>205</v>
      </c>
      <c r="B1135" s="5">
        <v>1028564.255</v>
      </c>
      <c r="C1135" s="5">
        <v>14337313.01</v>
      </c>
      <c r="D1135" s="5">
        <v>11946834.49</v>
      </c>
      <c r="E1135" s="5">
        <v>29551298</v>
      </c>
      <c r="F1135" s="5">
        <v>27882678.609999999</v>
      </c>
      <c r="G1135" s="5">
        <v>54432485.82</v>
      </c>
      <c r="H1135" s="5">
        <v>5679603.9000000004</v>
      </c>
      <c r="I1135" s="5">
        <v>26848067.780000001</v>
      </c>
      <c r="J1135" s="5">
        <v>19192823.346666668</v>
      </c>
    </row>
    <row r="1136" spans="1:10" x14ac:dyDescent="0.25">
      <c r="A1136" s="4" t="s">
        <v>1036</v>
      </c>
      <c r="B1136" s="5"/>
      <c r="C1136" s="5">
        <v>0</v>
      </c>
      <c r="D1136" s="5">
        <v>0</v>
      </c>
      <c r="E1136" s="5">
        <v>0</v>
      </c>
      <c r="F1136" s="5"/>
      <c r="G1136" s="5">
        <v>0</v>
      </c>
      <c r="H1136" s="5">
        <v>0</v>
      </c>
      <c r="I1136" s="5"/>
      <c r="J1136" s="5">
        <v>0</v>
      </c>
    </row>
    <row r="1137" spans="1:10" x14ac:dyDescent="0.25">
      <c r="A1137" s="4" t="s">
        <v>605</v>
      </c>
      <c r="B1137" s="5">
        <v>78794.05</v>
      </c>
      <c r="C1137" s="5">
        <v>275832.69</v>
      </c>
      <c r="D1137" s="5">
        <v>632245.04</v>
      </c>
      <c r="E1137" s="5">
        <v>4750065.32</v>
      </c>
      <c r="F1137" s="5">
        <v>5962450.9800000004</v>
      </c>
      <c r="G1137" s="5">
        <v>34292.54</v>
      </c>
      <c r="H1137" s="5">
        <v>401.68</v>
      </c>
      <c r="I1137" s="5">
        <v>1386712.14</v>
      </c>
      <c r="J1137" s="5">
        <v>1640099.3050000002</v>
      </c>
    </row>
    <row r="1138" spans="1:10" x14ac:dyDescent="0.25">
      <c r="A1138" s="4" t="s">
        <v>730</v>
      </c>
      <c r="B1138" s="5">
        <v>0</v>
      </c>
      <c r="C1138" s="5">
        <v>0</v>
      </c>
      <c r="D1138" s="5">
        <v>0</v>
      </c>
      <c r="E1138" s="5">
        <v>0</v>
      </c>
      <c r="F1138" s="5">
        <v>0</v>
      </c>
      <c r="G1138" s="5">
        <v>5400</v>
      </c>
      <c r="H1138" s="5">
        <v>24619</v>
      </c>
      <c r="I1138" s="5">
        <v>322442.15999999997</v>
      </c>
      <c r="J1138" s="5">
        <v>44057.644999999997</v>
      </c>
    </row>
    <row r="1139" spans="1:10" x14ac:dyDescent="0.25">
      <c r="A1139" s="4" t="s">
        <v>1236</v>
      </c>
      <c r="B1139" s="5"/>
      <c r="C1139" s="5"/>
      <c r="D1139" s="5"/>
      <c r="E1139" s="5"/>
      <c r="F1139" s="5">
        <v>0</v>
      </c>
      <c r="G1139" s="5"/>
      <c r="H1139" s="5"/>
      <c r="I1139" s="5"/>
      <c r="J1139" s="5">
        <v>0</v>
      </c>
    </row>
    <row r="1140" spans="1:10" x14ac:dyDescent="0.25">
      <c r="A1140" s="4" t="s">
        <v>849</v>
      </c>
      <c r="B1140" s="5">
        <v>80500</v>
      </c>
      <c r="C1140" s="5">
        <v>-1500</v>
      </c>
      <c r="D1140" s="5">
        <v>32221</v>
      </c>
      <c r="E1140" s="5">
        <v>-6000</v>
      </c>
      <c r="F1140" s="5">
        <v>682730</v>
      </c>
      <c r="G1140" s="5">
        <v>1106941.6200000001</v>
      </c>
      <c r="H1140" s="5">
        <v>148502.39000000001</v>
      </c>
      <c r="I1140" s="5">
        <v>152.46</v>
      </c>
      <c r="J1140" s="5">
        <v>255443.43375000003</v>
      </c>
    </row>
    <row r="1141" spans="1:10" x14ac:dyDescent="0.25">
      <c r="A1141" s="4" t="s">
        <v>1304</v>
      </c>
      <c r="B1141" s="5"/>
      <c r="C1141" s="5"/>
      <c r="D1141" s="5"/>
      <c r="E1141" s="5"/>
      <c r="F1141" s="5"/>
      <c r="G1141" s="5"/>
      <c r="H1141" s="5">
        <v>70851380836</v>
      </c>
      <c r="I1141" s="5">
        <v>0</v>
      </c>
      <c r="J1141" s="5">
        <v>35425690418</v>
      </c>
    </row>
    <row r="1142" spans="1:10" x14ac:dyDescent="0.25">
      <c r="A1142" s="4" t="s">
        <v>1018</v>
      </c>
      <c r="B1142" s="5"/>
      <c r="C1142" s="5">
        <v>0</v>
      </c>
      <c r="D1142" s="5"/>
      <c r="E1142" s="5">
        <v>0</v>
      </c>
      <c r="F1142" s="5"/>
      <c r="G1142" s="5"/>
      <c r="H1142" s="5">
        <v>580000</v>
      </c>
      <c r="I1142" s="5">
        <v>0</v>
      </c>
      <c r="J1142" s="5">
        <v>145000</v>
      </c>
    </row>
    <row r="1143" spans="1:10" x14ac:dyDescent="0.25">
      <c r="A1143" s="4" t="s">
        <v>317</v>
      </c>
      <c r="B1143" s="5">
        <v>0</v>
      </c>
      <c r="C1143" s="5">
        <v>0</v>
      </c>
      <c r="D1143" s="5">
        <v>0</v>
      </c>
      <c r="E1143" s="5">
        <v>0</v>
      </c>
      <c r="F1143" s="5"/>
      <c r="G1143" s="5">
        <v>573255.64</v>
      </c>
      <c r="H1143" s="5">
        <v>-101255.11</v>
      </c>
      <c r="I1143" s="5">
        <v>312374.64</v>
      </c>
      <c r="J1143" s="5">
        <v>112053.59571428572</v>
      </c>
    </row>
    <row r="1144" spans="1:10" x14ac:dyDescent="0.25">
      <c r="A1144" s="4" t="s">
        <v>613</v>
      </c>
      <c r="B1144" s="5">
        <v>359238.58</v>
      </c>
      <c r="C1144" s="5">
        <v>8065690.2750000004</v>
      </c>
      <c r="D1144" s="5">
        <v>16445143.189999999</v>
      </c>
      <c r="E1144" s="5">
        <v>2730183.1150000002</v>
      </c>
      <c r="F1144" s="5">
        <v>0</v>
      </c>
      <c r="G1144" s="5">
        <v>24436309.969999999</v>
      </c>
      <c r="H1144" s="5">
        <v>74676192.694999993</v>
      </c>
      <c r="I1144" s="5">
        <v>75716522.194999993</v>
      </c>
      <c r="J1144" s="5">
        <v>26966621.430666666</v>
      </c>
    </row>
    <row r="1145" spans="1:10" x14ac:dyDescent="0.25">
      <c r="A1145" s="4" t="s">
        <v>1025</v>
      </c>
      <c r="B1145" s="5"/>
      <c r="C1145" s="5">
        <v>0</v>
      </c>
      <c r="D1145" s="5">
        <v>0</v>
      </c>
      <c r="E1145" s="5">
        <v>0</v>
      </c>
      <c r="F1145" s="5">
        <v>0</v>
      </c>
      <c r="G1145" s="5">
        <v>0</v>
      </c>
      <c r="H1145" s="5">
        <v>2340000</v>
      </c>
      <c r="I1145" s="5">
        <v>0</v>
      </c>
      <c r="J1145" s="5">
        <v>334285.71428571426</v>
      </c>
    </row>
    <row r="1146" spans="1:10" x14ac:dyDescent="0.25">
      <c r="A1146" s="4" t="s">
        <v>466</v>
      </c>
      <c r="B1146" s="5">
        <v>450000</v>
      </c>
      <c r="C1146" s="5">
        <v>10000</v>
      </c>
      <c r="D1146" s="5">
        <v>-47000</v>
      </c>
      <c r="E1146" s="5"/>
      <c r="F1146" s="5">
        <v>180000</v>
      </c>
      <c r="G1146" s="5">
        <v>1473326</v>
      </c>
      <c r="H1146" s="5">
        <v>0</v>
      </c>
      <c r="I1146" s="5"/>
      <c r="J1146" s="5">
        <v>344387.66666666669</v>
      </c>
    </row>
    <row r="1147" spans="1:10" x14ac:dyDescent="0.25">
      <c r="A1147" s="4" t="s">
        <v>378</v>
      </c>
      <c r="B1147" s="5">
        <v>0</v>
      </c>
      <c r="C1147" s="5"/>
      <c r="D1147" s="5"/>
      <c r="E1147" s="5">
        <v>0</v>
      </c>
      <c r="F1147" s="5">
        <v>90000</v>
      </c>
      <c r="G1147" s="5">
        <v>150988830.5</v>
      </c>
      <c r="H1147" s="5">
        <v>90461765</v>
      </c>
      <c r="I1147" s="5">
        <v>9776300.333333334</v>
      </c>
      <c r="J1147" s="5">
        <v>39423084</v>
      </c>
    </row>
    <row r="1148" spans="1:10" x14ac:dyDescent="0.25">
      <c r="A1148" s="4" t="s">
        <v>543</v>
      </c>
      <c r="B1148" s="5">
        <v>3869375400.3249998</v>
      </c>
      <c r="C1148" s="5">
        <v>2216168901.0799999</v>
      </c>
      <c r="D1148" s="5">
        <v>4799903627.2799997</v>
      </c>
      <c r="E1148" s="5">
        <v>3143061905.3850002</v>
      </c>
      <c r="F1148" s="5">
        <v>2628029092.75</v>
      </c>
      <c r="G1148" s="5">
        <v>2470013420.3299999</v>
      </c>
      <c r="H1148" s="5">
        <v>2524392318.1350002</v>
      </c>
      <c r="I1148" s="5">
        <v>448206008.125</v>
      </c>
      <c r="J1148" s="5">
        <v>2626559847.9693332</v>
      </c>
    </row>
    <row r="1149" spans="1:10" x14ac:dyDescent="0.25">
      <c r="A1149" s="4" t="s">
        <v>721</v>
      </c>
      <c r="B1149" s="5">
        <v>17779.080000000002</v>
      </c>
      <c r="C1149" s="5">
        <v>0</v>
      </c>
      <c r="D1149" s="5">
        <v>710.9</v>
      </c>
      <c r="E1149" s="5">
        <v>55140.02</v>
      </c>
      <c r="F1149" s="5">
        <v>-68894.720000000001</v>
      </c>
      <c r="G1149" s="5">
        <v>1273276.3</v>
      </c>
      <c r="H1149" s="5">
        <v>0</v>
      </c>
      <c r="I1149" s="5">
        <v>-100010</v>
      </c>
      <c r="J1149" s="5">
        <v>147250.19750000001</v>
      </c>
    </row>
    <row r="1150" spans="1:10" x14ac:dyDescent="0.25">
      <c r="A1150" s="4" t="s">
        <v>165</v>
      </c>
      <c r="B1150" s="5">
        <v>5504.12</v>
      </c>
      <c r="C1150" s="5">
        <v>73864.23</v>
      </c>
      <c r="D1150" s="5">
        <v>40810.660000000003</v>
      </c>
      <c r="E1150" s="5">
        <v>84484.75</v>
      </c>
      <c r="F1150" s="5">
        <v>41687.51</v>
      </c>
      <c r="G1150" s="5">
        <v>3841.92</v>
      </c>
      <c r="H1150" s="5">
        <v>3837.62</v>
      </c>
      <c r="I1150" s="5">
        <v>-2283.4899999999998</v>
      </c>
      <c r="J1150" s="5">
        <v>28583.493333333336</v>
      </c>
    </row>
    <row r="1151" spans="1:10" x14ac:dyDescent="0.25">
      <c r="A1151" s="4" t="s">
        <v>271</v>
      </c>
      <c r="B1151" s="5">
        <v>0</v>
      </c>
      <c r="C1151" s="5">
        <v>0</v>
      </c>
      <c r="D1151" s="5">
        <v>0</v>
      </c>
      <c r="E1151" s="5">
        <v>0</v>
      </c>
      <c r="F1151" s="5">
        <v>389000</v>
      </c>
      <c r="G1151" s="5">
        <v>51400</v>
      </c>
      <c r="H1151" s="5">
        <v>199801.2</v>
      </c>
      <c r="I1151" s="5">
        <v>339990.3</v>
      </c>
      <c r="J1151" s="5">
        <v>122523.9375</v>
      </c>
    </row>
    <row r="1152" spans="1:10" x14ac:dyDescent="0.25">
      <c r="A1152" s="4" t="s">
        <v>1043</v>
      </c>
      <c r="B1152" s="5"/>
      <c r="C1152" s="5">
        <v>0</v>
      </c>
      <c r="D1152" s="5">
        <v>3731840.9849999999</v>
      </c>
      <c r="E1152" s="5"/>
      <c r="F1152" s="5">
        <v>450069.51</v>
      </c>
      <c r="G1152" s="5">
        <v>0</v>
      </c>
      <c r="H1152" s="5">
        <v>0</v>
      </c>
      <c r="I1152" s="5">
        <v>0</v>
      </c>
      <c r="J1152" s="5">
        <v>989218.93499999994</v>
      </c>
    </row>
    <row r="1153" spans="1:10" x14ac:dyDescent="0.25">
      <c r="A1153" s="4" t="s">
        <v>333</v>
      </c>
      <c r="B1153" s="5">
        <v>0</v>
      </c>
      <c r="C1153" s="5">
        <v>800000</v>
      </c>
      <c r="D1153" s="5">
        <v>0</v>
      </c>
      <c r="E1153" s="5">
        <v>150000</v>
      </c>
      <c r="F1153" s="5">
        <v>0</v>
      </c>
      <c r="G1153" s="5">
        <v>1600000</v>
      </c>
      <c r="H1153" s="5">
        <v>0</v>
      </c>
      <c r="I1153" s="5">
        <v>0</v>
      </c>
      <c r="J1153" s="5">
        <v>300000</v>
      </c>
    </row>
    <row r="1154" spans="1:10" x14ac:dyDescent="0.25">
      <c r="A1154" s="4" t="s">
        <v>1144</v>
      </c>
      <c r="B1154" s="5"/>
      <c r="C1154" s="5"/>
      <c r="D1154" s="5">
        <v>0</v>
      </c>
      <c r="E1154" s="5"/>
      <c r="F1154" s="5"/>
      <c r="G1154" s="5"/>
      <c r="H1154" s="5"/>
      <c r="I1154" s="5"/>
      <c r="J1154" s="5">
        <v>0</v>
      </c>
    </row>
    <row r="1155" spans="1:10" x14ac:dyDescent="0.25">
      <c r="A1155" s="4" t="s">
        <v>534</v>
      </c>
      <c r="B1155" s="5">
        <v>33600</v>
      </c>
      <c r="C1155" s="5">
        <v>213769.79</v>
      </c>
      <c r="D1155" s="5">
        <v>499903.71</v>
      </c>
      <c r="E1155" s="5">
        <v>-139369.79</v>
      </c>
      <c r="F1155" s="5">
        <v>6700</v>
      </c>
      <c r="G1155" s="5">
        <v>24652</v>
      </c>
      <c r="H1155" s="5">
        <v>18881.599999999999</v>
      </c>
      <c r="I1155" s="5">
        <v>104406.92</v>
      </c>
      <c r="J1155" s="5">
        <v>95318.028749999998</v>
      </c>
    </row>
    <row r="1156" spans="1:10" x14ac:dyDescent="0.25">
      <c r="A1156" s="4" t="s">
        <v>1014</v>
      </c>
      <c r="B1156" s="5"/>
      <c r="C1156" s="5">
        <v>0</v>
      </c>
      <c r="D1156" s="5">
        <v>0</v>
      </c>
      <c r="E1156" s="5">
        <v>0</v>
      </c>
      <c r="F1156" s="5">
        <v>0</v>
      </c>
      <c r="G1156" s="5">
        <v>0</v>
      </c>
      <c r="H1156" s="5">
        <v>0</v>
      </c>
      <c r="I1156" s="5">
        <v>0</v>
      </c>
      <c r="J1156" s="5">
        <v>0</v>
      </c>
    </row>
    <row r="1157" spans="1:10" x14ac:dyDescent="0.25">
      <c r="A1157" s="4" t="s">
        <v>803</v>
      </c>
      <c r="B1157" s="5">
        <v>445776.34</v>
      </c>
      <c r="C1157" s="5">
        <v>4495012.18</v>
      </c>
      <c r="D1157" s="5">
        <v>0</v>
      </c>
      <c r="E1157" s="5">
        <v>3611.84</v>
      </c>
      <c r="F1157" s="5">
        <v>68000</v>
      </c>
      <c r="G1157" s="5">
        <v>0</v>
      </c>
      <c r="H1157" s="5">
        <v>0</v>
      </c>
      <c r="I1157" s="5">
        <v>1187.54</v>
      </c>
      <c r="J1157" s="5">
        <v>626698.48749999993</v>
      </c>
    </row>
    <row r="1158" spans="1:10" x14ac:dyDescent="0.25">
      <c r="A1158" s="4" t="s">
        <v>852</v>
      </c>
      <c r="B1158" s="5">
        <v>160800</v>
      </c>
      <c r="C1158" s="5">
        <v>147500</v>
      </c>
      <c r="D1158" s="5">
        <v>80500</v>
      </c>
      <c r="E1158" s="5">
        <v>547000</v>
      </c>
      <c r="F1158" s="5">
        <v>33050</v>
      </c>
      <c r="G1158" s="5">
        <v>275330</v>
      </c>
      <c r="H1158" s="5">
        <v>236100</v>
      </c>
      <c r="I1158" s="5">
        <v>19000</v>
      </c>
      <c r="J1158" s="5">
        <v>187410</v>
      </c>
    </row>
    <row r="1159" spans="1:10" x14ac:dyDescent="0.25">
      <c r="A1159" s="4" t="s">
        <v>57</v>
      </c>
      <c r="B1159" s="5">
        <v>25700</v>
      </c>
      <c r="C1159" s="5">
        <v>73266</v>
      </c>
      <c r="D1159" s="5">
        <v>4763.92</v>
      </c>
      <c r="E1159" s="5">
        <v>0</v>
      </c>
      <c r="F1159" s="5">
        <v>0</v>
      </c>
      <c r="G1159" s="5">
        <v>0</v>
      </c>
      <c r="H1159" s="5">
        <v>1969</v>
      </c>
      <c r="I1159" s="5">
        <v>258591</v>
      </c>
      <c r="J1159" s="5">
        <v>45536.24</v>
      </c>
    </row>
    <row r="1160" spans="1:10" x14ac:dyDescent="0.25">
      <c r="A1160" s="4" t="s">
        <v>621</v>
      </c>
      <c r="B1160" s="5">
        <v>21052829.989999998</v>
      </c>
      <c r="C1160" s="5">
        <v>-7068131.9800000004</v>
      </c>
      <c r="D1160" s="5">
        <v>-59445.09</v>
      </c>
      <c r="E1160" s="5">
        <v>4562887.8600000003</v>
      </c>
      <c r="F1160" s="5">
        <v>767409.6</v>
      </c>
      <c r="G1160" s="5">
        <v>8279324.5499999998</v>
      </c>
      <c r="H1160" s="5">
        <v>513355.87</v>
      </c>
      <c r="I1160" s="5">
        <v>2628663.0299999998</v>
      </c>
      <c r="J1160" s="5">
        <v>3834611.7287500002</v>
      </c>
    </row>
    <row r="1161" spans="1:10" x14ac:dyDescent="0.25">
      <c r="A1161" s="4" t="s">
        <v>241</v>
      </c>
      <c r="B1161" s="5">
        <v>655861.18000000005</v>
      </c>
      <c r="C1161" s="5">
        <v>8527249.0600000005</v>
      </c>
      <c r="D1161" s="5">
        <v>1238122.1000000001</v>
      </c>
      <c r="E1161" s="5">
        <v>1887609.76</v>
      </c>
      <c r="F1161" s="5">
        <v>5767235.3899999997</v>
      </c>
      <c r="G1161" s="5">
        <v>3381089.36</v>
      </c>
      <c r="H1161" s="5">
        <v>5187589.88</v>
      </c>
      <c r="I1161" s="5">
        <v>1356172.59</v>
      </c>
      <c r="J1161" s="5">
        <v>3500116.1649999996</v>
      </c>
    </row>
    <row r="1162" spans="1:10" x14ac:dyDescent="0.25">
      <c r="A1162" s="4" t="s">
        <v>996</v>
      </c>
      <c r="B1162" s="5"/>
      <c r="C1162" s="5">
        <v>0</v>
      </c>
      <c r="D1162" s="5"/>
      <c r="E1162" s="5">
        <v>0</v>
      </c>
      <c r="F1162" s="5">
        <v>0</v>
      </c>
      <c r="G1162" s="5">
        <v>0</v>
      </c>
      <c r="H1162" s="5">
        <v>0</v>
      </c>
      <c r="I1162" s="5">
        <v>0</v>
      </c>
      <c r="J1162" s="5">
        <v>0</v>
      </c>
    </row>
    <row r="1163" spans="1:10" x14ac:dyDescent="0.25">
      <c r="A1163" s="4" t="s">
        <v>987</v>
      </c>
      <c r="B1163" s="5"/>
      <c r="C1163" s="5">
        <v>50000</v>
      </c>
      <c r="D1163" s="5">
        <v>0</v>
      </c>
      <c r="E1163" s="5">
        <v>975700</v>
      </c>
      <c r="F1163" s="5">
        <v>78000</v>
      </c>
      <c r="G1163" s="5">
        <v>0</v>
      </c>
      <c r="H1163" s="5">
        <v>5439700</v>
      </c>
      <c r="I1163" s="5">
        <v>50000</v>
      </c>
      <c r="J1163" s="5">
        <v>941914.28571428568</v>
      </c>
    </row>
    <row r="1164" spans="1:10" x14ac:dyDescent="0.25">
      <c r="A1164" s="4" t="s">
        <v>285</v>
      </c>
      <c r="B1164" s="5">
        <v>8046639.2999999998</v>
      </c>
      <c r="C1164" s="5">
        <v>9849606.4499999993</v>
      </c>
      <c r="D1164" s="5">
        <v>7824049</v>
      </c>
      <c r="E1164" s="5">
        <v>22480949.460000001</v>
      </c>
      <c r="F1164" s="5">
        <v>4823402.6100000003</v>
      </c>
      <c r="G1164" s="5">
        <v>18843092.539999999</v>
      </c>
      <c r="H1164" s="5">
        <v>5461986.9400000004</v>
      </c>
      <c r="I1164" s="5">
        <v>2191393.9500000002</v>
      </c>
      <c r="J1164" s="5">
        <v>9940140.03125</v>
      </c>
    </row>
    <row r="1165" spans="1:10" x14ac:dyDescent="0.25">
      <c r="A1165" s="4" t="s">
        <v>140</v>
      </c>
      <c r="B1165" s="5">
        <v>23776576.940000001</v>
      </c>
      <c r="C1165" s="5">
        <v>42252040.549999997</v>
      </c>
      <c r="D1165" s="5">
        <v>37053281.799999997</v>
      </c>
      <c r="E1165" s="5">
        <v>84718804.650000006</v>
      </c>
      <c r="F1165" s="5">
        <v>22601670.440000001</v>
      </c>
      <c r="G1165" s="5">
        <v>89230279.340000004</v>
      </c>
      <c r="H1165" s="5">
        <v>19563112.280000001</v>
      </c>
      <c r="I1165" s="5">
        <v>-640168.9</v>
      </c>
      <c r="J1165" s="5">
        <v>39819449.637500003</v>
      </c>
    </row>
    <row r="1166" spans="1:10" x14ac:dyDescent="0.25">
      <c r="A1166" s="4" t="s">
        <v>429</v>
      </c>
      <c r="B1166" s="5">
        <v>13805857.48</v>
      </c>
      <c r="C1166" s="5">
        <v>18082801.969999999</v>
      </c>
      <c r="D1166" s="5">
        <v>19007232.010000002</v>
      </c>
      <c r="E1166" s="5">
        <v>45362257.719999999</v>
      </c>
      <c r="F1166" s="5">
        <v>4328756.5599999996</v>
      </c>
      <c r="G1166" s="5">
        <v>49746316.380000003</v>
      </c>
      <c r="H1166" s="5">
        <v>8838312.6999999993</v>
      </c>
      <c r="I1166" s="5">
        <v>6735313.1600000001</v>
      </c>
      <c r="J1166" s="5">
        <v>20738355.997499999</v>
      </c>
    </row>
    <row r="1167" spans="1:10" x14ac:dyDescent="0.25">
      <c r="A1167" s="4" t="s">
        <v>1140</v>
      </c>
      <c r="B1167" s="5"/>
      <c r="C1167" s="5"/>
      <c r="D1167" s="5">
        <v>0</v>
      </c>
      <c r="E1167" s="5">
        <v>0</v>
      </c>
      <c r="F1167" s="5">
        <v>0</v>
      </c>
      <c r="G1167" s="5">
        <v>0</v>
      </c>
      <c r="H1167" s="5">
        <v>0</v>
      </c>
      <c r="I1167" s="5">
        <v>0</v>
      </c>
      <c r="J1167" s="5">
        <v>0</v>
      </c>
    </row>
    <row r="1168" spans="1:10" x14ac:dyDescent="0.25">
      <c r="A1168" s="4" t="s">
        <v>1266</v>
      </c>
      <c r="B1168" s="5"/>
      <c r="C1168" s="5"/>
      <c r="D1168" s="5"/>
      <c r="E1168" s="5"/>
      <c r="F1168" s="5"/>
      <c r="G1168" s="5">
        <v>0</v>
      </c>
      <c r="H1168" s="5">
        <v>0</v>
      </c>
      <c r="I1168" s="5"/>
      <c r="J1168" s="5">
        <v>0</v>
      </c>
    </row>
    <row r="1169" spans="1:10" x14ac:dyDescent="0.25">
      <c r="A1169" s="4" t="s">
        <v>467</v>
      </c>
      <c r="B1169" s="5">
        <v>0</v>
      </c>
      <c r="C1169" s="5">
        <v>0</v>
      </c>
      <c r="D1169" s="5">
        <v>369463.83</v>
      </c>
      <c r="E1169" s="5">
        <v>68000</v>
      </c>
      <c r="F1169" s="5">
        <v>4656982.62</v>
      </c>
      <c r="G1169" s="5">
        <v>242909.52</v>
      </c>
      <c r="H1169" s="5">
        <v>239459.09</v>
      </c>
      <c r="I1169" s="5">
        <v>97950.68</v>
      </c>
      <c r="J1169" s="5">
        <v>709345.71749999991</v>
      </c>
    </row>
    <row r="1170" spans="1:10" x14ac:dyDescent="0.25">
      <c r="A1170" s="4" t="s">
        <v>442</v>
      </c>
      <c r="B1170" s="5">
        <v>0</v>
      </c>
      <c r="C1170" s="5">
        <v>0</v>
      </c>
      <c r="D1170" s="5">
        <v>0</v>
      </c>
      <c r="E1170" s="5"/>
      <c r="F1170" s="5">
        <v>0</v>
      </c>
      <c r="G1170" s="5"/>
      <c r="H1170" s="5">
        <v>76282155.5</v>
      </c>
      <c r="I1170" s="5">
        <v>960019</v>
      </c>
      <c r="J1170" s="5">
        <v>11034596.357142856</v>
      </c>
    </row>
    <row r="1171" spans="1:10" x14ac:dyDescent="0.25">
      <c r="A1171" s="4" t="s">
        <v>1193</v>
      </c>
      <c r="B1171" s="5"/>
      <c r="C1171" s="5"/>
      <c r="D1171" s="5"/>
      <c r="E1171" s="5">
        <v>0</v>
      </c>
      <c r="F1171" s="5"/>
      <c r="G1171" s="5"/>
      <c r="H1171" s="5"/>
      <c r="I1171" s="5"/>
      <c r="J1171" s="5">
        <v>0</v>
      </c>
    </row>
    <row r="1172" spans="1:10" x14ac:dyDescent="0.25">
      <c r="A1172" s="4" t="s">
        <v>532</v>
      </c>
      <c r="B1172" s="5">
        <v>0</v>
      </c>
      <c r="C1172" s="5"/>
      <c r="D1172" s="5"/>
      <c r="E1172" s="5"/>
      <c r="F1172" s="5"/>
      <c r="G1172" s="5">
        <v>13333.34</v>
      </c>
      <c r="H1172" s="5"/>
      <c r="I1172" s="5">
        <v>0</v>
      </c>
      <c r="J1172" s="5">
        <v>4444.4466666666667</v>
      </c>
    </row>
    <row r="1173" spans="1:10" x14ac:dyDescent="0.25">
      <c r="A1173" s="4" t="s">
        <v>1315</v>
      </c>
      <c r="B1173" s="5"/>
      <c r="C1173" s="5"/>
      <c r="D1173" s="5"/>
      <c r="E1173" s="5"/>
      <c r="F1173" s="5"/>
      <c r="G1173" s="5"/>
      <c r="H1173" s="5"/>
      <c r="I1173" s="5">
        <v>1000000</v>
      </c>
      <c r="J1173" s="5">
        <v>1000000</v>
      </c>
    </row>
    <row r="1174" spans="1:10" x14ac:dyDescent="0.25">
      <c r="A1174" s="4" t="s">
        <v>722</v>
      </c>
      <c r="B1174" s="5">
        <v>0</v>
      </c>
      <c r="C1174" s="5">
        <v>0</v>
      </c>
      <c r="D1174" s="5">
        <v>0</v>
      </c>
      <c r="E1174" s="5">
        <v>300000</v>
      </c>
      <c r="F1174" s="5"/>
      <c r="G1174" s="5">
        <v>110000</v>
      </c>
      <c r="H1174" s="5">
        <v>110000</v>
      </c>
      <c r="I1174" s="5">
        <v>478026</v>
      </c>
      <c r="J1174" s="5">
        <v>142575.14285714287</v>
      </c>
    </row>
    <row r="1175" spans="1:10" x14ac:dyDescent="0.25">
      <c r="A1175" s="4" t="s">
        <v>1197</v>
      </c>
      <c r="B1175" s="5"/>
      <c r="C1175" s="5"/>
      <c r="D1175" s="5"/>
      <c r="E1175" s="5">
        <v>0</v>
      </c>
      <c r="F1175" s="5">
        <v>0</v>
      </c>
      <c r="G1175" s="5">
        <v>0</v>
      </c>
      <c r="H1175" s="5">
        <v>0</v>
      </c>
      <c r="I1175" s="5">
        <v>0</v>
      </c>
      <c r="J1175" s="5">
        <v>0</v>
      </c>
    </row>
    <row r="1176" spans="1:10" x14ac:dyDescent="0.25">
      <c r="A1176" s="4" t="s">
        <v>908</v>
      </c>
      <c r="B1176" s="5">
        <v>0</v>
      </c>
      <c r="C1176" s="5">
        <v>0</v>
      </c>
      <c r="D1176" s="5">
        <v>42143.3</v>
      </c>
      <c r="E1176" s="5">
        <v>-1574</v>
      </c>
      <c r="F1176" s="5">
        <v>7215002.0099999998</v>
      </c>
      <c r="G1176" s="5">
        <v>742359.46</v>
      </c>
      <c r="H1176" s="5">
        <v>762091.61</v>
      </c>
      <c r="I1176" s="5">
        <v>729729.98</v>
      </c>
      <c r="J1176" s="5">
        <v>1186219.0449999999</v>
      </c>
    </row>
    <row r="1177" spans="1:10" x14ac:dyDescent="0.25">
      <c r="A1177" s="4" t="s">
        <v>415</v>
      </c>
      <c r="B1177" s="5">
        <v>0</v>
      </c>
      <c r="C1177" s="5">
        <v>0</v>
      </c>
      <c r="D1177" s="5">
        <v>0</v>
      </c>
      <c r="E1177" s="5">
        <v>0</v>
      </c>
      <c r="F1177" s="5">
        <v>0</v>
      </c>
      <c r="G1177" s="5"/>
      <c r="H1177" s="5">
        <v>1975879</v>
      </c>
      <c r="I1177" s="5">
        <v>0</v>
      </c>
      <c r="J1177" s="5">
        <v>439084.22222222225</v>
      </c>
    </row>
    <row r="1178" spans="1:10" x14ac:dyDescent="0.25">
      <c r="A1178" s="4" t="s">
        <v>1045</v>
      </c>
      <c r="B1178" s="5"/>
      <c r="C1178" s="5">
        <v>0</v>
      </c>
      <c r="D1178" s="5">
        <v>0</v>
      </c>
      <c r="E1178" s="5">
        <v>0</v>
      </c>
      <c r="F1178" s="5">
        <v>1307.3800000000001</v>
      </c>
      <c r="G1178" s="5">
        <v>35860318.119999997</v>
      </c>
      <c r="H1178" s="5">
        <v>24737600.850000001</v>
      </c>
      <c r="I1178" s="5">
        <v>20786</v>
      </c>
      <c r="J1178" s="5">
        <v>8660001.7642857153</v>
      </c>
    </row>
    <row r="1179" spans="1:10" x14ac:dyDescent="0.25">
      <c r="A1179" s="4" t="s">
        <v>901</v>
      </c>
      <c r="B1179" s="5">
        <v>2684660.23</v>
      </c>
      <c r="C1179" s="5">
        <v>5802253.5700000003</v>
      </c>
      <c r="D1179" s="5">
        <v>4830306.3499999996</v>
      </c>
      <c r="E1179" s="5">
        <v>10310272.390000001</v>
      </c>
      <c r="F1179" s="5">
        <v>11759694.460000001</v>
      </c>
      <c r="G1179" s="5">
        <v>16823139.809999999</v>
      </c>
      <c r="H1179" s="5">
        <v>10763513.18</v>
      </c>
      <c r="I1179" s="5">
        <v>2379613.67</v>
      </c>
      <c r="J1179" s="5">
        <v>8169181.7075000005</v>
      </c>
    </row>
    <row r="1180" spans="1:10" x14ac:dyDescent="0.25">
      <c r="A1180" s="4" t="s">
        <v>1336</v>
      </c>
      <c r="B1180" s="5">
        <v>2002675542.6415968</v>
      </c>
      <c r="C1180" s="5">
        <v>157040499.35790342</v>
      </c>
      <c r="D1180" s="5">
        <v>207359738.9450717</v>
      </c>
      <c r="E1180" s="5">
        <v>165941920.20783758</v>
      </c>
      <c r="F1180" s="5">
        <v>353475973.96004885</v>
      </c>
      <c r="G1180" s="5">
        <v>518004856.02336317</v>
      </c>
      <c r="H1180" s="5">
        <v>320138749.98159105</v>
      </c>
      <c r="I1180" s="5">
        <v>90088962.725996032</v>
      </c>
      <c r="J1180" s="5">
        <v>459418489.09848273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7707"/>
  <sheetViews>
    <sheetView workbookViewId="0">
      <selection activeCell="G1" sqref="G1"/>
    </sheetView>
  </sheetViews>
  <sheetFormatPr defaultRowHeight="15" x14ac:dyDescent="0.25"/>
  <cols>
    <col min="1" max="1" width="8.7109375" bestFit="1" customWidth="1"/>
    <col min="3" max="3" width="17.42578125" customWidth="1"/>
    <col min="4" max="6" width="17.5703125" bestFit="1" customWidth="1"/>
    <col min="7" max="7" width="24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44927</v>
      </c>
      <c r="B2" t="s">
        <v>7</v>
      </c>
      <c r="C2" t="s">
        <v>8</v>
      </c>
      <c r="D2" s="2">
        <v>26060241594.439999</v>
      </c>
      <c r="E2" s="2">
        <v>4940131281.6499996</v>
      </c>
      <c r="F2" s="2">
        <v>4940131281.6499996</v>
      </c>
    </row>
    <row r="3" spans="1:7" x14ac:dyDescent="0.25">
      <c r="A3" s="1">
        <v>44927</v>
      </c>
      <c r="B3" t="s">
        <v>9</v>
      </c>
      <c r="C3" t="s">
        <v>10</v>
      </c>
      <c r="D3">
        <v>0</v>
      </c>
      <c r="E3">
        <v>0</v>
      </c>
      <c r="F3">
        <v>0</v>
      </c>
    </row>
    <row r="4" spans="1:7" x14ac:dyDescent="0.25">
      <c r="A4" s="1">
        <v>44927</v>
      </c>
      <c r="B4" t="s">
        <v>11</v>
      </c>
      <c r="C4" t="s">
        <v>12</v>
      </c>
      <c r="D4" s="2">
        <v>66554016107</v>
      </c>
      <c r="E4" s="2">
        <v>3319073882.3899999</v>
      </c>
      <c r="F4" s="2">
        <v>3319073882.3899999</v>
      </c>
    </row>
    <row r="5" spans="1:7" x14ac:dyDescent="0.25">
      <c r="A5" s="1">
        <v>44927</v>
      </c>
      <c r="B5" t="s">
        <v>13</v>
      </c>
      <c r="C5" t="s">
        <v>14</v>
      </c>
      <c r="D5" s="2">
        <v>119210561.45</v>
      </c>
      <c r="E5" s="2">
        <v>11931333.710000001</v>
      </c>
      <c r="F5" s="2">
        <v>11504912.93</v>
      </c>
    </row>
    <row r="6" spans="1:7" x14ac:dyDescent="0.25">
      <c r="A6" s="1">
        <v>44927</v>
      </c>
      <c r="B6" t="s">
        <v>15</v>
      </c>
      <c r="C6" t="s">
        <v>16</v>
      </c>
      <c r="D6" s="2">
        <v>60559.62</v>
      </c>
      <c r="E6" s="2">
        <v>60559.62</v>
      </c>
      <c r="F6" s="2">
        <v>60559.62</v>
      </c>
    </row>
    <row r="7" spans="1:7" x14ac:dyDescent="0.25">
      <c r="A7" s="1">
        <v>44927</v>
      </c>
      <c r="B7" t="s">
        <v>17</v>
      </c>
      <c r="C7" t="s">
        <v>18</v>
      </c>
      <c r="D7" s="2">
        <v>16646857.74</v>
      </c>
      <c r="E7" s="2">
        <v>16646857.74</v>
      </c>
      <c r="F7" s="2">
        <v>16646857.74</v>
      </c>
    </row>
    <row r="8" spans="1:7" x14ac:dyDescent="0.25">
      <c r="A8" s="1">
        <v>44927</v>
      </c>
      <c r="B8" t="s">
        <v>19</v>
      </c>
      <c r="C8" t="s">
        <v>20</v>
      </c>
      <c r="D8" s="2">
        <v>367956.15</v>
      </c>
      <c r="E8" s="2">
        <v>5408.82</v>
      </c>
      <c r="F8">
        <v>0</v>
      </c>
    </row>
    <row r="9" spans="1:7" x14ac:dyDescent="0.25">
      <c r="A9" s="1">
        <v>44927</v>
      </c>
      <c r="B9" t="s">
        <v>21</v>
      </c>
      <c r="C9" t="s">
        <v>22</v>
      </c>
      <c r="D9">
        <v>0</v>
      </c>
      <c r="E9">
        <v>0</v>
      </c>
      <c r="F9">
        <v>0</v>
      </c>
    </row>
    <row r="10" spans="1:7" x14ac:dyDescent="0.25">
      <c r="A10" s="1">
        <v>44927</v>
      </c>
      <c r="B10" t="s">
        <v>23</v>
      </c>
      <c r="C10" t="s">
        <v>24</v>
      </c>
      <c r="D10">
        <v>0</v>
      </c>
      <c r="E10">
        <v>0</v>
      </c>
      <c r="F10">
        <v>0</v>
      </c>
    </row>
    <row r="11" spans="1:7" x14ac:dyDescent="0.25">
      <c r="A11" s="1">
        <v>44927</v>
      </c>
      <c r="B11" t="s">
        <v>25</v>
      </c>
      <c r="C11" t="s">
        <v>26</v>
      </c>
      <c r="D11">
        <v>0</v>
      </c>
      <c r="E11">
        <v>0</v>
      </c>
      <c r="F11">
        <v>0</v>
      </c>
    </row>
    <row r="12" spans="1:7" x14ac:dyDescent="0.25">
      <c r="A12" s="1">
        <v>44927</v>
      </c>
      <c r="B12" t="s">
        <v>27</v>
      </c>
      <c r="C12" t="s">
        <v>28</v>
      </c>
      <c r="D12" s="2">
        <v>8094685.2800000003</v>
      </c>
      <c r="E12" s="2">
        <v>3343389.56</v>
      </c>
      <c r="F12" s="2">
        <v>2832423.91</v>
      </c>
    </row>
    <row r="13" spans="1:7" x14ac:dyDescent="0.25">
      <c r="A13" s="1">
        <v>44927</v>
      </c>
      <c r="B13" t="s">
        <v>29</v>
      </c>
      <c r="C13" t="s">
        <v>30</v>
      </c>
      <c r="D13">
        <v>0</v>
      </c>
      <c r="E13">
        <v>0</v>
      </c>
      <c r="F13">
        <v>0</v>
      </c>
    </row>
    <row r="14" spans="1:7" x14ac:dyDescent="0.25">
      <c r="A14" s="1">
        <v>44927</v>
      </c>
      <c r="B14" t="s">
        <v>31</v>
      </c>
      <c r="C14" t="s">
        <v>32</v>
      </c>
      <c r="D14">
        <v>0</v>
      </c>
      <c r="E14">
        <v>0</v>
      </c>
      <c r="F14">
        <v>0</v>
      </c>
    </row>
    <row r="15" spans="1:7" x14ac:dyDescent="0.25">
      <c r="A15" s="1">
        <v>44927</v>
      </c>
      <c r="B15" t="s">
        <v>33</v>
      </c>
      <c r="C15" t="s">
        <v>34</v>
      </c>
      <c r="D15">
        <v>0</v>
      </c>
      <c r="E15">
        <v>0</v>
      </c>
      <c r="F15">
        <v>0</v>
      </c>
    </row>
    <row r="16" spans="1:7" x14ac:dyDescent="0.25">
      <c r="A16" s="1">
        <v>44927</v>
      </c>
      <c r="B16" t="s">
        <v>35</v>
      </c>
      <c r="C16" t="s">
        <v>36</v>
      </c>
      <c r="D16">
        <v>0</v>
      </c>
      <c r="E16">
        <v>0</v>
      </c>
      <c r="F16">
        <v>0</v>
      </c>
    </row>
    <row r="17" spans="1:6" x14ac:dyDescent="0.25">
      <c r="A17" s="1">
        <v>44927</v>
      </c>
      <c r="B17" t="s">
        <v>37</v>
      </c>
      <c r="C17" t="s">
        <v>38</v>
      </c>
      <c r="D17" s="2">
        <v>3483179920</v>
      </c>
      <c r="E17">
        <v>41.7</v>
      </c>
      <c r="F17">
        <v>41.7</v>
      </c>
    </row>
    <row r="18" spans="1:6" x14ac:dyDescent="0.25">
      <c r="A18" s="1">
        <v>44927</v>
      </c>
      <c r="B18" t="s">
        <v>19</v>
      </c>
      <c r="C18" t="s">
        <v>39</v>
      </c>
      <c r="D18" s="2">
        <v>562344.72</v>
      </c>
      <c r="E18" s="2">
        <v>16733.009999999998</v>
      </c>
      <c r="F18" s="2">
        <v>16733.009999999998</v>
      </c>
    </row>
    <row r="19" spans="1:6" x14ac:dyDescent="0.25">
      <c r="A19" s="1">
        <v>44927</v>
      </c>
      <c r="B19" t="s">
        <v>40</v>
      </c>
      <c r="C19" t="s">
        <v>41</v>
      </c>
      <c r="D19" s="2">
        <v>592107.64</v>
      </c>
      <c r="E19" s="2">
        <v>414884.39</v>
      </c>
      <c r="F19" s="2">
        <v>123352</v>
      </c>
    </row>
    <row r="20" spans="1:6" x14ac:dyDescent="0.25">
      <c r="A20" s="1">
        <v>44927</v>
      </c>
      <c r="B20" t="s">
        <v>42</v>
      </c>
      <c r="C20" t="s">
        <v>43</v>
      </c>
      <c r="D20" s="2">
        <v>18583810.469999999</v>
      </c>
      <c r="E20" s="2">
        <v>18583810.469999999</v>
      </c>
      <c r="F20" s="2">
        <v>6549323.6399999997</v>
      </c>
    </row>
    <row r="21" spans="1:6" x14ac:dyDescent="0.25">
      <c r="A21" s="1">
        <v>44927</v>
      </c>
      <c r="B21" t="s">
        <v>44</v>
      </c>
      <c r="C21" t="s">
        <v>45</v>
      </c>
      <c r="D21">
        <v>0</v>
      </c>
      <c r="E21">
        <v>0</v>
      </c>
      <c r="F21">
        <v>0</v>
      </c>
    </row>
    <row r="22" spans="1:6" x14ac:dyDescent="0.25">
      <c r="A22" s="1">
        <v>44927</v>
      </c>
      <c r="B22" t="s">
        <v>46</v>
      </c>
      <c r="C22" t="s">
        <v>47</v>
      </c>
      <c r="D22" s="2">
        <v>1201666.6599999999</v>
      </c>
      <c r="E22" s="2">
        <v>1201666.6599999999</v>
      </c>
      <c r="F22" s="2">
        <v>1201666.6599999999</v>
      </c>
    </row>
    <row r="23" spans="1:6" x14ac:dyDescent="0.25">
      <c r="A23" s="1">
        <v>44927</v>
      </c>
      <c r="B23" t="s">
        <v>48</v>
      </c>
      <c r="C23" t="s">
        <v>49</v>
      </c>
      <c r="D23">
        <v>0</v>
      </c>
      <c r="E23">
        <v>0</v>
      </c>
      <c r="F23">
        <v>0</v>
      </c>
    </row>
    <row r="24" spans="1:6" x14ac:dyDescent="0.25">
      <c r="A24" s="1">
        <v>44927</v>
      </c>
      <c r="B24" t="s">
        <v>50</v>
      </c>
      <c r="C24" t="s">
        <v>51</v>
      </c>
      <c r="D24">
        <v>0</v>
      </c>
      <c r="E24">
        <v>0</v>
      </c>
      <c r="F24">
        <v>0</v>
      </c>
    </row>
    <row r="25" spans="1:6" x14ac:dyDescent="0.25">
      <c r="A25" s="1">
        <v>44927</v>
      </c>
      <c r="B25" t="s">
        <v>29</v>
      </c>
      <c r="C25" t="s">
        <v>52</v>
      </c>
      <c r="D25">
        <v>0</v>
      </c>
      <c r="E25">
        <v>0</v>
      </c>
      <c r="F25">
        <v>0</v>
      </c>
    </row>
    <row r="26" spans="1:6" x14ac:dyDescent="0.25">
      <c r="A26" s="1">
        <v>44927</v>
      </c>
      <c r="B26" t="s">
        <v>53</v>
      </c>
      <c r="C26" t="s">
        <v>54</v>
      </c>
      <c r="D26" s="2">
        <v>4413485665</v>
      </c>
      <c r="E26" s="2">
        <v>396273591.25</v>
      </c>
      <c r="F26" s="2">
        <v>396273591.25</v>
      </c>
    </row>
    <row r="27" spans="1:6" x14ac:dyDescent="0.25">
      <c r="A27" s="1">
        <v>44927</v>
      </c>
      <c r="B27" t="s">
        <v>55</v>
      </c>
      <c r="C27" t="s">
        <v>56</v>
      </c>
      <c r="D27">
        <v>0</v>
      </c>
      <c r="E27">
        <v>0</v>
      </c>
      <c r="F27">
        <v>0</v>
      </c>
    </row>
    <row r="28" spans="1:6" x14ac:dyDescent="0.25">
      <c r="A28" s="1">
        <v>44927</v>
      </c>
      <c r="B28" t="s">
        <v>46</v>
      </c>
      <c r="C28" t="s">
        <v>57</v>
      </c>
      <c r="D28" s="2">
        <v>25700</v>
      </c>
      <c r="E28">
        <v>0</v>
      </c>
      <c r="F28">
        <v>0</v>
      </c>
    </row>
    <row r="29" spans="1:6" x14ac:dyDescent="0.25">
      <c r="A29" s="1">
        <v>44927</v>
      </c>
      <c r="B29" t="s">
        <v>21</v>
      </c>
      <c r="C29" t="s">
        <v>58</v>
      </c>
      <c r="D29">
        <v>0</v>
      </c>
      <c r="E29">
        <v>0</v>
      </c>
      <c r="F29">
        <v>0</v>
      </c>
    </row>
    <row r="30" spans="1:6" x14ac:dyDescent="0.25">
      <c r="A30" s="1">
        <v>44927</v>
      </c>
      <c r="B30" t="s">
        <v>11</v>
      </c>
      <c r="C30" t="s">
        <v>59</v>
      </c>
      <c r="D30" s="2">
        <v>4880613987</v>
      </c>
      <c r="E30" s="2">
        <v>173610822.15000001</v>
      </c>
      <c r="F30" s="2">
        <v>173610822.15000001</v>
      </c>
    </row>
    <row r="31" spans="1:6" x14ac:dyDescent="0.25">
      <c r="A31" s="1">
        <v>44927</v>
      </c>
      <c r="B31" t="s">
        <v>29</v>
      </c>
      <c r="C31" t="s">
        <v>60</v>
      </c>
      <c r="D31">
        <v>0</v>
      </c>
      <c r="E31">
        <v>0</v>
      </c>
      <c r="F31">
        <v>0</v>
      </c>
    </row>
    <row r="32" spans="1:6" x14ac:dyDescent="0.25">
      <c r="A32" s="1">
        <v>44927</v>
      </c>
      <c r="B32" t="s">
        <v>61</v>
      </c>
      <c r="C32" t="s">
        <v>62</v>
      </c>
      <c r="D32">
        <v>0</v>
      </c>
      <c r="E32">
        <v>0</v>
      </c>
      <c r="F32">
        <v>0</v>
      </c>
    </row>
    <row r="33" spans="1:6" x14ac:dyDescent="0.25">
      <c r="A33" s="1">
        <v>44927</v>
      </c>
      <c r="B33" t="s">
        <v>63</v>
      </c>
      <c r="C33" t="s">
        <v>64</v>
      </c>
      <c r="D33">
        <v>0</v>
      </c>
      <c r="E33">
        <v>0</v>
      </c>
      <c r="F33">
        <v>0</v>
      </c>
    </row>
    <row r="34" spans="1:6" x14ac:dyDescent="0.25">
      <c r="A34" s="1">
        <v>44927</v>
      </c>
      <c r="B34" t="s">
        <v>65</v>
      </c>
      <c r="C34" t="s">
        <v>66</v>
      </c>
      <c r="D34" s="2">
        <v>323639.84000000003</v>
      </c>
      <c r="E34" s="2">
        <v>150627</v>
      </c>
      <c r="F34" s="2">
        <v>150627</v>
      </c>
    </row>
    <row r="35" spans="1:6" x14ac:dyDescent="0.25">
      <c r="A35" s="1">
        <v>44927</v>
      </c>
      <c r="B35" t="s">
        <v>17</v>
      </c>
      <c r="C35" t="s">
        <v>67</v>
      </c>
      <c r="D35" s="2">
        <v>10663925</v>
      </c>
      <c r="E35" s="2">
        <v>10663925</v>
      </c>
      <c r="F35" s="2">
        <v>5418796</v>
      </c>
    </row>
    <row r="36" spans="1:6" x14ac:dyDescent="0.25">
      <c r="A36" s="1">
        <v>44927</v>
      </c>
      <c r="B36" t="s">
        <v>68</v>
      </c>
      <c r="C36" t="s">
        <v>69</v>
      </c>
      <c r="D36">
        <v>0</v>
      </c>
      <c r="E36">
        <v>0</v>
      </c>
      <c r="F36">
        <v>0</v>
      </c>
    </row>
    <row r="37" spans="1:6" x14ac:dyDescent="0.25">
      <c r="A37" s="1">
        <v>44927</v>
      </c>
      <c r="B37" t="s">
        <v>70</v>
      </c>
      <c r="C37" t="s">
        <v>71</v>
      </c>
      <c r="D37" s="2">
        <v>6738785.2000000002</v>
      </c>
      <c r="E37" s="2">
        <v>1293374.51</v>
      </c>
      <c r="F37" s="2">
        <v>629044.72</v>
      </c>
    </row>
    <row r="38" spans="1:6" x14ac:dyDescent="0.25">
      <c r="A38" s="1">
        <v>44927</v>
      </c>
      <c r="B38" t="s">
        <v>42</v>
      </c>
      <c r="C38" t="s">
        <v>72</v>
      </c>
      <c r="D38">
        <v>0</v>
      </c>
      <c r="E38">
        <v>0</v>
      </c>
      <c r="F38">
        <v>0</v>
      </c>
    </row>
    <row r="39" spans="1:6" x14ac:dyDescent="0.25">
      <c r="A39" s="1">
        <v>44927</v>
      </c>
      <c r="B39" t="s">
        <v>40</v>
      </c>
      <c r="C39" t="s">
        <v>73</v>
      </c>
      <c r="D39">
        <v>0</v>
      </c>
      <c r="E39">
        <v>0</v>
      </c>
      <c r="F39">
        <v>0</v>
      </c>
    </row>
    <row r="40" spans="1:6" x14ac:dyDescent="0.25">
      <c r="A40" s="1">
        <v>44927</v>
      </c>
      <c r="B40" t="s">
        <v>55</v>
      </c>
      <c r="C40" t="s">
        <v>74</v>
      </c>
      <c r="D40">
        <v>0</v>
      </c>
      <c r="E40">
        <v>0</v>
      </c>
      <c r="F40">
        <v>0</v>
      </c>
    </row>
    <row r="41" spans="1:6" x14ac:dyDescent="0.25">
      <c r="A41" s="1">
        <v>44927</v>
      </c>
      <c r="B41" t="s">
        <v>75</v>
      </c>
      <c r="C41" t="s">
        <v>76</v>
      </c>
      <c r="D41">
        <v>0</v>
      </c>
      <c r="E41">
        <v>0</v>
      </c>
      <c r="F41">
        <v>0</v>
      </c>
    </row>
    <row r="42" spans="1:6" x14ac:dyDescent="0.25">
      <c r="A42" s="1">
        <v>44927</v>
      </c>
      <c r="B42" t="s">
        <v>77</v>
      </c>
      <c r="C42" t="s">
        <v>78</v>
      </c>
      <c r="D42">
        <v>0</v>
      </c>
      <c r="E42">
        <v>0</v>
      </c>
      <c r="F42">
        <v>0</v>
      </c>
    </row>
    <row r="43" spans="1:6" x14ac:dyDescent="0.25">
      <c r="A43" s="1">
        <v>44927</v>
      </c>
      <c r="B43" t="s">
        <v>79</v>
      </c>
      <c r="C43" t="s">
        <v>80</v>
      </c>
      <c r="D43">
        <v>0</v>
      </c>
      <c r="E43">
        <v>0</v>
      </c>
      <c r="F43">
        <v>0</v>
      </c>
    </row>
    <row r="44" spans="1:6" x14ac:dyDescent="0.25">
      <c r="A44" s="1">
        <v>44927</v>
      </c>
      <c r="B44" t="s">
        <v>81</v>
      </c>
      <c r="C44" t="s">
        <v>82</v>
      </c>
      <c r="D44">
        <v>0</v>
      </c>
      <c r="E44">
        <v>0</v>
      </c>
      <c r="F44">
        <v>0</v>
      </c>
    </row>
    <row r="45" spans="1:6" x14ac:dyDescent="0.25">
      <c r="A45" s="1">
        <v>44927</v>
      </c>
      <c r="B45" t="s">
        <v>11</v>
      </c>
      <c r="C45" t="s">
        <v>83</v>
      </c>
      <c r="D45" s="2">
        <v>148955141146</v>
      </c>
      <c r="E45" s="2">
        <v>6693567645.3800001</v>
      </c>
      <c r="F45" s="2">
        <v>6693567645.3800001</v>
      </c>
    </row>
    <row r="46" spans="1:6" x14ac:dyDescent="0.25">
      <c r="A46" s="1">
        <v>44927</v>
      </c>
      <c r="B46" t="s">
        <v>53</v>
      </c>
      <c r="C46" t="s">
        <v>84</v>
      </c>
      <c r="D46" s="2">
        <v>745602973.94000006</v>
      </c>
      <c r="E46" s="2">
        <v>745602973.94000006</v>
      </c>
      <c r="F46" s="2">
        <v>745602973.94000006</v>
      </c>
    </row>
    <row r="47" spans="1:6" x14ac:dyDescent="0.25">
      <c r="A47" s="1">
        <v>44927</v>
      </c>
      <c r="B47" t="s">
        <v>75</v>
      </c>
      <c r="C47" t="s">
        <v>85</v>
      </c>
      <c r="D47">
        <v>0</v>
      </c>
      <c r="E47">
        <v>0</v>
      </c>
      <c r="F47">
        <v>0</v>
      </c>
    </row>
    <row r="48" spans="1:6" x14ac:dyDescent="0.25">
      <c r="A48" s="1">
        <v>44927</v>
      </c>
      <c r="B48" t="s">
        <v>46</v>
      </c>
      <c r="C48" t="s">
        <v>86</v>
      </c>
      <c r="D48" s="2">
        <v>1414072.9</v>
      </c>
      <c r="E48" s="2">
        <v>175768.38</v>
      </c>
      <c r="F48" s="2">
        <v>29476.400000000001</v>
      </c>
    </row>
    <row r="49" spans="1:6" x14ac:dyDescent="0.25">
      <c r="A49" s="1">
        <v>44927</v>
      </c>
      <c r="B49" t="s">
        <v>68</v>
      </c>
      <c r="C49" t="s">
        <v>87</v>
      </c>
      <c r="D49">
        <v>0</v>
      </c>
      <c r="E49">
        <v>0</v>
      </c>
      <c r="F49">
        <v>0</v>
      </c>
    </row>
    <row r="50" spans="1:6" x14ac:dyDescent="0.25">
      <c r="A50" s="1">
        <v>44927</v>
      </c>
      <c r="B50" t="s">
        <v>37</v>
      </c>
      <c r="C50" t="s">
        <v>88</v>
      </c>
      <c r="D50">
        <v>0</v>
      </c>
      <c r="E50">
        <v>0</v>
      </c>
      <c r="F50">
        <v>0</v>
      </c>
    </row>
    <row r="51" spans="1:6" x14ac:dyDescent="0.25">
      <c r="A51" s="1">
        <v>44927</v>
      </c>
      <c r="B51" t="s">
        <v>46</v>
      </c>
      <c r="C51" t="s">
        <v>89</v>
      </c>
      <c r="D51" s="2">
        <v>621067.64</v>
      </c>
      <c r="E51">
        <v>0</v>
      </c>
      <c r="F51">
        <v>0</v>
      </c>
    </row>
    <row r="52" spans="1:6" x14ac:dyDescent="0.25">
      <c r="A52" s="1">
        <v>44927</v>
      </c>
      <c r="B52" t="s">
        <v>90</v>
      </c>
      <c r="C52" t="s">
        <v>91</v>
      </c>
      <c r="D52">
        <v>0</v>
      </c>
      <c r="E52">
        <v>0</v>
      </c>
      <c r="F52">
        <v>0</v>
      </c>
    </row>
    <row r="53" spans="1:6" x14ac:dyDescent="0.25">
      <c r="A53" s="1">
        <v>44927</v>
      </c>
      <c r="B53" t="s">
        <v>92</v>
      </c>
      <c r="C53" t="s">
        <v>93</v>
      </c>
      <c r="D53" s="2">
        <v>50000</v>
      </c>
      <c r="E53" s="2">
        <v>23535.599999999999</v>
      </c>
      <c r="F53">
        <v>0</v>
      </c>
    </row>
    <row r="54" spans="1:6" x14ac:dyDescent="0.25">
      <c r="A54" s="1">
        <v>44927</v>
      </c>
      <c r="B54" t="s">
        <v>94</v>
      </c>
      <c r="C54" t="s">
        <v>95</v>
      </c>
      <c r="D54">
        <v>0</v>
      </c>
      <c r="E54">
        <v>0</v>
      </c>
      <c r="F54">
        <v>0</v>
      </c>
    </row>
    <row r="55" spans="1:6" x14ac:dyDescent="0.25">
      <c r="A55" s="1">
        <v>44927</v>
      </c>
      <c r="B55" t="s">
        <v>96</v>
      </c>
      <c r="C55" t="s">
        <v>97</v>
      </c>
      <c r="D55">
        <v>0</v>
      </c>
      <c r="E55">
        <v>0</v>
      </c>
      <c r="F55">
        <v>0</v>
      </c>
    </row>
    <row r="56" spans="1:6" x14ac:dyDescent="0.25">
      <c r="A56" s="1">
        <v>44927</v>
      </c>
      <c r="B56" t="s">
        <v>98</v>
      </c>
      <c r="C56" t="s">
        <v>99</v>
      </c>
      <c r="D56">
        <v>0</v>
      </c>
      <c r="E56">
        <v>0</v>
      </c>
      <c r="F56">
        <v>0</v>
      </c>
    </row>
    <row r="57" spans="1:6" x14ac:dyDescent="0.25">
      <c r="A57" s="1">
        <v>44927</v>
      </c>
      <c r="B57" t="s">
        <v>100</v>
      </c>
      <c r="C57" t="s">
        <v>72</v>
      </c>
      <c r="D57">
        <v>0</v>
      </c>
      <c r="E57">
        <v>0</v>
      </c>
      <c r="F57">
        <v>0</v>
      </c>
    </row>
    <row r="58" spans="1:6" x14ac:dyDescent="0.25">
      <c r="A58" s="1">
        <v>44927</v>
      </c>
      <c r="B58" t="s">
        <v>101</v>
      </c>
      <c r="C58" t="s">
        <v>102</v>
      </c>
      <c r="D58">
        <v>0</v>
      </c>
      <c r="E58">
        <v>0</v>
      </c>
      <c r="F58">
        <v>0</v>
      </c>
    </row>
    <row r="59" spans="1:6" x14ac:dyDescent="0.25">
      <c r="A59" s="1">
        <v>44927</v>
      </c>
      <c r="B59" t="s">
        <v>103</v>
      </c>
      <c r="C59" t="s">
        <v>104</v>
      </c>
      <c r="D59" s="2">
        <v>2000000000</v>
      </c>
      <c r="E59" s="2">
        <v>150000000</v>
      </c>
      <c r="F59" s="2">
        <v>150000000</v>
      </c>
    </row>
    <row r="60" spans="1:6" x14ac:dyDescent="0.25">
      <c r="A60" s="1">
        <v>44927</v>
      </c>
      <c r="B60" t="s">
        <v>105</v>
      </c>
      <c r="C60" t="s">
        <v>106</v>
      </c>
      <c r="D60">
        <v>0</v>
      </c>
      <c r="E60">
        <v>0</v>
      </c>
      <c r="F60">
        <v>0</v>
      </c>
    </row>
    <row r="61" spans="1:6" x14ac:dyDescent="0.25">
      <c r="A61" s="1">
        <v>44927</v>
      </c>
      <c r="B61" t="s">
        <v>107</v>
      </c>
      <c r="C61" t="s">
        <v>108</v>
      </c>
      <c r="D61" s="2">
        <v>4000000</v>
      </c>
      <c r="E61">
        <v>0</v>
      </c>
      <c r="F61">
        <v>0</v>
      </c>
    </row>
    <row r="62" spans="1:6" x14ac:dyDescent="0.25">
      <c r="A62" s="1">
        <v>44927</v>
      </c>
      <c r="B62" t="s">
        <v>42</v>
      </c>
      <c r="C62" t="s">
        <v>109</v>
      </c>
      <c r="D62">
        <v>0</v>
      </c>
      <c r="E62">
        <v>0</v>
      </c>
      <c r="F62">
        <v>0</v>
      </c>
    </row>
    <row r="63" spans="1:6" x14ac:dyDescent="0.25">
      <c r="A63" s="1">
        <v>44927</v>
      </c>
      <c r="B63" t="s">
        <v>42</v>
      </c>
      <c r="C63" t="s">
        <v>110</v>
      </c>
      <c r="D63">
        <v>0</v>
      </c>
      <c r="E63">
        <v>0</v>
      </c>
      <c r="F63">
        <v>0</v>
      </c>
    </row>
    <row r="64" spans="1:6" x14ac:dyDescent="0.25">
      <c r="A64" s="1">
        <v>44927</v>
      </c>
      <c r="B64" t="s">
        <v>15</v>
      </c>
      <c r="C64" t="s">
        <v>111</v>
      </c>
      <c r="D64">
        <v>0</v>
      </c>
      <c r="E64">
        <v>0</v>
      </c>
      <c r="F64">
        <v>0</v>
      </c>
    </row>
    <row r="65" spans="1:6" x14ac:dyDescent="0.25">
      <c r="A65" s="1">
        <v>44927</v>
      </c>
      <c r="B65" t="s">
        <v>112</v>
      </c>
      <c r="C65" t="s">
        <v>113</v>
      </c>
      <c r="D65">
        <v>0</v>
      </c>
      <c r="E65">
        <v>0</v>
      </c>
      <c r="F65">
        <v>0</v>
      </c>
    </row>
    <row r="66" spans="1:6" x14ac:dyDescent="0.25">
      <c r="A66" s="1">
        <v>44927</v>
      </c>
      <c r="B66" t="s">
        <v>114</v>
      </c>
      <c r="C66" t="s">
        <v>115</v>
      </c>
      <c r="D66">
        <v>0</v>
      </c>
      <c r="E66">
        <v>0</v>
      </c>
      <c r="F66">
        <v>0</v>
      </c>
    </row>
    <row r="67" spans="1:6" x14ac:dyDescent="0.25">
      <c r="A67" s="1">
        <v>44927</v>
      </c>
      <c r="B67" t="s">
        <v>11</v>
      </c>
      <c r="C67" t="s">
        <v>116</v>
      </c>
      <c r="D67" s="2">
        <v>126519922358</v>
      </c>
      <c r="E67" s="2">
        <v>6396075671</v>
      </c>
      <c r="F67" s="2">
        <v>6396075671</v>
      </c>
    </row>
    <row r="68" spans="1:6" x14ac:dyDescent="0.25">
      <c r="A68" s="1">
        <v>44927</v>
      </c>
      <c r="B68" t="s">
        <v>23</v>
      </c>
      <c r="C68" t="s">
        <v>117</v>
      </c>
      <c r="D68" s="2">
        <v>108600</v>
      </c>
      <c r="E68" s="2">
        <v>1248.29</v>
      </c>
      <c r="F68" s="2">
        <v>1248.29</v>
      </c>
    </row>
    <row r="69" spans="1:6" x14ac:dyDescent="0.25">
      <c r="A69" s="1">
        <v>44927</v>
      </c>
      <c r="B69" t="s">
        <v>118</v>
      </c>
      <c r="C69" t="s">
        <v>119</v>
      </c>
      <c r="D69">
        <v>0</v>
      </c>
      <c r="E69">
        <v>0</v>
      </c>
      <c r="F69">
        <v>0</v>
      </c>
    </row>
    <row r="70" spans="1:6" x14ac:dyDescent="0.25">
      <c r="A70" s="1">
        <v>44927</v>
      </c>
      <c r="B70" t="s">
        <v>70</v>
      </c>
      <c r="C70" t="s">
        <v>73</v>
      </c>
      <c r="D70">
        <v>0</v>
      </c>
      <c r="E70">
        <v>0</v>
      </c>
      <c r="F70">
        <v>0</v>
      </c>
    </row>
    <row r="71" spans="1:6" x14ac:dyDescent="0.25">
      <c r="A71" s="1">
        <v>44927</v>
      </c>
      <c r="B71" t="s">
        <v>120</v>
      </c>
      <c r="C71" t="s">
        <v>121</v>
      </c>
      <c r="D71">
        <v>0</v>
      </c>
      <c r="E71">
        <v>0</v>
      </c>
      <c r="F71">
        <v>0</v>
      </c>
    </row>
    <row r="72" spans="1:6" x14ac:dyDescent="0.25">
      <c r="A72" s="1">
        <v>44927</v>
      </c>
      <c r="B72" t="s">
        <v>21</v>
      </c>
      <c r="C72" t="s">
        <v>122</v>
      </c>
      <c r="D72">
        <v>0</v>
      </c>
      <c r="E72">
        <v>0</v>
      </c>
      <c r="F72">
        <v>0</v>
      </c>
    </row>
    <row r="73" spans="1:6" x14ac:dyDescent="0.25">
      <c r="A73" s="1">
        <v>44927</v>
      </c>
      <c r="B73" t="s">
        <v>21</v>
      </c>
      <c r="C73" t="s">
        <v>123</v>
      </c>
      <c r="D73" s="2">
        <v>17242706</v>
      </c>
      <c r="E73">
        <v>0</v>
      </c>
      <c r="F73">
        <v>0</v>
      </c>
    </row>
    <row r="74" spans="1:6" x14ac:dyDescent="0.25">
      <c r="A74" s="1">
        <v>44927</v>
      </c>
      <c r="B74" t="s">
        <v>7</v>
      </c>
      <c r="C74" t="s">
        <v>124</v>
      </c>
      <c r="D74" s="2">
        <v>12666559</v>
      </c>
      <c r="E74" s="2">
        <v>1305741.8</v>
      </c>
      <c r="F74" s="2">
        <v>1305741.8</v>
      </c>
    </row>
    <row r="75" spans="1:6" x14ac:dyDescent="0.25">
      <c r="A75" s="1">
        <v>44927</v>
      </c>
      <c r="B75" t="s">
        <v>125</v>
      </c>
      <c r="C75" t="s">
        <v>126</v>
      </c>
      <c r="D75" s="2">
        <v>16473.04</v>
      </c>
      <c r="E75">
        <v>0</v>
      </c>
      <c r="F75">
        <v>0</v>
      </c>
    </row>
    <row r="76" spans="1:6" x14ac:dyDescent="0.25">
      <c r="A76" s="1">
        <v>44927</v>
      </c>
      <c r="B76" t="s">
        <v>127</v>
      </c>
      <c r="C76" t="s">
        <v>128</v>
      </c>
      <c r="D76">
        <v>0</v>
      </c>
      <c r="E76">
        <v>0</v>
      </c>
      <c r="F76">
        <v>0</v>
      </c>
    </row>
    <row r="77" spans="1:6" x14ac:dyDescent="0.25">
      <c r="A77" s="1">
        <v>44927</v>
      </c>
      <c r="B77" t="s">
        <v>40</v>
      </c>
      <c r="C77" t="s">
        <v>129</v>
      </c>
      <c r="D77">
        <v>0</v>
      </c>
      <c r="E77">
        <v>0</v>
      </c>
      <c r="F77">
        <v>0</v>
      </c>
    </row>
    <row r="78" spans="1:6" x14ac:dyDescent="0.25">
      <c r="A78" s="1">
        <v>44927</v>
      </c>
      <c r="B78" t="s">
        <v>9</v>
      </c>
      <c r="C78" t="s">
        <v>130</v>
      </c>
      <c r="D78">
        <v>0</v>
      </c>
      <c r="E78">
        <v>0</v>
      </c>
      <c r="F78">
        <v>0</v>
      </c>
    </row>
    <row r="79" spans="1:6" x14ac:dyDescent="0.25">
      <c r="A79" s="1">
        <v>44927</v>
      </c>
      <c r="B79" t="s">
        <v>23</v>
      </c>
      <c r="C79" t="s">
        <v>131</v>
      </c>
      <c r="D79" s="2">
        <v>3644.39</v>
      </c>
      <c r="E79" s="2">
        <v>1474.39</v>
      </c>
      <c r="F79">
        <v>0</v>
      </c>
    </row>
    <row r="80" spans="1:6" x14ac:dyDescent="0.25">
      <c r="A80" s="1">
        <v>44927</v>
      </c>
      <c r="B80" t="s">
        <v>132</v>
      </c>
      <c r="C80" t="s">
        <v>133</v>
      </c>
      <c r="D80">
        <v>0</v>
      </c>
      <c r="E80">
        <v>0</v>
      </c>
      <c r="F80">
        <v>0</v>
      </c>
    </row>
    <row r="81" spans="1:6" x14ac:dyDescent="0.25">
      <c r="A81" s="1">
        <v>44927</v>
      </c>
      <c r="B81" t="s">
        <v>37</v>
      </c>
      <c r="C81" t="s">
        <v>134</v>
      </c>
      <c r="D81">
        <v>0</v>
      </c>
      <c r="E81">
        <v>0</v>
      </c>
      <c r="F81">
        <v>0</v>
      </c>
    </row>
    <row r="82" spans="1:6" x14ac:dyDescent="0.25">
      <c r="A82" s="1">
        <v>44927</v>
      </c>
      <c r="B82" t="s">
        <v>40</v>
      </c>
      <c r="C82" t="s">
        <v>135</v>
      </c>
      <c r="D82" s="2">
        <v>861843.62</v>
      </c>
      <c r="E82" s="2">
        <v>430921.81</v>
      </c>
      <c r="F82">
        <v>0</v>
      </c>
    </row>
    <row r="83" spans="1:6" x14ac:dyDescent="0.25">
      <c r="A83" s="1">
        <v>44927</v>
      </c>
      <c r="B83" t="s">
        <v>114</v>
      </c>
      <c r="C83" t="s">
        <v>136</v>
      </c>
      <c r="D83">
        <v>0</v>
      </c>
      <c r="E83">
        <v>0</v>
      </c>
      <c r="F83">
        <v>0</v>
      </c>
    </row>
    <row r="84" spans="1:6" x14ac:dyDescent="0.25">
      <c r="A84" s="1">
        <v>44927</v>
      </c>
      <c r="B84" t="s">
        <v>68</v>
      </c>
      <c r="C84" t="s">
        <v>137</v>
      </c>
      <c r="D84" s="2">
        <v>73484557.370000005</v>
      </c>
      <c r="E84" s="2">
        <v>2017400.21</v>
      </c>
      <c r="F84" s="2">
        <v>2002020.83</v>
      </c>
    </row>
    <row r="85" spans="1:6" x14ac:dyDescent="0.25">
      <c r="A85" s="1">
        <v>44927</v>
      </c>
      <c r="B85" t="s">
        <v>25</v>
      </c>
      <c r="C85" t="s">
        <v>138</v>
      </c>
      <c r="D85">
        <v>0</v>
      </c>
      <c r="E85">
        <v>0</v>
      </c>
      <c r="F85">
        <v>0</v>
      </c>
    </row>
    <row r="86" spans="1:6" x14ac:dyDescent="0.25">
      <c r="A86" s="1">
        <v>44927</v>
      </c>
      <c r="B86" t="s">
        <v>11</v>
      </c>
      <c r="C86" t="s">
        <v>139</v>
      </c>
      <c r="D86" s="2">
        <v>4000000000</v>
      </c>
      <c r="E86" s="2">
        <v>332230811.08999997</v>
      </c>
      <c r="F86" s="2">
        <v>332230811.08999997</v>
      </c>
    </row>
    <row r="87" spans="1:6" x14ac:dyDescent="0.25">
      <c r="A87" s="1">
        <v>44927</v>
      </c>
      <c r="B87" t="s">
        <v>132</v>
      </c>
      <c r="C87" t="s">
        <v>140</v>
      </c>
      <c r="D87" s="2">
        <v>23776576.940000001</v>
      </c>
      <c r="E87" s="2">
        <v>5315276.46</v>
      </c>
      <c r="F87" s="2">
        <v>1218791.1599999999</v>
      </c>
    </row>
    <row r="88" spans="1:6" x14ac:dyDescent="0.25">
      <c r="A88" s="1">
        <v>44927</v>
      </c>
      <c r="B88" t="s">
        <v>70</v>
      </c>
      <c r="C88" t="s">
        <v>141</v>
      </c>
      <c r="D88" s="2">
        <v>212061.63</v>
      </c>
      <c r="E88" s="2">
        <v>66510.850000000006</v>
      </c>
      <c r="F88" s="2">
        <v>66418.47</v>
      </c>
    </row>
    <row r="89" spans="1:6" x14ac:dyDescent="0.25">
      <c r="A89" s="1">
        <v>44927</v>
      </c>
      <c r="B89" t="s">
        <v>29</v>
      </c>
      <c r="C89" t="s">
        <v>73</v>
      </c>
      <c r="D89">
        <v>0</v>
      </c>
      <c r="E89">
        <v>0</v>
      </c>
      <c r="F89">
        <v>0</v>
      </c>
    </row>
    <row r="90" spans="1:6" x14ac:dyDescent="0.25">
      <c r="A90" s="1">
        <v>44927</v>
      </c>
      <c r="B90" t="s">
        <v>63</v>
      </c>
      <c r="C90" t="s">
        <v>142</v>
      </c>
      <c r="D90">
        <v>0</v>
      </c>
      <c r="E90">
        <v>0</v>
      </c>
      <c r="F90">
        <v>0</v>
      </c>
    </row>
    <row r="91" spans="1:6" x14ac:dyDescent="0.25">
      <c r="A91" s="1">
        <v>44927</v>
      </c>
      <c r="B91" t="s">
        <v>143</v>
      </c>
      <c r="C91" t="s">
        <v>144</v>
      </c>
      <c r="D91" s="2">
        <v>2055500</v>
      </c>
      <c r="E91" s="2">
        <v>2055500</v>
      </c>
      <c r="F91" s="2">
        <v>2055500</v>
      </c>
    </row>
    <row r="92" spans="1:6" x14ac:dyDescent="0.25">
      <c r="A92" s="1">
        <v>44927</v>
      </c>
      <c r="B92" t="s">
        <v>17</v>
      </c>
      <c r="C92" t="s">
        <v>145</v>
      </c>
      <c r="D92">
        <v>0</v>
      </c>
      <c r="E92">
        <v>0</v>
      </c>
      <c r="F92">
        <v>0</v>
      </c>
    </row>
    <row r="93" spans="1:6" x14ac:dyDescent="0.25">
      <c r="A93" s="1">
        <v>44927</v>
      </c>
      <c r="B93" t="s">
        <v>50</v>
      </c>
      <c r="C93" t="s">
        <v>146</v>
      </c>
      <c r="D93">
        <v>0</v>
      </c>
      <c r="E93">
        <v>0</v>
      </c>
      <c r="F93">
        <v>0</v>
      </c>
    </row>
    <row r="94" spans="1:6" x14ac:dyDescent="0.25">
      <c r="A94" s="1">
        <v>44927</v>
      </c>
      <c r="B94" t="s">
        <v>107</v>
      </c>
      <c r="C94" t="s">
        <v>147</v>
      </c>
      <c r="D94">
        <v>0</v>
      </c>
      <c r="E94">
        <v>0</v>
      </c>
      <c r="F94">
        <v>0</v>
      </c>
    </row>
    <row r="95" spans="1:6" x14ac:dyDescent="0.25">
      <c r="A95" s="1">
        <v>44927</v>
      </c>
      <c r="B95" t="s">
        <v>40</v>
      </c>
      <c r="C95" t="s">
        <v>148</v>
      </c>
      <c r="D95">
        <v>0</v>
      </c>
      <c r="E95">
        <v>0</v>
      </c>
      <c r="F95">
        <v>0</v>
      </c>
    </row>
    <row r="96" spans="1:6" x14ac:dyDescent="0.25">
      <c r="A96" s="1">
        <v>44927</v>
      </c>
      <c r="B96" t="s">
        <v>40</v>
      </c>
      <c r="C96" t="s">
        <v>149</v>
      </c>
      <c r="D96" s="2">
        <v>2439101.7799999998</v>
      </c>
      <c r="E96" s="2">
        <v>2047188.09</v>
      </c>
      <c r="F96" s="2">
        <v>2047188.09</v>
      </c>
    </row>
    <row r="97" spans="1:6" x14ac:dyDescent="0.25">
      <c r="A97" s="1">
        <v>44927</v>
      </c>
      <c r="B97" t="s">
        <v>105</v>
      </c>
      <c r="C97" t="s">
        <v>150</v>
      </c>
      <c r="D97">
        <v>0</v>
      </c>
      <c r="E97">
        <v>0</v>
      </c>
      <c r="F97">
        <v>0</v>
      </c>
    </row>
    <row r="98" spans="1:6" x14ac:dyDescent="0.25">
      <c r="A98" s="1">
        <v>44927</v>
      </c>
      <c r="B98" t="s">
        <v>37</v>
      </c>
      <c r="C98" t="s">
        <v>151</v>
      </c>
      <c r="D98" s="2">
        <v>8000000</v>
      </c>
      <c r="E98">
        <v>0</v>
      </c>
      <c r="F98">
        <v>0</v>
      </c>
    </row>
    <row r="99" spans="1:6" x14ac:dyDescent="0.25">
      <c r="A99" s="1">
        <v>44927</v>
      </c>
      <c r="B99" t="s">
        <v>46</v>
      </c>
      <c r="C99" t="s">
        <v>152</v>
      </c>
      <c r="D99">
        <v>0</v>
      </c>
      <c r="E99">
        <v>0</v>
      </c>
      <c r="F99">
        <v>0</v>
      </c>
    </row>
    <row r="100" spans="1:6" x14ac:dyDescent="0.25">
      <c r="A100" s="1">
        <v>44927</v>
      </c>
      <c r="B100" t="s">
        <v>107</v>
      </c>
      <c r="C100" t="s">
        <v>153</v>
      </c>
      <c r="D100">
        <v>0</v>
      </c>
      <c r="E100">
        <v>0</v>
      </c>
      <c r="F100">
        <v>0</v>
      </c>
    </row>
    <row r="101" spans="1:6" x14ac:dyDescent="0.25">
      <c r="A101" s="1">
        <v>44927</v>
      </c>
      <c r="B101" t="s">
        <v>154</v>
      </c>
      <c r="C101" t="s">
        <v>155</v>
      </c>
      <c r="D101" s="2">
        <v>117193.33</v>
      </c>
      <c r="E101">
        <v>968.34</v>
      </c>
      <c r="F101">
        <v>968.34</v>
      </c>
    </row>
    <row r="102" spans="1:6" x14ac:dyDescent="0.25">
      <c r="A102" s="1">
        <v>44927</v>
      </c>
      <c r="B102" t="s">
        <v>19</v>
      </c>
      <c r="C102" t="s">
        <v>156</v>
      </c>
      <c r="D102" s="2">
        <v>5070130.1900000004</v>
      </c>
      <c r="E102" s="2">
        <v>9408.0400000000009</v>
      </c>
      <c r="F102" s="2">
        <v>9408.0400000000009</v>
      </c>
    </row>
    <row r="103" spans="1:6" x14ac:dyDescent="0.25">
      <c r="A103" s="1">
        <v>44927</v>
      </c>
      <c r="B103" t="s">
        <v>23</v>
      </c>
      <c r="C103" t="s">
        <v>157</v>
      </c>
      <c r="D103" s="2">
        <v>60000</v>
      </c>
      <c r="E103">
        <v>0</v>
      </c>
      <c r="F103">
        <v>0</v>
      </c>
    </row>
    <row r="104" spans="1:6" x14ac:dyDescent="0.25">
      <c r="A104" s="1">
        <v>44927</v>
      </c>
      <c r="B104" t="s">
        <v>90</v>
      </c>
      <c r="C104" t="s">
        <v>158</v>
      </c>
      <c r="D104">
        <v>0</v>
      </c>
      <c r="E104">
        <v>0</v>
      </c>
      <c r="F104">
        <v>0</v>
      </c>
    </row>
    <row r="105" spans="1:6" x14ac:dyDescent="0.25">
      <c r="A105" s="1">
        <v>44927</v>
      </c>
      <c r="B105" t="s">
        <v>159</v>
      </c>
      <c r="C105" t="s">
        <v>160</v>
      </c>
      <c r="D105">
        <v>0</v>
      </c>
      <c r="E105">
        <v>0</v>
      </c>
      <c r="F105">
        <v>0</v>
      </c>
    </row>
    <row r="106" spans="1:6" x14ac:dyDescent="0.25">
      <c r="A106" s="1">
        <v>44927</v>
      </c>
      <c r="B106" t="s">
        <v>154</v>
      </c>
      <c r="C106" t="s">
        <v>161</v>
      </c>
      <c r="D106" s="2">
        <v>140677.23000000001</v>
      </c>
      <c r="E106" s="2">
        <v>46698.68</v>
      </c>
      <c r="F106" s="2">
        <v>44593.52</v>
      </c>
    </row>
    <row r="107" spans="1:6" x14ac:dyDescent="0.25">
      <c r="A107" s="1">
        <v>44927</v>
      </c>
      <c r="B107" t="s">
        <v>162</v>
      </c>
      <c r="C107" t="s">
        <v>163</v>
      </c>
      <c r="D107">
        <v>0</v>
      </c>
      <c r="E107">
        <v>0</v>
      </c>
      <c r="F107">
        <v>0</v>
      </c>
    </row>
    <row r="108" spans="1:6" x14ac:dyDescent="0.25">
      <c r="A108" s="1">
        <v>44927</v>
      </c>
      <c r="B108" t="s">
        <v>164</v>
      </c>
      <c r="C108" t="s">
        <v>165</v>
      </c>
      <c r="D108">
        <v>0</v>
      </c>
      <c r="E108">
        <v>0</v>
      </c>
      <c r="F108">
        <v>0</v>
      </c>
    </row>
    <row r="109" spans="1:6" x14ac:dyDescent="0.25">
      <c r="A109" s="1">
        <v>44927</v>
      </c>
      <c r="B109" t="s">
        <v>42</v>
      </c>
      <c r="C109" t="s">
        <v>166</v>
      </c>
      <c r="D109" s="2">
        <v>11762.19</v>
      </c>
      <c r="E109" s="2">
        <v>11762.19</v>
      </c>
      <c r="F109" s="2">
        <v>11762.19</v>
      </c>
    </row>
    <row r="110" spans="1:6" x14ac:dyDescent="0.25">
      <c r="A110" s="1">
        <v>44927</v>
      </c>
      <c r="B110" t="s">
        <v>31</v>
      </c>
      <c r="C110" t="s">
        <v>167</v>
      </c>
      <c r="D110">
        <v>0</v>
      </c>
      <c r="E110">
        <v>0</v>
      </c>
      <c r="F110">
        <v>0</v>
      </c>
    </row>
    <row r="111" spans="1:6" x14ac:dyDescent="0.25">
      <c r="A111" s="1">
        <v>44927</v>
      </c>
      <c r="B111" t="s">
        <v>19</v>
      </c>
      <c r="C111" t="s">
        <v>168</v>
      </c>
      <c r="D111" s="2">
        <v>6693511.1100000003</v>
      </c>
      <c r="E111" s="2">
        <v>31013.56</v>
      </c>
      <c r="F111" s="2">
        <v>31013.56</v>
      </c>
    </row>
    <row r="112" spans="1:6" x14ac:dyDescent="0.25">
      <c r="A112" s="1">
        <v>44927</v>
      </c>
      <c r="B112" t="s">
        <v>118</v>
      </c>
      <c r="C112" t="s">
        <v>169</v>
      </c>
      <c r="D112">
        <v>0</v>
      </c>
      <c r="E112">
        <v>0</v>
      </c>
      <c r="F112">
        <v>0</v>
      </c>
    </row>
    <row r="113" spans="1:6" x14ac:dyDescent="0.25">
      <c r="A113" s="1">
        <v>44927</v>
      </c>
      <c r="B113" t="s">
        <v>21</v>
      </c>
      <c r="C113" t="s">
        <v>170</v>
      </c>
      <c r="D113">
        <v>0</v>
      </c>
      <c r="E113">
        <v>0</v>
      </c>
      <c r="F113">
        <v>0</v>
      </c>
    </row>
    <row r="114" spans="1:6" x14ac:dyDescent="0.25">
      <c r="A114" s="1">
        <v>44927</v>
      </c>
      <c r="B114" t="s">
        <v>127</v>
      </c>
      <c r="C114" t="s">
        <v>171</v>
      </c>
      <c r="D114" s="2">
        <v>138666.67000000001</v>
      </c>
      <c r="E114">
        <v>0</v>
      </c>
      <c r="F114">
        <v>0</v>
      </c>
    </row>
    <row r="115" spans="1:6" x14ac:dyDescent="0.25">
      <c r="A115" s="1">
        <v>44927</v>
      </c>
      <c r="B115" t="s">
        <v>118</v>
      </c>
      <c r="C115" t="s">
        <v>172</v>
      </c>
      <c r="D115">
        <v>0</v>
      </c>
      <c r="E115">
        <v>0</v>
      </c>
      <c r="F115">
        <v>0</v>
      </c>
    </row>
    <row r="116" spans="1:6" x14ac:dyDescent="0.25">
      <c r="A116" s="1">
        <v>44927</v>
      </c>
      <c r="B116" t="s">
        <v>21</v>
      </c>
      <c r="C116" t="s">
        <v>173</v>
      </c>
      <c r="D116">
        <v>0</v>
      </c>
      <c r="E116">
        <v>0</v>
      </c>
      <c r="F116">
        <v>0</v>
      </c>
    </row>
    <row r="117" spans="1:6" x14ac:dyDescent="0.25">
      <c r="A117" s="1">
        <v>44927</v>
      </c>
      <c r="B117" t="s">
        <v>42</v>
      </c>
      <c r="C117" t="s">
        <v>174</v>
      </c>
      <c r="D117" s="2">
        <v>4813111</v>
      </c>
      <c r="E117" s="2">
        <v>4813111</v>
      </c>
      <c r="F117" s="2">
        <v>4813111</v>
      </c>
    </row>
    <row r="118" spans="1:6" x14ac:dyDescent="0.25">
      <c r="A118" s="1">
        <v>44927</v>
      </c>
      <c r="B118" t="s">
        <v>48</v>
      </c>
      <c r="C118" t="s">
        <v>175</v>
      </c>
      <c r="D118">
        <v>0</v>
      </c>
      <c r="E118">
        <v>0</v>
      </c>
      <c r="F118">
        <v>0</v>
      </c>
    </row>
    <row r="119" spans="1:6" x14ac:dyDescent="0.25">
      <c r="A119" s="1">
        <v>44927</v>
      </c>
      <c r="B119" t="s">
        <v>176</v>
      </c>
      <c r="C119" t="s">
        <v>177</v>
      </c>
      <c r="D119">
        <v>0</v>
      </c>
      <c r="E119">
        <v>0</v>
      </c>
      <c r="F119">
        <v>0</v>
      </c>
    </row>
    <row r="120" spans="1:6" x14ac:dyDescent="0.25">
      <c r="A120" s="1">
        <v>44927</v>
      </c>
      <c r="B120" t="s">
        <v>162</v>
      </c>
      <c r="C120" t="s">
        <v>178</v>
      </c>
      <c r="D120" s="2">
        <v>16970817.149999999</v>
      </c>
      <c r="E120" s="2">
        <v>16666663.48</v>
      </c>
      <c r="F120" s="2">
        <v>16666663.48</v>
      </c>
    </row>
    <row r="121" spans="1:6" x14ac:dyDescent="0.25">
      <c r="A121" s="1">
        <v>44927</v>
      </c>
      <c r="B121" t="s">
        <v>164</v>
      </c>
      <c r="C121" t="s">
        <v>179</v>
      </c>
      <c r="D121">
        <v>0</v>
      </c>
      <c r="E121">
        <v>0</v>
      </c>
      <c r="F121">
        <v>0</v>
      </c>
    </row>
    <row r="122" spans="1:6" x14ac:dyDescent="0.25">
      <c r="A122" s="1">
        <v>44927</v>
      </c>
      <c r="B122" t="s">
        <v>29</v>
      </c>
      <c r="C122" t="s">
        <v>180</v>
      </c>
      <c r="D122">
        <v>0</v>
      </c>
      <c r="E122">
        <v>0</v>
      </c>
      <c r="F122">
        <v>0</v>
      </c>
    </row>
    <row r="123" spans="1:6" x14ac:dyDescent="0.25">
      <c r="A123" s="1">
        <v>44927</v>
      </c>
      <c r="B123" t="s">
        <v>181</v>
      </c>
      <c r="C123" t="s">
        <v>182</v>
      </c>
      <c r="D123">
        <v>0</v>
      </c>
      <c r="E123">
        <v>0</v>
      </c>
      <c r="F123">
        <v>0</v>
      </c>
    </row>
    <row r="124" spans="1:6" x14ac:dyDescent="0.25">
      <c r="A124" s="1">
        <v>44927</v>
      </c>
      <c r="B124" t="s">
        <v>48</v>
      </c>
      <c r="C124" t="s">
        <v>183</v>
      </c>
      <c r="D124">
        <v>0</v>
      </c>
      <c r="E124">
        <v>0</v>
      </c>
      <c r="F124">
        <v>0</v>
      </c>
    </row>
    <row r="125" spans="1:6" x14ac:dyDescent="0.25">
      <c r="A125" s="1">
        <v>44927</v>
      </c>
      <c r="B125" t="s">
        <v>21</v>
      </c>
      <c r="C125" t="s">
        <v>184</v>
      </c>
      <c r="D125">
        <v>0</v>
      </c>
      <c r="E125">
        <v>0</v>
      </c>
      <c r="F125">
        <v>0</v>
      </c>
    </row>
    <row r="126" spans="1:6" x14ac:dyDescent="0.25">
      <c r="A126" s="1">
        <v>44927</v>
      </c>
      <c r="B126" t="s">
        <v>185</v>
      </c>
      <c r="C126" t="s">
        <v>186</v>
      </c>
      <c r="D126" s="2">
        <v>124215.33</v>
      </c>
      <c r="E126" s="2">
        <v>124215.33</v>
      </c>
      <c r="F126" s="2">
        <v>124215.33</v>
      </c>
    </row>
    <row r="127" spans="1:6" x14ac:dyDescent="0.25">
      <c r="A127" s="1">
        <v>44927</v>
      </c>
      <c r="B127" t="s">
        <v>187</v>
      </c>
      <c r="C127" t="s">
        <v>188</v>
      </c>
      <c r="D127" s="2">
        <v>1052946.31</v>
      </c>
      <c r="E127">
        <v>0</v>
      </c>
      <c r="F127">
        <v>0</v>
      </c>
    </row>
    <row r="128" spans="1:6" x14ac:dyDescent="0.25">
      <c r="A128" s="1">
        <v>44927</v>
      </c>
      <c r="B128" t="s">
        <v>107</v>
      </c>
      <c r="C128" t="s">
        <v>189</v>
      </c>
      <c r="D128" s="2">
        <v>3860800</v>
      </c>
      <c r="E128" s="2">
        <v>3851200</v>
      </c>
      <c r="F128">
        <v>0</v>
      </c>
    </row>
    <row r="129" spans="1:6" x14ac:dyDescent="0.25">
      <c r="A129" s="1">
        <v>44927</v>
      </c>
      <c r="B129" t="s">
        <v>185</v>
      </c>
      <c r="C129" t="s">
        <v>190</v>
      </c>
      <c r="D129" s="2">
        <v>2548040.79</v>
      </c>
      <c r="E129" s="2">
        <v>19456.64</v>
      </c>
      <c r="F129" s="2">
        <v>19456.64</v>
      </c>
    </row>
    <row r="130" spans="1:6" x14ac:dyDescent="0.25">
      <c r="A130" s="1">
        <v>44927</v>
      </c>
      <c r="B130" t="s">
        <v>21</v>
      </c>
      <c r="C130" t="s">
        <v>191</v>
      </c>
      <c r="D130">
        <v>0</v>
      </c>
      <c r="E130">
        <v>0</v>
      </c>
      <c r="F130">
        <v>0</v>
      </c>
    </row>
    <row r="131" spans="1:6" x14ac:dyDescent="0.25">
      <c r="A131" s="1">
        <v>44927</v>
      </c>
      <c r="B131" t="s">
        <v>31</v>
      </c>
      <c r="C131" t="s">
        <v>192</v>
      </c>
      <c r="D131">
        <v>0</v>
      </c>
      <c r="E131">
        <v>0</v>
      </c>
      <c r="F131">
        <v>0</v>
      </c>
    </row>
    <row r="132" spans="1:6" x14ac:dyDescent="0.25">
      <c r="A132" s="1">
        <v>44927</v>
      </c>
      <c r="B132" t="s">
        <v>193</v>
      </c>
      <c r="C132" t="s">
        <v>194</v>
      </c>
      <c r="D132" s="2">
        <v>3581479612.1900001</v>
      </c>
      <c r="E132" s="2">
        <v>3581479612.1900001</v>
      </c>
      <c r="F132" s="2">
        <v>3581479612.1900001</v>
      </c>
    </row>
    <row r="133" spans="1:6" x14ac:dyDescent="0.25">
      <c r="A133" s="1">
        <v>44927</v>
      </c>
      <c r="B133" t="s">
        <v>11</v>
      </c>
      <c r="C133" t="s">
        <v>195</v>
      </c>
      <c r="D133" s="2">
        <v>160804764.53</v>
      </c>
      <c r="E133" s="2">
        <v>160700448.56</v>
      </c>
      <c r="F133" s="2">
        <v>-39964.160000000003</v>
      </c>
    </row>
    <row r="134" spans="1:6" x14ac:dyDescent="0.25">
      <c r="A134" s="1">
        <v>44927</v>
      </c>
      <c r="B134" t="s">
        <v>196</v>
      </c>
      <c r="C134" t="s">
        <v>197</v>
      </c>
      <c r="D134">
        <v>0</v>
      </c>
      <c r="E134">
        <v>0</v>
      </c>
      <c r="F134">
        <v>0</v>
      </c>
    </row>
    <row r="135" spans="1:6" x14ac:dyDescent="0.25">
      <c r="A135" s="1">
        <v>44927</v>
      </c>
      <c r="B135" t="s">
        <v>55</v>
      </c>
      <c r="C135" t="s">
        <v>198</v>
      </c>
      <c r="D135">
        <v>0</v>
      </c>
      <c r="E135">
        <v>0</v>
      </c>
      <c r="F135">
        <v>0</v>
      </c>
    </row>
    <row r="136" spans="1:6" x14ac:dyDescent="0.25">
      <c r="A136" s="1">
        <v>44927</v>
      </c>
      <c r="B136" t="s">
        <v>199</v>
      </c>
      <c r="C136" t="s">
        <v>200</v>
      </c>
      <c r="D136" s="2">
        <v>35000</v>
      </c>
      <c r="E136">
        <v>0</v>
      </c>
      <c r="F136">
        <v>0</v>
      </c>
    </row>
    <row r="137" spans="1:6" x14ac:dyDescent="0.25">
      <c r="A137" s="1">
        <v>44927</v>
      </c>
      <c r="B137" t="s">
        <v>65</v>
      </c>
      <c r="C137" t="s">
        <v>201</v>
      </c>
      <c r="D137" s="2">
        <v>360320.4</v>
      </c>
      <c r="E137">
        <v>0</v>
      </c>
      <c r="F137">
        <v>0</v>
      </c>
    </row>
    <row r="138" spans="1:6" x14ac:dyDescent="0.25">
      <c r="A138" s="1">
        <v>44927</v>
      </c>
      <c r="B138" t="s">
        <v>21</v>
      </c>
      <c r="C138" t="s">
        <v>202</v>
      </c>
      <c r="D138" s="2">
        <v>6253292</v>
      </c>
      <c r="E138">
        <v>0</v>
      </c>
      <c r="F138">
        <v>0</v>
      </c>
    </row>
    <row r="139" spans="1:6" x14ac:dyDescent="0.25">
      <c r="A139" s="1">
        <v>44927</v>
      </c>
      <c r="B139" t="s">
        <v>55</v>
      </c>
      <c r="C139" t="s">
        <v>203</v>
      </c>
      <c r="D139">
        <v>0</v>
      </c>
      <c r="E139">
        <v>0</v>
      </c>
      <c r="F139">
        <v>0</v>
      </c>
    </row>
    <row r="140" spans="1:6" x14ac:dyDescent="0.25">
      <c r="A140" s="1">
        <v>44927</v>
      </c>
      <c r="B140" t="s">
        <v>11</v>
      </c>
      <c r="C140" t="s">
        <v>204</v>
      </c>
      <c r="D140">
        <v>0</v>
      </c>
      <c r="E140">
        <v>0</v>
      </c>
      <c r="F140">
        <v>0</v>
      </c>
    </row>
    <row r="141" spans="1:6" x14ac:dyDescent="0.25">
      <c r="A141" s="1">
        <v>44927</v>
      </c>
      <c r="B141" t="s">
        <v>98</v>
      </c>
      <c r="C141" t="s">
        <v>205</v>
      </c>
      <c r="D141">
        <v>0</v>
      </c>
      <c r="E141">
        <v>0</v>
      </c>
      <c r="F141">
        <v>0</v>
      </c>
    </row>
    <row r="142" spans="1:6" x14ac:dyDescent="0.25">
      <c r="A142" s="1">
        <v>44927</v>
      </c>
      <c r="B142" t="s">
        <v>206</v>
      </c>
      <c r="C142" t="s">
        <v>207</v>
      </c>
      <c r="D142">
        <v>0</v>
      </c>
      <c r="E142">
        <v>0</v>
      </c>
      <c r="F142">
        <v>0</v>
      </c>
    </row>
    <row r="143" spans="1:6" x14ac:dyDescent="0.25">
      <c r="A143" s="1">
        <v>44927</v>
      </c>
      <c r="B143" t="s">
        <v>9</v>
      </c>
      <c r="C143" t="s">
        <v>182</v>
      </c>
      <c r="D143">
        <v>0</v>
      </c>
      <c r="E143">
        <v>0</v>
      </c>
      <c r="F143">
        <v>0</v>
      </c>
    </row>
    <row r="144" spans="1:6" x14ac:dyDescent="0.25">
      <c r="A144" s="1">
        <v>44927</v>
      </c>
      <c r="B144" t="s">
        <v>37</v>
      </c>
      <c r="C144" t="s">
        <v>208</v>
      </c>
      <c r="D144" s="2">
        <v>1795227154.46</v>
      </c>
      <c r="E144">
        <v>0</v>
      </c>
      <c r="F144">
        <v>0</v>
      </c>
    </row>
    <row r="145" spans="1:6" x14ac:dyDescent="0.25">
      <c r="A145" s="1">
        <v>44927</v>
      </c>
      <c r="B145" t="s">
        <v>209</v>
      </c>
      <c r="C145" t="s">
        <v>210</v>
      </c>
      <c r="D145">
        <v>0</v>
      </c>
      <c r="E145">
        <v>0</v>
      </c>
      <c r="F145">
        <v>0</v>
      </c>
    </row>
    <row r="146" spans="1:6" x14ac:dyDescent="0.25">
      <c r="A146" s="1">
        <v>44927</v>
      </c>
      <c r="B146" t="s">
        <v>21</v>
      </c>
      <c r="C146" t="s">
        <v>211</v>
      </c>
      <c r="D146">
        <v>0</v>
      </c>
      <c r="E146">
        <v>0</v>
      </c>
      <c r="F146">
        <v>0</v>
      </c>
    </row>
    <row r="147" spans="1:6" x14ac:dyDescent="0.25">
      <c r="A147" s="1">
        <v>44927</v>
      </c>
      <c r="B147" t="s">
        <v>21</v>
      </c>
      <c r="C147" t="s">
        <v>212</v>
      </c>
      <c r="D147" s="2">
        <v>5985112</v>
      </c>
      <c r="E147">
        <v>0</v>
      </c>
      <c r="F147">
        <v>0</v>
      </c>
    </row>
    <row r="148" spans="1:6" x14ac:dyDescent="0.25">
      <c r="A148" s="1">
        <v>44927</v>
      </c>
      <c r="B148" t="s">
        <v>213</v>
      </c>
      <c r="C148" t="s">
        <v>214</v>
      </c>
      <c r="D148">
        <v>0</v>
      </c>
      <c r="E148">
        <v>0</v>
      </c>
      <c r="F148">
        <v>0</v>
      </c>
    </row>
    <row r="149" spans="1:6" x14ac:dyDescent="0.25">
      <c r="A149" s="1">
        <v>44927</v>
      </c>
      <c r="B149" t="s">
        <v>40</v>
      </c>
      <c r="C149" t="s">
        <v>215</v>
      </c>
      <c r="D149">
        <v>0</v>
      </c>
      <c r="E149">
        <v>0</v>
      </c>
      <c r="F149">
        <v>0</v>
      </c>
    </row>
    <row r="150" spans="1:6" x14ac:dyDescent="0.25">
      <c r="A150" s="1">
        <v>44927</v>
      </c>
      <c r="B150" t="s">
        <v>216</v>
      </c>
      <c r="C150" t="s">
        <v>217</v>
      </c>
      <c r="D150">
        <v>0</v>
      </c>
      <c r="E150">
        <v>0</v>
      </c>
      <c r="F150">
        <v>0</v>
      </c>
    </row>
    <row r="151" spans="1:6" x14ac:dyDescent="0.25">
      <c r="A151" s="1">
        <v>44927</v>
      </c>
      <c r="B151" t="s">
        <v>162</v>
      </c>
      <c r="C151" t="s">
        <v>218</v>
      </c>
      <c r="D151" s="2">
        <v>159182520</v>
      </c>
      <c r="E151" s="2">
        <v>159182520</v>
      </c>
      <c r="F151" s="2">
        <v>159182520</v>
      </c>
    </row>
    <row r="152" spans="1:6" x14ac:dyDescent="0.25">
      <c r="A152" s="1">
        <v>44927</v>
      </c>
      <c r="B152" t="s">
        <v>53</v>
      </c>
      <c r="C152" t="s">
        <v>219</v>
      </c>
      <c r="D152" s="2">
        <v>6620228494</v>
      </c>
      <c r="E152">
        <v>0</v>
      </c>
      <c r="F152">
        <v>0</v>
      </c>
    </row>
    <row r="153" spans="1:6" x14ac:dyDescent="0.25">
      <c r="A153" s="1">
        <v>44927</v>
      </c>
      <c r="B153" t="s">
        <v>103</v>
      </c>
      <c r="C153" t="s">
        <v>220</v>
      </c>
      <c r="D153" s="2">
        <v>160000</v>
      </c>
      <c r="E153">
        <v>0</v>
      </c>
      <c r="F153">
        <v>0</v>
      </c>
    </row>
    <row r="154" spans="1:6" x14ac:dyDescent="0.25">
      <c r="A154" s="1">
        <v>44927</v>
      </c>
      <c r="B154" t="s">
        <v>68</v>
      </c>
      <c r="C154" t="s">
        <v>221</v>
      </c>
      <c r="D154" s="2">
        <v>40547062.210000001</v>
      </c>
      <c r="E154" s="2">
        <v>78924.81</v>
      </c>
      <c r="F154" s="2">
        <v>77067.23</v>
      </c>
    </row>
    <row r="155" spans="1:6" x14ac:dyDescent="0.25">
      <c r="A155" s="1">
        <v>44927</v>
      </c>
      <c r="B155" t="s">
        <v>50</v>
      </c>
      <c r="C155" t="s">
        <v>222</v>
      </c>
      <c r="D155">
        <v>0</v>
      </c>
      <c r="E155">
        <v>0</v>
      </c>
      <c r="F155">
        <v>0</v>
      </c>
    </row>
    <row r="156" spans="1:6" x14ac:dyDescent="0.25">
      <c r="A156" s="1">
        <v>44927</v>
      </c>
      <c r="B156" t="s">
        <v>31</v>
      </c>
      <c r="C156" t="s">
        <v>223</v>
      </c>
      <c r="D156">
        <v>0</v>
      </c>
      <c r="E156">
        <v>0</v>
      </c>
      <c r="F156">
        <v>0</v>
      </c>
    </row>
    <row r="157" spans="1:6" x14ac:dyDescent="0.25">
      <c r="A157" s="1">
        <v>44927</v>
      </c>
      <c r="B157" t="s">
        <v>63</v>
      </c>
      <c r="C157" t="s">
        <v>224</v>
      </c>
      <c r="D157">
        <v>0</v>
      </c>
      <c r="E157">
        <v>0</v>
      </c>
      <c r="F157">
        <v>0</v>
      </c>
    </row>
    <row r="158" spans="1:6" x14ac:dyDescent="0.25">
      <c r="A158" s="1">
        <v>44927</v>
      </c>
      <c r="B158" t="s">
        <v>225</v>
      </c>
      <c r="C158" t="s">
        <v>226</v>
      </c>
      <c r="D158">
        <v>0</v>
      </c>
      <c r="E158">
        <v>0</v>
      </c>
      <c r="F158">
        <v>0</v>
      </c>
    </row>
    <row r="159" spans="1:6" x14ac:dyDescent="0.25">
      <c r="A159" s="1">
        <v>44927</v>
      </c>
      <c r="B159" t="s">
        <v>31</v>
      </c>
      <c r="C159" t="s">
        <v>82</v>
      </c>
      <c r="D159">
        <v>0</v>
      </c>
      <c r="E159">
        <v>0</v>
      </c>
      <c r="F159">
        <v>0</v>
      </c>
    </row>
    <row r="160" spans="1:6" x14ac:dyDescent="0.25">
      <c r="A160" s="1">
        <v>44927</v>
      </c>
      <c r="B160" t="s">
        <v>196</v>
      </c>
      <c r="C160" t="s">
        <v>227</v>
      </c>
      <c r="D160">
        <v>0</v>
      </c>
      <c r="E160">
        <v>0</v>
      </c>
      <c r="F160">
        <v>0</v>
      </c>
    </row>
    <row r="161" spans="1:6" x14ac:dyDescent="0.25">
      <c r="A161" s="1">
        <v>44927</v>
      </c>
      <c r="B161" t="s">
        <v>44</v>
      </c>
      <c r="C161" t="s">
        <v>228</v>
      </c>
      <c r="D161" s="2">
        <v>272000</v>
      </c>
      <c r="E161">
        <v>0</v>
      </c>
      <c r="F161">
        <v>0</v>
      </c>
    </row>
    <row r="162" spans="1:6" x14ac:dyDescent="0.25">
      <c r="A162" s="1">
        <v>44927</v>
      </c>
      <c r="B162" t="s">
        <v>229</v>
      </c>
      <c r="C162" t="s">
        <v>230</v>
      </c>
      <c r="D162">
        <v>0</v>
      </c>
      <c r="E162">
        <v>0</v>
      </c>
      <c r="F162">
        <v>0</v>
      </c>
    </row>
    <row r="163" spans="1:6" x14ac:dyDescent="0.25">
      <c r="A163" s="1">
        <v>44927</v>
      </c>
      <c r="B163" t="s">
        <v>11</v>
      </c>
      <c r="C163" t="s">
        <v>231</v>
      </c>
      <c r="D163">
        <v>0</v>
      </c>
      <c r="E163">
        <v>0</v>
      </c>
      <c r="F163">
        <v>0</v>
      </c>
    </row>
    <row r="164" spans="1:6" x14ac:dyDescent="0.25">
      <c r="A164" s="1">
        <v>44927</v>
      </c>
      <c r="B164" t="s">
        <v>46</v>
      </c>
      <c r="C164" t="s">
        <v>232</v>
      </c>
      <c r="D164" s="2">
        <v>100000</v>
      </c>
      <c r="E164">
        <v>0</v>
      </c>
      <c r="F164">
        <v>0</v>
      </c>
    </row>
    <row r="165" spans="1:6" x14ac:dyDescent="0.25">
      <c r="A165" s="1">
        <v>44927</v>
      </c>
      <c r="B165" t="s">
        <v>103</v>
      </c>
      <c r="C165" t="s">
        <v>233</v>
      </c>
      <c r="D165" s="2">
        <v>1254000000</v>
      </c>
      <c r="E165" s="2">
        <v>10709418.76</v>
      </c>
      <c r="F165" s="2">
        <v>5354709.38</v>
      </c>
    </row>
    <row r="166" spans="1:6" x14ac:dyDescent="0.25">
      <c r="A166" s="1">
        <v>44927</v>
      </c>
      <c r="B166" t="s">
        <v>234</v>
      </c>
      <c r="C166" t="s">
        <v>235</v>
      </c>
      <c r="D166" s="2">
        <v>141585.54</v>
      </c>
      <c r="E166" s="2">
        <v>29718.27</v>
      </c>
      <c r="F166" s="2">
        <v>15784.94</v>
      </c>
    </row>
    <row r="167" spans="1:6" x14ac:dyDescent="0.25">
      <c r="A167" s="1">
        <v>44927</v>
      </c>
      <c r="B167" t="s">
        <v>68</v>
      </c>
      <c r="C167" t="s">
        <v>236</v>
      </c>
      <c r="D167">
        <v>0</v>
      </c>
      <c r="E167">
        <v>0</v>
      </c>
      <c r="F167">
        <v>0</v>
      </c>
    </row>
    <row r="168" spans="1:6" x14ac:dyDescent="0.25">
      <c r="A168" s="1">
        <v>44927</v>
      </c>
      <c r="B168" t="s">
        <v>53</v>
      </c>
      <c r="C168" t="s">
        <v>237</v>
      </c>
      <c r="D168" s="2">
        <v>228473762</v>
      </c>
      <c r="E168" s="2">
        <v>8015693.0700000003</v>
      </c>
      <c r="F168" s="2">
        <v>8015693.0700000003</v>
      </c>
    </row>
    <row r="169" spans="1:6" x14ac:dyDescent="0.25">
      <c r="A169" s="1">
        <v>44927</v>
      </c>
      <c r="B169" t="s">
        <v>21</v>
      </c>
      <c r="C169" t="s">
        <v>238</v>
      </c>
      <c r="D169">
        <v>0</v>
      </c>
      <c r="E169">
        <v>0</v>
      </c>
      <c r="F169">
        <v>0</v>
      </c>
    </row>
    <row r="170" spans="1:6" x14ac:dyDescent="0.25">
      <c r="A170" s="1">
        <v>44927</v>
      </c>
      <c r="B170" t="s">
        <v>107</v>
      </c>
      <c r="C170" t="s">
        <v>239</v>
      </c>
      <c r="D170" s="2">
        <v>13000000</v>
      </c>
      <c r="E170">
        <v>0</v>
      </c>
      <c r="F170">
        <v>0</v>
      </c>
    </row>
    <row r="171" spans="1:6" x14ac:dyDescent="0.25">
      <c r="A171" s="1">
        <v>44927</v>
      </c>
      <c r="B171" t="s">
        <v>44</v>
      </c>
      <c r="C171" t="s">
        <v>240</v>
      </c>
      <c r="D171" s="2">
        <v>1031000</v>
      </c>
      <c r="E171">
        <v>144.35</v>
      </c>
      <c r="F171">
        <v>144.35</v>
      </c>
    </row>
    <row r="172" spans="1:6" x14ac:dyDescent="0.25">
      <c r="A172" s="1">
        <v>44927</v>
      </c>
      <c r="B172" t="s">
        <v>46</v>
      </c>
      <c r="C172" t="s">
        <v>241</v>
      </c>
      <c r="D172" s="2">
        <v>655861.18000000005</v>
      </c>
      <c r="E172" s="2">
        <v>28088.22</v>
      </c>
      <c r="F172">
        <v>0</v>
      </c>
    </row>
    <row r="173" spans="1:6" x14ac:dyDescent="0.25">
      <c r="A173" s="1">
        <v>44927</v>
      </c>
      <c r="B173" t="s">
        <v>21</v>
      </c>
      <c r="C173" t="s">
        <v>242</v>
      </c>
      <c r="D173">
        <v>0</v>
      </c>
      <c r="E173">
        <v>0</v>
      </c>
      <c r="F173">
        <v>0</v>
      </c>
    </row>
    <row r="174" spans="1:6" x14ac:dyDescent="0.25">
      <c r="A174" s="1">
        <v>44927</v>
      </c>
      <c r="B174" t="s">
        <v>96</v>
      </c>
      <c r="C174" t="s">
        <v>243</v>
      </c>
      <c r="D174">
        <v>0</v>
      </c>
      <c r="E174">
        <v>0</v>
      </c>
      <c r="F174">
        <v>0</v>
      </c>
    </row>
    <row r="175" spans="1:6" x14ac:dyDescent="0.25">
      <c r="A175" s="1">
        <v>44927</v>
      </c>
      <c r="B175" t="s">
        <v>90</v>
      </c>
      <c r="C175" t="s">
        <v>244</v>
      </c>
      <c r="D175">
        <v>0</v>
      </c>
      <c r="E175">
        <v>0</v>
      </c>
      <c r="F175">
        <v>0</v>
      </c>
    </row>
    <row r="176" spans="1:6" x14ac:dyDescent="0.25">
      <c r="A176" s="1">
        <v>44927</v>
      </c>
      <c r="B176" t="s">
        <v>21</v>
      </c>
      <c r="C176" t="s">
        <v>245</v>
      </c>
      <c r="D176">
        <v>0</v>
      </c>
      <c r="E176">
        <v>0</v>
      </c>
      <c r="F176">
        <v>0</v>
      </c>
    </row>
    <row r="177" spans="1:6" x14ac:dyDescent="0.25">
      <c r="A177" s="1">
        <v>44927</v>
      </c>
      <c r="B177" t="s">
        <v>81</v>
      </c>
      <c r="C177" t="s">
        <v>246</v>
      </c>
      <c r="D177">
        <v>0</v>
      </c>
      <c r="E177">
        <v>0</v>
      </c>
      <c r="F177">
        <v>0</v>
      </c>
    </row>
    <row r="178" spans="1:6" x14ac:dyDescent="0.25">
      <c r="A178" s="1">
        <v>44927</v>
      </c>
      <c r="B178" t="s">
        <v>40</v>
      </c>
      <c r="C178" t="s">
        <v>247</v>
      </c>
      <c r="D178">
        <v>0</v>
      </c>
      <c r="E178">
        <v>0</v>
      </c>
      <c r="F178">
        <v>0</v>
      </c>
    </row>
    <row r="179" spans="1:6" x14ac:dyDescent="0.25">
      <c r="A179" s="1">
        <v>44927</v>
      </c>
      <c r="B179" t="s">
        <v>23</v>
      </c>
      <c r="C179" t="s">
        <v>248</v>
      </c>
      <c r="D179">
        <v>0</v>
      </c>
      <c r="E179">
        <v>0</v>
      </c>
      <c r="F179">
        <v>0</v>
      </c>
    </row>
    <row r="180" spans="1:6" x14ac:dyDescent="0.25">
      <c r="A180" s="1">
        <v>44927</v>
      </c>
      <c r="B180" t="s">
        <v>98</v>
      </c>
      <c r="C180" t="s">
        <v>249</v>
      </c>
      <c r="D180">
        <v>0</v>
      </c>
      <c r="E180">
        <v>0</v>
      </c>
      <c r="F180">
        <v>0</v>
      </c>
    </row>
    <row r="181" spans="1:6" x14ac:dyDescent="0.25">
      <c r="A181" s="1">
        <v>44927</v>
      </c>
      <c r="B181" t="s">
        <v>11</v>
      </c>
      <c r="C181" t="s">
        <v>250</v>
      </c>
      <c r="D181" s="2">
        <v>165671092</v>
      </c>
      <c r="E181">
        <v>0</v>
      </c>
      <c r="F181">
        <v>0</v>
      </c>
    </row>
    <row r="182" spans="1:6" x14ac:dyDescent="0.25">
      <c r="A182" s="1">
        <v>44927</v>
      </c>
      <c r="B182" t="s">
        <v>251</v>
      </c>
      <c r="C182" t="s">
        <v>252</v>
      </c>
      <c r="D182">
        <v>0</v>
      </c>
      <c r="E182">
        <v>0</v>
      </c>
      <c r="F182">
        <v>0</v>
      </c>
    </row>
    <row r="183" spans="1:6" x14ac:dyDescent="0.25">
      <c r="A183" s="1">
        <v>44927</v>
      </c>
      <c r="B183" t="s">
        <v>44</v>
      </c>
      <c r="C183" t="s">
        <v>253</v>
      </c>
      <c r="D183" s="2">
        <v>9166.66</v>
      </c>
      <c r="E183">
        <v>0</v>
      </c>
      <c r="F183">
        <v>0</v>
      </c>
    </row>
    <row r="184" spans="1:6" x14ac:dyDescent="0.25">
      <c r="A184" s="1">
        <v>44927</v>
      </c>
      <c r="B184" t="s">
        <v>44</v>
      </c>
      <c r="C184" t="s">
        <v>254</v>
      </c>
      <c r="D184">
        <v>0</v>
      </c>
      <c r="E184">
        <v>0</v>
      </c>
      <c r="F184">
        <v>0</v>
      </c>
    </row>
    <row r="185" spans="1:6" x14ac:dyDescent="0.25">
      <c r="A185" s="1">
        <v>44927</v>
      </c>
      <c r="B185" t="s">
        <v>50</v>
      </c>
      <c r="C185" t="s">
        <v>243</v>
      </c>
      <c r="D185" s="2">
        <v>50000</v>
      </c>
      <c r="E185">
        <v>0</v>
      </c>
      <c r="F185">
        <v>0</v>
      </c>
    </row>
    <row r="186" spans="1:6" x14ac:dyDescent="0.25">
      <c r="A186" s="1">
        <v>44927</v>
      </c>
      <c r="B186" t="s">
        <v>40</v>
      </c>
      <c r="C186" t="s">
        <v>255</v>
      </c>
      <c r="D186">
        <v>0</v>
      </c>
      <c r="E186">
        <v>0</v>
      </c>
      <c r="F186">
        <v>0</v>
      </c>
    </row>
    <row r="187" spans="1:6" x14ac:dyDescent="0.25">
      <c r="A187" s="1">
        <v>44927</v>
      </c>
      <c r="B187" t="s">
        <v>17</v>
      </c>
      <c r="C187" t="s">
        <v>256</v>
      </c>
      <c r="D187">
        <v>0</v>
      </c>
      <c r="E187">
        <v>0</v>
      </c>
      <c r="F187">
        <v>0</v>
      </c>
    </row>
    <row r="188" spans="1:6" x14ac:dyDescent="0.25">
      <c r="A188" s="1">
        <v>44927</v>
      </c>
      <c r="B188" t="s">
        <v>25</v>
      </c>
      <c r="C188" t="s">
        <v>257</v>
      </c>
      <c r="D188">
        <v>0</v>
      </c>
      <c r="E188">
        <v>0</v>
      </c>
      <c r="F188">
        <v>0</v>
      </c>
    </row>
    <row r="189" spans="1:6" x14ac:dyDescent="0.25">
      <c r="A189" s="1">
        <v>44927</v>
      </c>
      <c r="B189" t="s">
        <v>42</v>
      </c>
      <c r="C189" t="s">
        <v>258</v>
      </c>
      <c r="D189" s="2">
        <v>300000000</v>
      </c>
      <c r="E189">
        <v>0</v>
      </c>
      <c r="F189">
        <v>0</v>
      </c>
    </row>
    <row r="190" spans="1:6" x14ac:dyDescent="0.25">
      <c r="A190" s="1">
        <v>44927</v>
      </c>
      <c r="B190" t="s">
        <v>103</v>
      </c>
      <c r="C190" t="s">
        <v>259</v>
      </c>
      <c r="D190" s="2">
        <v>46000</v>
      </c>
      <c r="E190" s="2">
        <v>20126.84</v>
      </c>
      <c r="F190" s="2">
        <v>11431.17</v>
      </c>
    </row>
    <row r="191" spans="1:6" x14ac:dyDescent="0.25">
      <c r="A191" s="1">
        <v>44927</v>
      </c>
      <c r="B191" t="s">
        <v>29</v>
      </c>
      <c r="C191" t="s">
        <v>260</v>
      </c>
      <c r="D191" s="2">
        <v>103871.34</v>
      </c>
      <c r="E191" s="2">
        <v>78871.34</v>
      </c>
      <c r="F191" s="2">
        <v>67591.34</v>
      </c>
    </row>
    <row r="192" spans="1:6" x14ac:dyDescent="0.25">
      <c r="A192" s="1">
        <v>44927</v>
      </c>
      <c r="B192" t="s">
        <v>261</v>
      </c>
      <c r="C192" t="s">
        <v>34</v>
      </c>
      <c r="D192">
        <v>0</v>
      </c>
      <c r="E192">
        <v>0</v>
      </c>
      <c r="F192">
        <v>0</v>
      </c>
    </row>
    <row r="193" spans="1:6" x14ac:dyDescent="0.25">
      <c r="A193" s="1">
        <v>44927</v>
      </c>
      <c r="B193" t="s">
        <v>196</v>
      </c>
      <c r="C193" t="s">
        <v>262</v>
      </c>
      <c r="D193">
        <v>0</v>
      </c>
      <c r="E193">
        <v>0</v>
      </c>
      <c r="F193">
        <v>0</v>
      </c>
    </row>
    <row r="194" spans="1:6" x14ac:dyDescent="0.25">
      <c r="A194" s="1">
        <v>44927</v>
      </c>
      <c r="B194" t="s">
        <v>263</v>
      </c>
      <c r="C194" t="s">
        <v>264</v>
      </c>
      <c r="D194" s="2">
        <v>27355673.120000001</v>
      </c>
      <c r="E194" s="2">
        <v>6513655.0800000001</v>
      </c>
      <c r="F194" s="2">
        <v>167620.35</v>
      </c>
    </row>
    <row r="195" spans="1:6" x14ac:dyDescent="0.25">
      <c r="A195" s="1">
        <v>44927</v>
      </c>
      <c r="B195" t="s">
        <v>132</v>
      </c>
      <c r="C195" t="s">
        <v>265</v>
      </c>
      <c r="D195" s="2">
        <v>216666666.66</v>
      </c>
      <c r="E195" s="2">
        <v>108333333.33</v>
      </c>
      <c r="F195" s="2">
        <v>108333333.33</v>
      </c>
    </row>
    <row r="196" spans="1:6" x14ac:dyDescent="0.25">
      <c r="A196" s="1">
        <v>44927</v>
      </c>
      <c r="B196" t="s">
        <v>13</v>
      </c>
      <c r="C196" t="s">
        <v>266</v>
      </c>
      <c r="D196" s="2">
        <v>6001000</v>
      </c>
      <c r="E196" s="2">
        <v>2611836.81</v>
      </c>
      <c r="F196" s="2">
        <v>547388.25</v>
      </c>
    </row>
    <row r="197" spans="1:6" x14ac:dyDescent="0.25">
      <c r="A197" s="1">
        <v>44927</v>
      </c>
      <c r="B197" t="s">
        <v>196</v>
      </c>
      <c r="C197" t="s">
        <v>267</v>
      </c>
      <c r="D197">
        <v>0</v>
      </c>
      <c r="E197">
        <v>0</v>
      </c>
      <c r="F197">
        <v>0</v>
      </c>
    </row>
    <row r="198" spans="1:6" x14ac:dyDescent="0.25">
      <c r="A198" s="1">
        <v>44927</v>
      </c>
      <c r="B198" t="s">
        <v>17</v>
      </c>
      <c r="C198" t="s">
        <v>268</v>
      </c>
      <c r="D198">
        <v>0</v>
      </c>
      <c r="E198">
        <v>0</v>
      </c>
      <c r="F198">
        <v>0</v>
      </c>
    </row>
    <row r="199" spans="1:6" x14ac:dyDescent="0.25">
      <c r="A199" s="1">
        <v>44927</v>
      </c>
      <c r="B199" t="s">
        <v>75</v>
      </c>
      <c r="C199" t="s">
        <v>269</v>
      </c>
      <c r="D199" s="2">
        <v>13946142.550000001</v>
      </c>
      <c r="E199" s="2">
        <v>8952000.0099999998</v>
      </c>
      <c r="F199" s="2">
        <v>8952000.0099999998</v>
      </c>
    </row>
    <row r="200" spans="1:6" x14ac:dyDescent="0.25">
      <c r="A200" s="1">
        <v>44927</v>
      </c>
      <c r="B200" t="s">
        <v>17</v>
      </c>
      <c r="C200" t="s">
        <v>270</v>
      </c>
      <c r="D200" s="2">
        <v>5778619.0199999996</v>
      </c>
      <c r="E200" s="2">
        <v>136331.92000000001</v>
      </c>
      <c r="F200" s="2">
        <v>136331.92000000001</v>
      </c>
    </row>
    <row r="201" spans="1:6" x14ac:dyDescent="0.25">
      <c r="A201" s="1">
        <v>44927</v>
      </c>
      <c r="B201" t="s">
        <v>37</v>
      </c>
      <c r="C201" t="s">
        <v>271</v>
      </c>
      <c r="D201">
        <v>0</v>
      </c>
      <c r="E201">
        <v>0</v>
      </c>
      <c r="F201">
        <v>0</v>
      </c>
    </row>
    <row r="202" spans="1:6" x14ac:dyDescent="0.25">
      <c r="A202" s="1">
        <v>44927</v>
      </c>
      <c r="B202" t="s">
        <v>272</v>
      </c>
      <c r="C202" t="s">
        <v>273</v>
      </c>
      <c r="D202" s="2">
        <v>51505.25</v>
      </c>
      <c r="E202" s="2">
        <v>21939.31</v>
      </c>
      <c r="F202" s="2">
        <v>21939.31</v>
      </c>
    </row>
    <row r="203" spans="1:6" x14ac:dyDescent="0.25">
      <c r="A203" s="1">
        <v>44927</v>
      </c>
      <c r="B203" t="s">
        <v>50</v>
      </c>
      <c r="C203" t="s">
        <v>274</v>
      </c>
      <c r="D203">
        <v>0</v>
      </c>
      <c r="E203">
        <v>0</v>
      </c>
      <c r="F203">
        <v>0</v>
      </c>
    </row>
    <row r="204" spans="1:6" x14ac:dyDescent="0.25">
      <c r="A204" s="1">
        <v>44927</v>
      </c>
      <c r="B204" t="s">
        <v>275</v>
      </c>
      <c r="C204" t="s">
        <v>95</v>
      </c>
      <c r="D204">
        <v>0</v>
      </c>
      <c r="E204">
        <v>0</v>
      </c>
      <c r="F204">
        <v>0</v>
      </c>
    </row>
    <row r="205" spans="1:6" x14ac:dyDescent="0.25">
      <c r="A205" s="1">
        <v>44927</v>
      </c>
      <c r="B205" t="s">
        <v>21</v>
      </c>
      <c r="C205" t="s">
        <v>276</v>
      </c>
      <c r="D205">
        <v>0</v>
      </c>
      <c r="E205">
        <v>0</v>
      </c>
      <c r="F205">
        <v>0</v>
      </c>
    </row>
    <row r="206" spans="1:6" x14ac:dyDescent="0.25">
      <c r="A206" s="1">
        <v>44927</v>
      </c>
      <c r="B206" t="s">
        <v>118</v>
      </c>
      <c r="C206" t="s">
        <v>277</v>
      </c>
      <c r="D206">
        <v>0</v>
      </c>
      <c r="E206">
        <v>0</v>
      </c>
      <c r="F206">
        <v>0</v>
      </c>
    </row>
    <row r="207" spans="1:6" x14ac:dyDescent="0.25">
      <c r="A207" s="1">
        <v>44927</v>
      </c>
      <c r="B207" t="s">
        <v>278</v>
      </c>
      <c r="C207" t="s">
        <v>279</v>
      </c>
      <c r="D207" s="2">
        <v>252000</v>
      </c>
      <c r="E207" s="2">
        <v>38168.65</v>
      </c>
      <c r="F207" s="2">
        <v>34071.68</v>
      </c>
    </row>
    <row r="208" spans="1:6" x14ac:dyDescent="0.25">
      <c r="A208" s="1">
        <v>44927</v>
      </c>
      <c r="B208" t="s">
        <v>27</v>
      </c>
      <c r="C208" t="s">
        <v>280</v>
      </c>
      <c r="D208">
        <v>0</v>
      </c>
      <c r="E208">
        <v>0</v>
      </c>
      <c r="F208">
        <v>0</v>
      </c>
    </row>
    <row r="209" spans="1:6" x14ac:dyDescent="0.25">
      <c r="A209" s="1">
        <v>44927</v>
      </c>
      <c r="B209" t="s">
        <v>23</v>
      </c>
      <c r="C209" t="s">
        <v>281</v>
      </c>
      <c r="D209">
        <v>0</v>
      </c>
      <c r="E209">
        <v>0</v>
      </c>
      <c r="F209">
        <v>0</v>
      </c>
    </row>
    <row r="210" spans="1:6" x14ac:dyDescent="0.25">
      <c r="A210" s="1">
        <v>44927</v>
      </c>
      <c r="B210" t="s">
        <v>282</v>
      </c>
      <c r="C210" t="s">
        <v>283</v>
      </c>
      <c r="D210">
        <v>0</v>
      </c>
      <c r="E210">
        <v>0</v>
      </c>
      <c r="F210">
        <v>0</v>
      </c>
    </row>
    <row r="211" spans="1:6" x14ac:dyDescent="0.25">
      <c r="A211" s="1">
        <v>44927</v>
      </c>
      <c r="B211" t="s">
        <v>234</v>
      </c>
      <c r="C211" t="s">
        <v>284</v>
      </c>
      <c r="D211" s="2">
        <v>901939</v>
      </c>
      <c r="E211" s="2">
        <v>901939</v>
      </c>
      <c r="F211" s="2">
        <v>901939</v>
      </c>
    </row>
    <row r="212" spans="1:6" x14ac:dyDescent="0.25">
      <c r="A212" s="1">
        <v>44927</v>
      </c>
      <c r="B212" t="s">
        <v>132</v>
      </c>
      <c r="C212" t="s">
        <v>285</v>
      </c>
      <c r="D212" s="2">
        <v>8046639.2999999998</v>
      </c>
      <c r="E212" s="2">
        <v>657384.17000000004</v>
      </c>
      <c r="F212">
        <v>0</v>
      </c>
    </row>
    <row r="213" spans="1:6" x14ac:dyDescent="0.25">
      <c r="A213" s="1">
        <v>44927</v>
      </c>
      <c r="B213" t="s">
        <v>50</v>
      </c>
      <c r="C213" t="s">
        <v>286</v>
      </c>
      <c r="D213">
        <v>0</v>
      </c>
      <c r="E213">
        <v>0</v>
      </c>
      <c r="F213">
        <v>0</v>
      </c>
    </row>
    <row r="214" spans="1:6" x14ac:dyDescent="0.25">
      <c r="A214" s="1">
        <v>44927</v>
      </c>
      <c r="B214" t="s">
        <v>50</v>
      </c>
      <c r="C214" t="s">
        <v>287</v>
      </c>
      <c r="D214">
        <v>0</v>
      </c>
      <c r="E214">
        <v>0</v>
      </c>
      <c r="F214">
        <v>0</v>
      </c>
    </row>
    <row r="215" spans="1:6" x14ac:dyDescent="0.25">
      <c r="A215" s="1">
        <v>44927</v>
      </c>
      <c r="B215" t="s">
        <v>288</v>
      </c>
      <c r="C215" t="s">
        <v>289</v>
      </c>
      <c r="D215">
        <v>0</v>
      </c>
      <c r="E215">
        <v>0</v>
      </c>
      <c r="F215">
        <v>0</v>
      </c>
    </row>
    <row r="216" spans="1:6" x14ac:dyDescent="0.25">
      <c r="A216" s="1">
        <v>44927</v>
      </c>
      <c r="B216" t="s">
        <v>81</v>
      </c>
      <c r="C216" t="s">
        <v>290</v>
      </c>
      <c r="D216">
        <v>0</v>
      </c>
      <c r="E216">
        <v>0</v>
      </c>
      <c r="F216">
        <v>0</v>
      </c>
    </row>
    <row r="217" spans="1:6" x14ac:dyDescent="0.25">
      <c r="A217" s="1">
        <v>44927</v>
      </c>
      <c r="B217" t="s">
        <v>31</v>
      </c>
      <c r="C217" t="s">
        <v>290</v>
      </c>
      <c r="D217">
        <v>0</v>
      </c>
      <c r="E217">
        <v>0</v>
      </c>
      <c r="F217">
        <v>0</v>
      </c>
    </row>
    <row r="218" spans="1:6" x14ac:dyDescent="0.25">
      <c r="A218" s="1">
        <v>44927</v>
      </c>
      <c r="B218" t="s">
        <v>98</v>
      </c>
      <c r="C218" t="s">
        <v>291</v>
      </c>
      <c r="D218">
        <v>0</v>
      </c>
      <c r="E218">
        <v>0</v>
      </c>
      <c r="F218">
        <v>0</v>
      </c>
    </row>
    <row r="219" spans="1:6" x14ac:dyDescent="0.25">
      <c r="A219" s="1">
        <v>44927</v>
      </c>
      <c r="B219" t="s">
        <v>29</v>
      </c>
      <c r="C219" t="s">
        <v>292</v>
      </c>
      <c r="D219">
        <v>0</v>
      </c>
      <c r="E219">
        <v>0</v>
      </c>
      <c r="F219">
        <v>0</v>
      </c>
    </row>
    <row r="220" spans="1:6" x14ac:dyDescent="0.25">
      <c r="A220" s="1">
        <v>44927</v>
      </c>
      <c r="B220" t="s">
        <v>35</v>
      </c>
      <c r="C220" t="s">
        <v>293</v>
      </c>
      <c r="D220">
        <v>0</v>
      </c>
      <c r="E220">
        <v>0</v>
      </c>
      <c r="F220">
        <v>0</v>
      </c>
    </row>
    <row r="221" spans="1:6" x14ac:dyDescent="0.25">
      <c r="A221" s="1">
        <v>44927</v>
      </c>
      <c r="B221" t="s">
        <v>23</v>
      </c>
      <c r="C221" t="s">
        <v>294</v>
      </c>
      <c r="D221">
        <v>0</v>
      </c>
      <c r="E221">
        <v>0</v>
      </c>
      <c r="F221">
        <v>0</v>
      </c>
    </row>
    <row r="222" spans="1:6" x14ac:dyDescent="0.25">
      <c r="A222" s="1">
        <v>44927</v>
      </c>
      <c r="B222" t="s">
        <v>46</v>
      </c>
      <c r="C222" t="s">
        <v>295</v>
      </c>
      <c r="D222" s="2">
        <v>298473.23</v>
      </c>
      <c r="E222" s="2">
        <v>11882.57</v>
      </c>
      <c r="F222" s="2">
        <v>11781.57</v>
      </c>
    </row>
    <row r="223" spans="1:6" x14ac:dyDescent="0.25">
      <c r="A223" s="1">
        <v>44927</v>
      </c>
      <c r="B223" t="s">
        <v>296</v>
      </c>
      <c r="C223" t="s">
        <v>297</v>
      </c>
      <c r="D223" s="2">
        <v>157874.35</v>
      </c>
      <c r="E223">
        <v>0</v>
      </c>
      <c r="F223">
        <v>0</v>
      </c>
    </row>
    <row r="224" spans="1:6" x14ac:dyDescent="0.25">
      <c r="A224" s="1">
        <v>44927</v>
      </c>
      <c r="B224" t="s">
        <v>118</v>
      </c>
      <c r="C224" t="s">
        <v>298</v>
      </c>
      <c r="D224">
        <v>0</v>
      </c>
      <c r="E224">
        <v>0</v>
      </c>
      <c r="F224">
        <v>0</v>
      </c>
    </row>
    <row r="225" spans="1:6" x14ac:dyDescent="0.25">
      <c r="A225" s="1">
        <v>44927</v>
      </c>
      <c r="B225" t="s">
        <v>234</v>
      </c>
      <c r="C225" t="s">
        <v>299</v>
      </c>
      <c r="D225" s="2">
        <v>1942029116.3099999</v>
      </c>
      <c r="E225" s="2">
        <v>1942029116.3099999</v>
      </c>
      <c r="F225" s="2">
        <v>1942029116.3099999</v>
      </c>
    </row>
    <row r="226" spans="1:6" x14ac:dyDescent="0.25">
      <c r="A226" s="1">
        <v>44927</v>
      </c>
      <c r="B226" t="s">
        <v>11</v>
      </c>
      <c r="C226" t="s">
        <v>300</v>
      </c>
      <c r="D226" s="2">
        <v>923184712</v>
      </c>
      <c r="E226" s="2">
        <v>50543516.990000002</v>
      </c>
      <c r="F226" s="2">
        <v>50543516.990000002</v>
      </c>
    </row>
    <row r="227" spans="1:6" x14ac:dyDescent="0.25">
      <c r="A227" s="1">
        <v>44927</v>
      </c>
      <c r="B227" t="s">
        <v>21</v>
      </c>
      <c r="C227" t="s">
        <v>301</v>
      </c>
      <c r="D227">
        <v>0</v>
      </c>
      <c r="E227">
        <v>0</v>
      </c>
      <c r="F227">
        <v>0</v>
      </c>
    </row>
    <row r="228" spans="1:6" x14ac:dyDescent="0.25">
      <c r="A228" s="1">
        <v>44927</v>
      </c>
      <c r="B228" t="s">
        <v>159</v>
      </c>
      <c r="C228" t="s">
        <v>302</v>
      </c>
      <c r="D228">
        <v>0</v>
      </c>
      <c r="E228">
        <v>0</v>
      </c>
      <c r="F228">
        <v>0</v>
      </c>
    </row>
    <row r="229" spans="1:6" x14ac:dyDescent="0.25">
      <c r="A229" s="1">
        <v>44927</v>
      </c>
      <c r="B229" t="s">
        <v>17</v>
      </c>
      <c r="C229" t="s">
        <v>303</v>
      </c>
      <c r="D229" s="2">
        <v>9707945.3100000005</v>
      </c>
      <c r="E229" s="2">
        <v>9707945.3100000005</v>
      </c>
      <c r="F229" s="2">
        <v>9537220.3100000005</v>
      </c>
    </row>
    <row r="230" spans="1:6" x14ac:dyDescent="0.25">
      <c r="A230" s="1">
        <v>44927</v>
      </c>
      <c r="B230" t="s">
        <v>98</v>
      </c>
      <c r="C230" t="s">
        <v>304</v>
      </c>
      <c r="D230">
        <v>0</v>
      </c>
      <c r="E230">
        <v>0</v>
      </c>
      <c r="F230">
        <v>0</v>
      </c>
    </row>
    <row r="231" spans="1:6" x14ac:dyDescent="0.25">
      <c r="A231" s="1">
        <v>44927</v>
      </c>
      <c r="B231" t="s">
        <v>23</v>
      </c>
      <c r="C231" t="s">
        <v>305</v>
      </c>
      <c r="D231" s="2">
        <v>18972443.420000002</v>
      </c>
      <c r="E231" s="2">
        <v>7140190.0300000003</v>
      </c>
      <c r="F231" s="2">
        <v>5532951.1600000001</v>
      </c>
    </row>
    <row r="232" spans="1:6" x14ac:dyDescent="0.25">
      <c r="A232" s="1">
        <v>44927</v>
      </c>
      <c r="B232" t="s">
        <v>306</v>
      </c>
      <c r="C232" t="s">
        <v>307</v>
      </c>
      <c r="D232" s="2">
        <v>3893490.3</v>
      </c>
      <c r="E232" s="2">
        <v>185868.7</v>
      </c>
      <c r="F232" s="2">
        <v>94287.28</v>
      </c>
    </row>
    <row r="233" spans="1:6" x14ac:dyDescent="0.25">
      <c r="A233" s="1">
        <v>44927</v>
      </c>
      <c r="B233" t="s">
        <v>118</v>
      </c>
      <c r="C233" t="s">
        <v>308</v>
      </c>
      <c r="D233" s="2">
        <v>332000</v>
      </c>
      <c r="E233">
        <v>0</v>
      </c>
      <c r="F233">
        <v>0</v>
      </c>
    </row>
    <row r="234" spans="1:6" x14ac:dyDescent="0.25">
      <c r="A234" s="1">
        <v>44927</v>
      </c>
      <c r="B234" t="s">
        <v>309</v>
      </c>
      <c r="C234" t="s">
        <v>310</v>
      </c>
      <c r="D234">
        <v>0</v>
      </c>
      <c r="E234">
        <v>0</v>
      </c>
      <c r="F234">
        <v>0</v>
      </c>
    </row>
    <row r="235" spans="1:6" x14ac:dyDescent="0.25">
      <c r="A235" s="1">
        <v>44927</v>
      </c>
      <c r="B235" t="s">
        <v>40</v>
      </c>
      <c r="C235" t="s">
        <v>311</v>
      </c>
      <c r="D235">
        <v>0</v>
      </c>
      <c r="E235">
        <v>0</v>
      </c>
      <c r="F235">
        <v>0</v>
      </c>
    </row>
    <row r="236" spans="1:6" x14ac:dyDescent="0.25">
      <c r="A236" s="1">
        <v>44927</v>
      </c>
      <c r="B236" t="s">
        <v>21</v>
      </c>
      <c r="C236" t="s">
        <v>312</v>
      </c>
      <c r="D236">
        <v>0</v>
      </c>
      <c r="E236">
        <v>0</v>
      </c>
      <c r="F236">
        <v>0</v>
      </c>
    </row>
    <row r="237" spans="1:6" x14ac:dyDescent="0.25">
      <c r="A237" s="1">
        <v>44927</v>
      </c>
      <c r="B237" t="s">
        <v>68</v>
      </c>
      <c r="C237" t="s">
        <v>73</v>
      </c>
      <c r="D237">
        <v>0</v>
      </c>
      <c r="E237">
        <v>0</v>
      </c>
      <c r="F237">
        <v>0</v>
      </c>
    </row>
    <row r="238" spans="1:6" x14ac:dyDescent="0.25">
      <c r="A238" s="1">
        <v>44927</v>
      </c>
      <c r="B238" t="s">
        <v>98</v>
      </c>
      <c r="C238" t="s">
        <v>313</v>
      </c>
      <c r="D238">
        <v>0</v>
      </c>
      <c r="E238">
        <v>0</v>
      </c>
      <c r="F238">
        <v>0</v>
      </c>
    </row>
    <row r="239" spans="1:6" x14ac:dyDescent="0.25">
      <c r="A239" s="1">
        <v>44927</v>
      </c>
      <c r="B239" t="s">
        <v>225</v>
      </c>
      <c r="C239" t="s">
        <v>314</v>
      </c>
      <c r="D239">
        <v>0</v>
      </c>
      <c r="E239">
        <v>0</v>
      </c>
      <c r="F239">
        <v>0</v>
      </c>
    </row>
    <row r="240" spans="1:6" x14ac:dyDescent="0.25">
      <c r="A240" s="1">
        <v>44927</v>
      </c>
      <c r="B240" t="s">
        <v>225</v>
      </c>
      <c r="C240" t="s">
        <v>315</v>
      </c>
      <c r="D240">
        <v>0</v>
      </c>
      <c r="E240">
        <v>0</v>
      </c>
      <c r="F240">
        <v>0</v>
      </c>
    </row>
    <row r="241" spans="1:6" x14ac:dyDescent="0.25">
      <c r="A241" s="1">
        <v>44927</v>
      </c>
      <c r="B241" t="s">
        <v>185</v>
      </c>
      <c r="C241" t="s">
        <v>316</v>
      </c>
      <c r="D241" s="2">
        <v>105982935.05</v>
      </c>
      <c r="E241" s="2">
        <v>17080296.34</v>
      </c>
      <c r="F241">
        <v>0</v>
      </c>
    </row>
    <row r="242" spans="1:6" x14ac:dyDescent="0.25">
      <c r="A242" s="1">
        <v>44927</v>
      </c>
      <c r="B242" t="s">
        <v>92</v>
      </c>
      <c r="C242" t="s">
        <v>317</v>
      </c>
      <c r="D242">
        <v>0</v>
      </c>
      <c r="E242">
        <v>0</v>
      </c>
      <c r="F242">
        <v>0</v>
      </c>
    </row>
    <row r="243" spans="1:6" x14ac:dyDescent="0.25">
      <c r="A243" s="1">
        <v>44927</v>
      </c>
      <c r="B243" t="s">
        <v>318</v>
      </c>
      <c r="C243" t="s">
        <v>319</v>
      </c>
      <c r="D243">
        <v>0</v>
      </c>
      <c r="E243">
        <v>0</v>
      </c>
      <c r="F243">
        <v>0</v>
      </c>
    </row>
    <row r="244" spans="1:6" x14ac:dyDescent="0.25">
      <c r="A244" s="1">
        <v>44927</v>
      </c>
      <c r="B244" t="s">
        <v>50</v>
      </c>
      <c r="C244" t="s">
        <v>320</v>
      </c>
      <c r="D244">
        <v>0</v>
      </c>
      <c r="E244">
        <v>0</v>
      </c>
      <c r="F244">
        <v>0</v>
      </c>
    </row>
    <row r="245" spans="1:6" x14ac:dyDescent="0.25">
      <c r="A245" s="1">
        <v>44927</v>
      </c>
      <c r="B245" t="s">
        <v>11</v>
      </c>
      <c r="C245" t="s">
        <v>321</v>
      </c>
      <c r="D245">
        <v>0</v>
      </c>
      <c r="E245">
        <v>0</v>
      </c>
      <c r="F245">
        <v>0</v>
      </c>
    </row>
    <row r="246" spans="1:6" x14ac:dyDescent="0.25">
      <c r="A246" s="1">
        <v>44927</v>
      </c>
      <c r="B246" t="s">
        <v>162</v>
      </c>
      <c r="C246" t="s">
        <v>322</v>
      </c>
      <c r="D246" s="2">
        <v>1016731.2</v>
      </c>
      <c r="E246">
        <v>0</v>
      </c>
      <c r="F246">
        <v>0</v>
      </c>
    </row>
    <row r="247" spans="1:6" x14ac:dyDescent="0.25">
      <c r="A247" s="1">
        <v>44927</v>
      </c>
      <c r="B247" t="s">
        <v>50</v>
      </c>
      <c r="C247" t="s">
        <v>323</v>
      </c>
      <c r="D247">
        <v>0</v>
      </c>
      <c r="E247">
        <v>0</v>
      </c>
      <c r="F247">
        <v>0</v>
      </c>
    </row>
    <row r="248" spans="1:6" x14ac:dyDescent="0.25">
      <c r="A248" s="1">
        <v>44927</v>
      </c>
      <c r="B248" t="s">
        <v>25</v>
      </c>
      <c r="C248" t="s">
        <v>324</v>
      </c>
      <c r="D248">
        <v>0</v>
      </c>
      <c r="E248">
        <v>0</v>
      </c>
      <c r="F248">
        <v>0</v>
      </c>
    </row>
    <row r="249" spans="1:6" x14ac:dyDescent="0.25">
      <c r="A249" s="1">
        <v>44927</v>
      </c>
      <c r="B249" t="s">
        <v>40</v>
      </c>
      <c r="C249" t="s">
        <v>325</v>
      </c>
      <c r="D249" s="2">
        <v>5192900.66</v>
      </c>
      <c r="E249" s="2">
        <v>4683606.0199999996</v>
      </c>
      <c r="F249" s="2">
        <v>3949531.75</v>
      </c>
    </row>
    <row r="250" spans="1:6" x14ac:dyDescent="0.25">
      <c r="A250" s="1">
        <v>44927</v>
      </c>
      <c r="B250" t="s">
        <v>90</v>
      </c>
      <c r="C250" t="s">
        <v>326</v>
      </c>
      <c r="D250" s="2">
        <v>120329.2</v>
      </c>
      <c r="E250">
        <v>0</v>
      </c>
      <c r="F250">
        <v>0</v>
      </c>
    </row>
    <row r="251" spans="1:6" x14ac:dyDescent="0.25">
      <c r="A251" s="1">
        <v>44927</v>
      </c>
      <c r="B251" t="s">
        <v>17</v>
      </c>
      <c r="C251" t="s">
        <v>327</v>
      </c>
      <c r="D251" s="2">
        <v>17325.259999999998</v>
      </c>
      <c r="E251" s="2">
        <v>2325.2600000000002</v>
      </c>
      <c r="F251" s="2">
        <v>2325.2600000000002</v>
      </c>
    </row>
    <row r="252" spans="1:6" x14ac:dyDescent="0.25">
      <c r="A252" s="1">
        <v>44927</v>
      </c>
      <c r="B252" t="s">
        <v>19</v>
      </c>
      <c r="C252" t="s">
        <v>328</v>
      </c>
      <c r="D252" s="2">
        <v>2451573.23</v>
      </c>
      <c r="E252" s="2">
        <v>1367102.83</v>
      </c>
      <c r="F252" s="2">
        <v>803375.67</v>
      </c>
    </row>
    <row r="253" spans="1:6" x14ac:dyDescent="0.25">
      <c r="A253" s="1">
        <v>44927</v>
      </c>
      <c r="B253" t="s">
        <v>21</v>
      </c>
      <c r="C253" t="s">
        <v>329</v>
      </c>
      <c r="D253" s="2">
        <v>11913760</v>
      </c>
      <c r="E253">
        <v>0</v>
      </c>
      <c r="F253">
        <v>0</v>
      </c>
    </row>
    <row r="254" spans="1:6" x14ac:dyDescent="0.25">
      <c r="A254" s="1">
        <v>44927</v>
      </c>
      <c r="B254" t="s">
        <v>21</v>
      </c>
      <c r="C254" t="s">
        <v>330</v>
      </c>
      <c r="D254">
        <v>0</v>
      </c>
      <c r="E254">
        <v>0</v>
      </c>
      <c r="F254">
        <v>0</v>
      </c>
    </row>
    <row r="255" spans="1:6" x14ac:dyDescent="0.25">
      <c r="A255" s="1">
        <v>44927</v>
      </c>
      <c r="B255" t="s">
        <v>23</v>
      </c>
      <c r="C255" t="s">
        <v>331</v>
      </c>
      <c r="D255" s="2">
        <v>922551.63</v>
      </c>
      <c r="E255" s="2">
        <v>50574.6</v>
      </c>
      <c r="F255" s="2">
        <v>30661.29</v>
      </c>
    </row>
    <row r="256" spans="1:6" x14ac:dyDescent="0.25">
      <c r="A256" s="1">
        <v>44927</v>
      </c>
      <c r="B256" t="s">
        <v>251</v>
      </c>
      <c r="C256" t="s">
        <v>332</v>
      </c>
      <c r="D256" s="2">
        <v>47744065.700000003</v>
      </c>
      <c r="E256" s="2">
        <v>47744065.700000003</v>
      </c>
      <c r="F256" s="2">
        <v>47744065.700000003</v>
      </c>
    </row>
    <row r="257" spans="1:6" x14ac:dyDescent="0.25">
      <c r="A257" s="1">
        <v>44927</v>
      </c>
      <c r="B257" t="s">
        <v>46</v>
      </c>
      <c r="C257" t="s">
        <v>333</v>
      </c>
      <c r="D257">
        <v>0</v>
      </c>
      <c r="E257">
        <v>0</v>
      </c>
      <c r="F257">
        <v>0</v>
      </c>
    </row>
    <row r="258" spans="1:6" x14ac:dyDescent="0.25">
      <c r="A258" s="1">
        <v>44927</v>
      </c>
      <c r="B258" t="s">
        <v>42</v>
      </c>
      <c r="C258" t="s">
        <v>334</v>
      </c>
      <c r="D258">
        <v>0</v>
      </c>
      <c r="E258">
        <v>0</v>
      </c>
      <c r="F258">
        <v>0</v>
      </c>
    </row>
    <row r="259" spans="1:6" x14ac:dyDescent="0.25">
      <c r="A259" s="1">
        <v>44927</v>
      </c>
      <c r="B259" t="s">
        <v>162</v>
      </c>
      <c r="C259" t="s">
        <v>335</v>
      </c>
      <c r="D259" s="2">
        <v>35140880.350000001</v>
      </c>
      <c r="E259">
        <v>0</v>
      </c>
      <c r="F259">
        <v>0</v>
      </c>
    </row>
    <row r="260" spans="1:6" x14ac:dyDescent="0.25">
      <c r="A260" s="1">
        <v>44927</v>
      </c>
      <c r="B260" t="s">
        <v>105</v>
      </c>
      <c r="C260" t="s">
        <v>336</v>
      </c>
      <c r="D260" s="2">
        <v>1164468.21</v>
      </c>
      <c r="E260" s="2">
        <v>153533.22</v>
      </c>
      <c r="F260" s="2">
        <v>153533.22</v>
      </c>
    </row>
    <row r="261" spans="1:6" x14ac:dyDescent="0.25">
      <c r="A261" s="1">
        <v>44927</v>
      </c>
      <c r="B261" t="s">
        <v>337</v>
      </c>
      <c r="C261" t="s">
        <v>338</v>
      </c>
      <c r="D261" s="2">
        <v>8368197.4299999997</v>
      </c>
      <c r="E261" s="2">
        <v>19429.21</v>
      </c>
      <c r="F261" s="2">
        <v>9004.82</v>
      </c>
    </row>
    <row r="262" spans="1:6" x14ac:dyDescent="0.25">
      <c r="A262" s="1">
        <v>44927</v>
      </c>
      <c r="B262" t="s">
        <v>68</v>
      </c>
      <c r="C262" t="s">
        <v>339</v>
      </c>
      <c r="D262" s="2">
        <v>201000</v>
      </c>
      <c r="E262" s="2">
        <v>121159.67999999999</v>
      </c>
      <c r="F262" s="2">
        <v>121159.67999999999</v>
      </c>
    </row>
    <row r="263" spans="1:6" x14ac:dyDescent="0.25">
      <c r="A263" s="1">
        <v>44927</v>
      </c>
      <c r="B263" t="s">
        <v>278</v>
      </c>
      <c r="C263" t="s">
        <v>340</v>
      </c>
      <c r="D263" s="2">
        <v>5598221.3099999996</v>
      </c>
      <c r="E263" s="2">
        <v>6387.15</v>
      </c>
      <c r="F263" s="2">
        <v>4994.24</v>
      </c>
    </row>
    <row r="264" spans="1:6" x14ac:dyDescent="0.25">
      <c r="A264" s="1">
        <v>44927</v>
      </c>
      <c r="B264" t="s">
        <v>40</v>
      </c>
      <c r="C264" t="s">
        <v>341</v>
      </c>
      <c r="D264">
        <v>0</v>
      </c>
      <c r="E264">
        <v>0</v>
      </c>
      <c r="F264">
        <v>0</v>
      </c>
    </row>
    <row r="265" spans="1:6" x14ac:dyDescent="0.25">
      <c r="A265" s="1">
        <v>44927</v>
      </c>
      <c r="B265" t="s">
        <v>11</v>
      </c>
      <c r="C265" t="s">
        <v>342</v>
      </c>
      <c r="D265" s="2">
        <v>802703769.20000005</v>
      </c>
      <c r="E265" s="2">
        <v>265124115.75999999</v>
      </c>
      <c r="F265" s="2">
        <v>265124115.75999999</v>
      </c>
    </row>
    <row r="266" spans="1:6" x14ac:dyDescent="0.25">
      <c r="A266" s="1">
        <v>44927</v>
      </c>
      <c r="B266" t="s">
        <v>23</v>
      </c>
      <c r="C266" t="s">
        <v>343</v>
      </c>
      <c r="D266">
        <v>0</v>
      </c>
      <c r="E266">
        <v>0</v>
      </c>
      <c r="F266">
        <v>0</v>
      </c>
    </row>
    <row r="267" spans="1:6" x14ac:dyDescent="0.25">
      <c r="A267" s="1">
        <v>44927</v>
      </c>
      <c r="B267" t="s">
        <v>344</v>
      </c>
      <c r="C267" t="s">
        <v>345</v>
      </c>
      <c r="D267">
        <v>0</v>
      </c>
      <c r="E267">
        <v>0</v>
      </c>
      <c r="F267">
        <v>0</v>
      </c>
    </row>
    <row r="268" spans="1:6" x14ac:dyDescent="0.25">
      <c r="A268" s="1">
        <v>44927</v>
      </c>
      <c r="B268" t="s">
        <v>27</v>
      </c>
      <c r="C268" t="s">
        <v>346</v>
      </c>
      <c r="D268">
        <v>0</v>
      </c>
      <c r="E268">
        <v>0</v>
      </c>
      <c r="F268">
        <v>0</v>
      </c>
    </row>
    <row r="269" spans="1:6" x14ac:dyDescent="0.25">
      <c r="A269" s="1">
        <v>44927</v>
      </c>
      <c r="B269" t="s">
        <v>23</v>
      </c>
      <c r="C269" t="s">
        <v>347</v>
      </c>
      <c r="D269">
        <v>0</v>
      </c>
      <c r="E269">
        <v>0</v>
      </c>
      <c r="F269">
        <v>0</v>
      </c>
    </row>
    <row r="270" spans="1:6" x14ac:dyDescent="0.25">
      <c r="A270" s="1">
        <v>44927</v>
      </c>
      <c r="B270" t="s">
        <v>196</v>
      </c>
      <c r="C270" t="s">
        <v>348</v>
      </c>
      <c r="D270">
        <v>0</v>
      </c>
      <c r="E270">
        <v>0</v>
      </c>
      <c r="F270">
        <v>0</v>
      </c>
    </row>
    <row r="271" spans="1:6" x14ac:dyDescent="0.25">
      <c r="A271" s="1">
        <v>44927</v>
      </c>
      <c r="B271" t="s">
        <v>37</v>
      </c>
      <c r="C271" t="s">
        <v>349</v>
      </c>
      <c r="D271" s="2">
        <v>575524266.12</v>
      </c>
      <c r="E271" s="2">
        <v>34646.120000000003</v>
      </c>
      <c r="F271" s="2">
        <v>34646.120000000003</v>
      </c>
    </row>
    <row r="272" spans="1:6" x14ac:dyDescent="0.25">
      <c r="A272" s="1">
        <v>44927</v>
      </c>
      <c r="B272" t="s">
        <v>17</v>
      </c>
      <c r="C272" t="s">
        <v>350</v>
      </c>
      <c r="D272" s="2">
        <v>70144925.109999999</v>
      </c>
      <c r="E272" s="2">
        <v>64808976.119999997</v>
      </c>
      <c r="F272" s="2">
        <v>29204826.789999999</v>
      </c>
    </row>
    <row r="273" spans="1:6" x14ac:dyDescent="0.25">
      <c r="A273" s="1">
        <v>44927</v>
      </c>
      <c r="B273" t="s">
        <v>143</v>
      </c>
      <c r="C273" t="s">
        <v>351</v>
      </c>
      <c r="D273" s="2">
        <v>1287640395.9300001</v>
      </c>
      <c r="E273" s="2">
        <v>1268796928.3</v>
      </c>
      <c r="F273" s="2">
        <v>1268777678.3</v>
      </c>
    </row>
    <row r="274" spans="1:6" x14ac:dyDescent="0.25">
      <c r="A274" s="1">
        <v>44927</v>
      </c>
      <c r="B274" t="s">
        <v>96</v>
      </c>
      <c r="C274" t="s">
        <v>352</v>
      </c>
      <c r="D274">
        <v>0</v>
      </c>
      <c r="E274">
        <v>0</v>
      </c>
      <c r="F274">
        <v>0</v>
      </c>
    </row>
    <row r="275" spans="1:6" x14ac:dyDescent="0.25">
      <c r="A275" s="1">
        <v>44927</v>
      </c>
      <c r="B275" t="s">
        <v>21</v>
      </c>
      <c r="C275" t="s">
        <v>353</v>
      </c>
      <c r="D275">
        <v>0</v>
      </c>
      <c r="E275">
        <v>0</v>
      </c>
      <c r="F275">
        <v>0</v>
      </c>
    </row>
    <row r="276" spans="1:6" x14ac:dyDescent="0.25">
      <c r="A276" s="1">
        <v>44927</v>
      </c>
      <c r="B276" t="s">
        <v>154</v>
      </c>
      <c r="C276" t="s">
        <v>354</v>
      </c>
      <c r="D276" s="2">
        <v>9667058</v>
      </c>
      <c r="E276">
        <v>0</v>
      </c>
      <c r="F276">
        <v>0</v>
      </c>
    </row>
    <row r="277" spans="1:6" x14ac:dyDescent="0.25">
      <c r="A277" s="1">
        <v>44927</v>
      </c>
      <c r="B277" t="s">
        <v>355</v>
      </c>
      <c r="C277" t="s">
        <v>356</v>
      </c>
      <c r="D277">
        <v>0</v>
      </c>
      <c r="E277">
        <v>0</v>
      </c>
      <c r="F277">
        <v>0</v>
      </c>
    </row>
    <row r="278" spans="1:6" x14ac:dyDescent="0.25">
      <c r="A278" s="1">
        <v>44927</v>
      </c>
      <c r="B278" t="s">
        <v>31</v>
      </c>
      <c r="C278" t="s">
        <v>357</v>
      </c>
      <c r="D278">
        <v>0</v>
      </c>
      <c r="E278">
        <v>0</v>
      </c>
      <c r="F278">
        <v>0</v>
      </c>
    </row>
    <row r="279" spans="1:6" x14ac:dyDescent="0.25">
      <c r="A279" s="1">
        <v>44927</v>
      </c>
      <c r="B279" t="s">
        <v>81</v>
      </c>
      <c r="C279" t="s">
        <v>358</v>
      </c>
      <c r="D279">
        <v>0</v>
      </c>
      <c r="E279">
        <v>0</v>
      </c>
      <c r="F279">
        <v>0</v>
      </c>
    </row>
    <row r="280" spans="1:6" x14ac:dyDescent="0.25">
      <c r="A280" s="1">
        <v>44927</v>
      </c>
      <c r="B280" t="s">
        <v>15</v>
      </c>
      <c r="C280" t="s">
        <v>359</v>
      </c>
      <c r="D280">
        <v>0</v>
      </c>
      <c r="E280">
        <v>0</v>
      </c>
      <c r="F280">
        <v>0</v>
      </c>
    </row>
    <row r="281" spans="1:6" x14ac:dyDescent="0.25">
      <c r="A281" s="1">
        <v>44927</v>
      </c>
      <c r="B281" t="s">
        <v>159</v>
      </c>
      <c r="C281" t="s">
        <v>360</v>
      </c>
      <c r="D281">
        <v>0</v>
      </c>
      <c r="E281">
        <v>0</v>
      </c>
      <c r="F281">
        <v>0</v>
      </c>
    </row>
    <row r="282" spans="1:6" x14ac:dyDescent="0.25">
      <c r="A282" s="1">
        <v>44927</v>
      </c>
      <c r="B282" t="s">
        <v>361</v>
      </c>
      <c r="C282" t="s">
        <v>362</v>
      </c>
      <c r="D282">
        <v>0</v>
      </c>
      <c r="E282">
        <v>0</v>
      </c>
      <c r="F282">
        <v>0</v>
      </c>
    </row>
    <row r="283" spans="1:6" x14ac:dyDescent="0.25">
      <c r="A283" s="1">
        <v>44927</v>
      </c>
      <c r="B283" t="s">
        <v>181</v>
      </c>
      <c r="C283" t="s">
        <v>363</v>
      </c>
      <c r="D283">
        <v>0</v>
      </c>
      <c r="E283">
        <v>0</v>
      </c>
      <c r="F283">
        <v>0</v>
      </c>
    </row>
    <row r="284" spans="1:6" x14ac:dyDescent="0.25">
      <c r="A284" s="1">
        <v>44927</v>
      </c>
      <c r="B284" t="s">
        <v>31</v>
      </c>
      <c r="C284" t="s">
        <v>364</v>
      </c>
      <c r="D284">
        <v>0</v>
      </c>
      <c r="E284">
        <v>0</v>
      </c>
      <c r="F284">
        <v>0</v>
      </c>
    </row>
    <row r="285" spans="1:6" x14ac:dyDescent="0.25">
      <c r="A285" s="1">
        <v>44927</v>
      </c>
      <c r="B285" t="s">
        <v>23</v>
      </c>
      <c r="C285" t="s">
        <v>365</v>
      </c>
      <c r="D285" s="2">
        <v>9292656.0099999998</v>
      </c>
      <c r="E285" s="2">
        <v>5156.5200000000004</v>
      </c>
      <c r="F285">
        <v>0</v>
      </c>
    </row>
    <row r="286" spans="1:6" x14ac:dyDescent="0.25">
      <c r="A286" s="1">
        <v>44927</v>
      </c>
      <c r="B286" t="s">
        <v>9</v>
      </c>
      <c r="C286" t="s">
        <v>363</v>
      </c>
      <c r="D286">
        <v>0</v>
      </c>
      <c r="E286">
        <v>0</v>
      </c>
      <c r="F286">
        <v>0</v>
      </c>
    </row>
    <row r="287" spans="1:6" x14ac:dyDescent="0.25">
      <c r="A287" s="1">
        <v>44927</v>
      </c>
      <c r="B287" t="s">
        <v>21</v>
      </c>
      <c r="C287" t="s">
        <v>366</v>
      </c>
      <c r="D287">
        <v>0</v>
      </c>
      <c r="E287">
        <v>0</v>
      </c>
      <c r="F287">
        <v>0</v>
      </c>
    </row>
    <row r="288" spans="1:6" x14ac:dyDescent="0.25">
      <c r="A288" s="1">
        <v>44927</v>
      </c>
      <c r="B288" t="s">
        <v>159</v>
      </c>
      <c r="C288" t="s">
        <v>367</v>
      </c>
      <c r="D288">
        <v>0</v>
      </c>
      <c r="E288">
        <v>0</v>
      </c>
      <c r="F288">
        <v>0</v>
      </c>
    </row>
    <row r="289" spans="1:6" x14ac:dyDescent="0.25">
      <c r="A289" s="1">
        <v>44927</v>
      </c>
      <c r="B289" t="s">
        <v>23</v>
      </c>
      <c r="C289" t="s">
        <v>368</v>
      </c>
      <c r="D289" s="2">
        <v>23800</v>
      </c>
      <c r="E289">
        <v>0</v>
      </c>
      <c r="F289">
        <v>0</v>
      </c>
    </row>
    <row r="290" spans="1:6" x14ac:dyDescent="0.25">
      <c r="A290" s="1">
        <v>44927</v>
      </c>
      <c r="B290" t="s">
        <v>21</v>
      </c>
      <c r="C290" t="s">
        <v>369</v>
      </c>
      <c r="D290">
        <v>0</v>
      </c>
      <c r="E290">
        <v>0</v>
      </c>
      <c r="F290">
        <v>0</v>
      </c>
    </row>
    <row r="291" spans="1:6" x14ac:dyDescent="0.25">
      <c r="A291" s="1">
        <v>44927</v>
      </c>
      <c r="B291" t="s">
        <v>23</v>
      </c>
      <c r="C291" t="s">
        <v>370</v>
      </c>
      <c r="D291" s="2">
        <v>458744.34</v>
      </c>
      <c r="E291" s="2">
        <v>10762.04</v>
      </c>
      <c r="F291" s="2">
        <v>10762.04</v>
      </c>
    </row>
    <row r="292" spans="1:6" x14ac:dyDescent="0.25">
      <c r="A292" s="1">
        <v>44927</v>
      </c>
      <c r="B292" t="s">
        <v>98</v>
      </c>
      <c r="C292" t="s">
        <v>322</v>
      </c>
      <c r="D292">
        <v>0</v>
      </c>
      <c r="E292">
        <v>0</v>
      </c>
      <c r="F292">
        <v>0</v>
      </c>
    </row>
    <row r="293" spans="1:6" x14ac:dyDescent="0.25">
      <c r="A293" s="1">
        <v>44927</v>
      </c>
      <c r="B293" t="s">
        <v>96</v>
      </c>
      <c r="C293" t="s">
        <v>274</v>
      </c>
      <c r="D293">
        <v>0</v>
      </c>
      <c r="E293">
        <v>0</v>
      </c>
      <c r="F293">
        <v>0</v>
      </c>
    </row>
    <row r="294" spans="1:6" x14ac:dyDescent="0.25">
      <c r="A294" s="1">
        <v>44927</v>
      </c>
      <c r="B294" t="s">
        <v>23</v>
      </c>
      <c r="C294" t="s">
        <v>371</v>
      </c>
      <c r="D294">
        <v>0</v>
      </c>
      <c r="E294">
        <v>0</v>
      </c>
      <c r="F294">
        <v>0</v>
      </c>
    </row>
    <row r="295" spans="1:6" x14ac:dyDescent="0.25">
      <c r="A295" s="1">
        <v>44927</v>
      </c>
      <c r="B295" t="s">
        <v>50</v>
      </c>
      <c r="C295" t="s">
        <v>372</v>
      </c>
      <c r="D295">
        <v>0</v>
      </c>
      <c r="E295">
        <v>0</v>
      </c>
      <c r="F295">
        <v>0</v>
      </c>
    </row>
    <row r="296" spans="1:6" x14ac:dyDescent="0.25">
      <c r="A296" s="1">
        <v>44927</v>
      </c>
      <c r="B296" t="s">
        <v>25</v>
      </c>
      <c r="C296" t="s">
        <v>373</v>
      </c>
      <c r="D296">
        <v>0</v>
      </c>
      <c r="E296">
        <v>0</v>
      </c>
      <c r="F296">
        <v>0</v>
      </c>
    </row>
    <row r="297" spans="1:6" x14ac:dyDescent="0.25">
      <c r="A297" s="1">
        <v>44927</v>
      </c>
      <c r="B297" t="s">
        <v>118</v>
      </c>
      <c r="C297" t="s">
        <v>374</v>
      </c>
      <c r="D297">
        <v>0</v>
      </c>
      <c r="E297">
        <v>0</v>
      </c>
      <c r="F297">
        <v>0</v>
      </c>
    </row>
    <row r="298" spans="1:6" x14ac:dyDescent="0.25">
      <c r="A298" s="1">
        <v>44927</v>
      </c>
      <c r="B298" t="s">
        <v>132</v>
      </c>
      <c r="C298" t="s">
        <v>375</v>
      </c>
      <c r="D298" s="2">
        <v>2180000</v>
      </c>
      <c r="E298" s="2">
        <v>1090000</v>
      </c>
      <c r="F298" s="2">
        <v>1090000</v>
      </c>
    </row>
    <row r="299" spans="1:6" x14ac:dyDescent="0.25">
      <c r="A299" s="1">
        <v>44927</v>
      </c>
      <c r="B299" t="s">
        <v>98</v>
      </c>
      <c r="C299" t="s">
        <v>376</v>
      </c>
      <c r="D299">
        <v>0</v>
      </c>
      <c r="E299">
        <v>0</v>
      </c>
      <c r="F299">
        <v>0</v>
      </c>
    </row>
    <row r="300" spans="1:6" x14ac:dyDescent="0.25">
      <c r="A300" s="1">
        <v>44927</v>
      </c>
      <c r="B300" t="s">
        <v>17</v>
      </c>
      <c r="C300" t="s">
        <v>377</v>
      </c>
      <c r="D300" s="2">
        <v>10463872.949999999</v>
      </c>
      <c r="E300" s="2">
        <v>5458046.6500000004</v>
      </c>
      <c r="F300" s="2">
        <v>5458046.6500000004</v>
      </c>
    </row>
    <row r="301" spans="1:6" x14ac:dyDescent="0.25">
      <c r="A301" s="1">
        <v>44927</v>
      </c>
      <c r="B301" t="s">
        <v>143</v>
      </c>
      <c r="C301" t="s">
        <v>378</v>
      </c>
      <c r="D301">
        <v>0</v>
      </c>
      <c r="E301">
        <v>0</v>
      </c>
      <c r="F301">
        <v>0</v>
      </c>
    </row>
    <row r="302" spans="1:6" x14ac:dyDescent="0.25">
      <c r="A302" s="1">
        <v>44927</v>
      </c>
      <c r="B302" t="s">
        <v>118</v>
      </c>
      <c r="C302" t="s">
        <v>379</v>
      </c>
      <c r="D302">
        <v>0</v>
      </c>
      <c r="E302">
        <v>0</v>
      </c>
      <c r="F302">
        <v>0</v>
      </c>
    </row>
    <row r="303" spans="1:6" x14ac:dyDescent="0.25">
      <c r="A303" s="1">
        <v>44927</v>
      </c>
      <c r="B303" t="s">
        <v>42</v>
      </c>
      <c r="C303" t="s">
        <v>380</v>
      </c>
      <c r="D303" s="2">
        <v>6166667</v>
      </c>
      <c r="E303" s="2">
        <v>5815250</v>
      </c>
      <c r="F303">
        <v>0</v>
      </c>
    </row>
    <row r="304" spans="1:6" x14ac:dyDescent="0.25">
      <c r="A304" s="1">
        <v>44927</v>
      </c>
      <c r="B304" t="s">
        <v>92</v>
      </c>
      <c r="C304" t="s">
        <v>381</v>
      </c>
      <c r="D304" s="2">
        <v>1478668.37</v>
      </c>
      <c r="E304" s="2">
        <v>16634.91</v>
      </c>
      <c r="F304" s="2">
        <v>7765.08</v>
      </c>
    </row>
    <row r="305" spans="1:6" x14ac:dyDescent="0.25">
      <c r="A305" s="1">
        <v>44927</v>
      </c>
      <c r="B305" t="s">
        <v>53</v>
      </c>
      <c r="C305" t="s">
        <v>382</v>
      </c>
      <c r="D305" s="2">
        <v>4413485665</v>
      </c>
      <c r="E305" s="2">
        <v>401853191.01999998</v>
      </c>
      <c r="F305" s="2">
        <v>401853191.01999998</v>
      </c>
    </row>
    <row r="306" spans="1:6" x14ac:dyDescent="0.25">
      <c r="A306" s="1">
        <v>44927</v>
      </c>
      <c r="B306" t="s">
        <v>383</v>
      </c>
      <c r="C306" t="s">
        <v>277</v>
      </c>
      <c r="D306">
        <v>0</v>
      </c>
      <c r="E306">
        <v>0</v>
      </c>
      <c r="F306">
        <v>0</v>
      </c>
    </row>
    <row r="307" spans="1:6" x14ac:dyDescent="0.25">
      <c r="A307" s="1">
        <v>44927</v>
      </c>
      <c r="B307" t="s">
        <v>37</v>
      </c>
      <c r="C307" t="s">
        <v>384</v>
      </c>
      <c r="D307">
        <v>0</v>
      </c>
      <c r="E307">
        <v>0</v>
      </c>
      <c r="F307">
        <v>0</v>
      </c>
    </row>
    <row r="308" spans="1:6" x14ac:dyDescent="0.25">
      <c r="A308" s="1">
        <v>44927</v>
      </c>
      <c r="B308" t="s">
        <v>132</v>
      </c>
      <c r="C308" t="s">
        <v>385</v>
      </c>
      <c r="D308" s="2">
        <v>1616176.75</v>
      </c>
      <c r="E308" s="2">
        <v>542560.32999999996</v>
      </c>
      <c r="F308" s="2">
        <v>15380.52</v>
      </c>
    </row>
    <row r="309" spans="1:6" x14ac:dyDescent="0.25">
      <c r="A309" s="1">
        <v>44927</v>
      </c>
      <c r="B309" t="s">
        <v>44</v>
      </c>
      <c r="C309" t="s">
        <v>386</v>
      </c>
      <c r="D309" s="2">
        <v>147222</v>
      </c>
      <c r="E309">
        <v>0</v>
      </c>
      <c r="F309">
        <v>0</v>
      </c>
    </row>
    <row r="310" spans="1:6" x14ac:dyDescent="0.25">
      <c r="A310" s="1">
        <v>44927</v>
      </c>
      <c r="B310" t="s">
        <v>37</v>
      </c>
      <c r="C310" t="s">
        <v>387</v>
      </c>
      <c r="D310">
        <v>0</v>
      </c>
      <c r="E310">
        <v>0</v>
      </c>
      <c r="F310">
        <v>0</v>
      </c>
    </row>
    <row r="311" spans="1:6" x14ac:dyDescent="0.25">
      <c r="A311" s="1">
        <v>44927</v>
      </c>
      <c r="B311" t="s">
        <v>40</v>
      </c>
      <c r="C311" t="s">
        <v>388</v>
      </c>
      <c r="D311" s="2">
        <v>57230.73</v>
      </c>
      <c r="E311">
        <v>0</v>
      </c>
      <c r="F311">
        <v>0</v>
      </c>
    </row>
    <row r="312" spans="1:6" x14ac:dyDescent="0.25">
      <c r="A312" s="1">
        <v>44927</v>
      </c>
      <c r="B312" t="s">
        <v>118</v>
      </c>
      <c r="C312" t="s">
        <v>389</v>
      </c>
      <c r="D312">
        <v>0</v>
      </c>
      <c r="E312">
        <v>0</v>
      </c>
      <c r="F312">
        <v>0</v>
      </c>
    </row>
    <row r="313" spans="1:6" x14ac:dyDescent="0.25">
      <c r="A313" s="1">
        <v>44927</v>
      </c>
      <c r="B313" t="s">
        <v>288</v>
      </c>
      <c r="C313" t="s">
        <v>390</v>
      </c>
      <c r="D313">
        <v>0</v>
      </c>
      <c r="E313">
        <v>0</v>
      </c>
      <c r="F313">
        <v>0</v>
      </c>
    </row>
    <row r="314" spans="1:6" x14ac:dyDescent="0.25">
      <c r="A314" s="1">
        <v>44927</v>
      </c>
      <c r="B314" t="s">
        <v>11</v>
      </c>
      <c r="C314" t="s">
        <v>391</v>
      </c>
      <c r="D314" s="2">
        <v>2410958176</v>
      </c>
      <c r="E314" s="2">
        <v>13041940.029999999</v>
      </c>
      <c r="F314" s="2">
        <v>13041940.029999999</v>
      </c>
    </row>
    <row r="315" spans="1:6" x14ac:dyDescent="0.25">
      <c r="A315" s="1">
        <v>44927</v>
      </c>
      <c r="B315" t="s">
        <v>282</v>
      </c>
      <c r="C315" t="s">
        <v>392</v>
      </c>
      <c r="D315">
        <v>0</v>
      </c>
      <c r="E315">
        <v>0</v>
      </c>
      <c r="F315">
        <v>0</v>
      </c>
    </row>
    <row r="316" spans="1:6" x14ac:dyDescent="0.25">
      <c r="A316" s="1">
        <v>44927</v>
      </c>
      <c r="B316" t="s">
        <v>105</v>
      </c>
      <c r="C316" t="s">
        <v>393</v>
      </c>
      <c r="D316">
        <v>0</v>
      </c>
      <c r="E316">
        <v>0</v>
      </c>
      <c r="F316">
        <v>0</v>
      </c>
    </row>
    <row r="317" spans="1:6" x14ac:dyDescent="0.25">
      <c r="A317" s="1">
        <v>44927</v>
      </c>
      <c r="B317" t="s">
        <v>23</v>
      </c>
      <c r="C317" t="s">
        <v>394</v>
      </c>
      <c r="D317">
        <v>0</v>
      </c>
      <c r="E317">
        <v>0</v>
      </c>
      <c r="F317">
        <v>0</v>
      </c>
    </row>
    <row r="318" spans="1:6" x14ac:dyDescent="0.25">
      <c r="A318" s="1">
        <v>44927</v>
      </c>
      <c r="B318" t="s">
        <v>278</v>
      </c>
      <c r="C318" t="s">
        <v>395</v>
      </c>
      <c r="D318">
        <v>0</v>
      </c>
      <c r="E318">
        <v>0</v>
      </c>
      <c r="F318">
        <v>0</v>
      </c>
    </row>
    <row r="319" spans="1:6" x14ac:dyDescent="0.25">
      <c r="A319" s="1">
        <v>44927</v>
      </c>
      <c r="B319" t="s">
        <v>9</v>
      </c>
      <c r="C319" t="s">
        <v>396</v>
      </c>
      <c r="D319">
        <v>0</v>
      </c>
      <c r="E319">
        <v>0</v>
      </c>
      <c r="F319">
        <v>0</v>
      </c>
    </row>
    <row r="320" spans="1:6" x14ac:dyDescent="0.25">
      <c r="A320" s="1">
        <v>44927</v>
      </c>
      <c r="B320" t="s">
        <v>19</v>
      </c>
      <c r="C320" t="s">
        <v>397</v>
      </c>
      <c r="D320" s="2">
        <v>6264705.7699999996</v>
      </c>
      <c r="E320">
        <v>0</v>
      </c>
      <c r="F320">
        <v>0</v>
      </c>
    </row>
    <row r="321" spans="1:6" x14ac:dyDescent="0.25">
      <c r="A321" s="1">
        <v>44927</v>
      </c>
      <c r="B321" t="s">
        <v>398</v>
      </c>
      <c r="C321" t="s">
        <v>399</v>
      </c>
      <c r="D321" s="2">
        <v>12000000</v>
      </c>
      <c r="E321">
        <v>0</v>
      </c>
      <c r="F321">
        <v>0</v>
      </c>
    </row>
    <row r="322" spans="1:6" x14ac:dyDescent="0.25">
      <c r="A322" s="1">
        <v>44927</v>
      </c>
      <c r="B322" t="s">
        <v>42</v>
      </c>
      <c r="C322" t="s">
        <v>400</v>
      </c>
      <c r="D322" s="2">
        <v>2764637786</v>
      </c>
      <c r="E322">
        <v>0</v>
      </c>
      <c r="F322">
        <v>0</v>
      </c>
    </row>
    <row r="323" spans="1:6" x14ac:dyDescent="0.25">
      <c r="A323" s="1">
        <v>44927</v>
      </c>
      <c r="B323" t="s">
        <v>278</v>
      </c>
      <c r="C323" t="s">
        <v>401</v>
      </c>
      <c r="D323">
        <v>0</v>
      </c>
      <c r="E323">
        <v>0</v>
      </c>
      <c r="F323">
        <v>0</v>
      </c>
    </row>
    <row r="324" spans="1:6" x14ac:dyDescent="0.25">
      <c r="A324" s="1">
        <v>44927</v>
      </c>
      <c r="B324" t="s">
        <v>402</v>
      </c>
      <c r="C324" t="s">
        <v>403</v>
      </c>
      <c r="D324">
        <v>0</v>
      </c>
      <c r="E324">
        <v>0</v>
      </c>
      <c r="F324">
        <v>0</v>
      </c>
    </row>
    <row r="325" spans="1:6" x14ac:dyDescent="0.25">
      <c r="A325" s="1">
        <v>44927</v>
      </c>
      <c r="B325" t="s">
        <v>21</v>
      </c>
      <c r="C325" t="s">
        <v>404</v>
      </c>
      <c r="D325">
        <v>0</v>
      </c>
      <c r="E325">
        <v>0</v>
      </c>
      <c r="F325">
        <v>0</v>
      </c>
    </row>
    <row r="326" spans="1:6" x14ac:dyDescent="0.25">
      <c r="A326" s="1">
        <v>44927</v>
      </c>
      <c r="B326" t="s">
        <v>405</v>
      </c>
      <c r="C326" t="s">
        <v>72</v>
      </c>
      <c r="D326">
        <v>0</v>
      </c>
      <c r="E326">
        <v>0</v>
      </c>
      <c r="F326">
        <v>0</v>
      </c>
    </row>
    <row r="327" spans="1:6" x14ac:dyDescent="0.25">
      <c r="A327" s="1">
        <v>44927</v>
      </c>
      <c r="B327" t="s">
        <v>21</v>
      </c>
      <c r="C327" t="s">
        <v>406</v>
      </c>
      <c r="D327">
        <v>0</v>
      </c>
      <c r="E327">
        <v>0</v>
      </c>
      <c r="F327">
        <v>0</v>
      </c>
    </row>
    <row r="328" spans="1:6" x14ac:dyDescent="0.25">
      <c r="A328" s="1">
        <v>44927</v>
      </c>
      <c r="B328" t="s">
        <v>407</v>
      </c>
      <c r="C328" t="s">
        <v>408</v>
      </c>
      <c r="D328">
        <v>0</v>
      </c>
      <c r="E328">
        <v>0</v>
      </c>
      <c r="F328">
        <v>0</v>
      </c>
    </row>
    <row r="329" spans="1:6" x14ac:dyDescent="0.25">
      <c r="A329" s="1">
        <v>44927</v>
      </c>
      <c r="B329" t="s">
        <v>46</v>
      </c>
      <c r="C329" t="s">
        <v>409</v>
      </c>
      <c r="D329" s="2">
        <v>1200213.8999999999</v>
      </c>
      <c r="E329" s="2">
        <v>257339.02</v>
      </c>
      <c r="F329" s="2">
        <v>157478.37</v>
      </c>
    </row>
    <row r="330" spans="1:6" x14ac:dyDescent="0.25">
      <c r="A330" s="1">
        <v>44927</v>
      </c>
      <c r="B330" t="s">
        <v>23</v>
      </c>
      <c r="C330" t="s">
        <v>410</v>
      </c>
      <c r="D330">
        <v>0</v>
      </c>
      <c r="E330">
        <v>0</v>
      </c>
      <c r="F330">
        <v>0</v>
      </c>
    </row>
    <row r="331" spans="1:6" x14ac:dyDescent="0.25">
      <c r="A331" s="1">
        <v>44927</v>
      </c>
      <c r="B331" t="s">
        <v>234</v>
      </c>
      <c r="C331" t="s">
        <v>411</v>
      </c>
      <c r="D331">
        <v>0</v>
      </c>
      <c r="E331">
        <v>0</v>
      </c>
      <c r="F331">
        <v>0</v>
      </c>
    </row>
    <row r="332" spans="1:6" x14ac:dyDescent="0.25">
      <c r="A332" s="1">
        <v>44927</v>
      </c>
      <c r="B332" t="s">
        <v>234</v>
      </c>
      <c r="C332" t="s">
        <v>412</v>
      </c>
      <c r="D332" s="2">
        <v>171990.51</v>
      </c>
      <c r="E332">
        <v>0</v>
      </c>
      <c r="F332">
        <v>0</v>
      </c>
    </row>
    <row r="333" spans="1:6" x14ac:dyDescent="0.25">
      <c r="A333" s="1">
        <v>44927</v>
      </c>
      <c r="B333" t="s">
        <v>98</v>
      </c>
      <c r="C333" t="s">
        <v>413</v>
      </c>
      <c r="D333">
        <v>0</v>
      </c>
      <c r="E333">
        <v>0</v>
      </c>
      <c r="F333">
        <v>0</v>
      </c>
    </row>
    <row r="334" spans="1:6" x14ac:dyDescent="0.25">
      <c r="A334" s="1">
        <v>44927</v>
      </c>
      <c r="B334" t="s">
        <v>306</v>
      </c>
      <c r="C334" t="s">
        <v>414</v>
      </c>
      <c r="D334" s="2">
        <v>256989.82</v>
      </c>
      <c r="E334" s="2">
        <v>14001.48</v>
      </c>
      <c r="F334" s="2">
        <v>14001.48</v>
      </c>
    </row>
    <row r="335" spans="1:6" x14ac:dyDescent="0.25">
      <c r="A335" s="1">
        <v>44927</v>
      </c>
      <c r="B335" t="s">
        <v>132</v>
      </c>
      <c r="C335" t="s">
        <v>415</v>
      </c>
      <c r="D335">
        <v>0</v>
      </c>
      <c r="E335">
        <v>0</v>
      </c>
      <c r="F335">
        <v>0</v>
      </c>
    </row>
    <row r="336" spans="1:6" x14ac:dyDescent="0.25">
      <c r="A336" s="1">
        <v>44927</v>
      </c>
      <c r="B336" t="s">
        <v>100</v>
      </c>
      <c r="C336" t="s">
        <v>416</v>
      </c>
      <c r="D336">
        <v>0</v>
      </c>
      <c r="E336">
        <v>0</v>
      </c>
      <c r="F336">
        <v>0</v>
      </c>
    </row>
    <row r="337" spans="1:6" x14ac:dyDescent="0.25">
      <c r="A337" s="1">
        <v>44927</v>
      </c>
      <c r="B337" t="s">
        <v>355</v>
      </c>
      <c r="C337" t="s">
        <v>417</v>
      </c>
      <c r="D337">
        <v>0</v>
      </c>
      <c r="E337">
        <v>0</v>
      </c>
      <c r="F337">
        <v>0</v>
      </c>
    </row>
    <row r="338" spans="1:6" x14ac:dyDescent="0.25">
      <c r="A338" s="1">
        <v>44927</v>
      </c>
      <c r="B338" t="s">
        <v>23</v>
      </c>
      <c r="C338" t="s">
        <v>418</v>
      </c>
      <c r="D338">
        <v>0</v>
      </c>
      <c r="E338">
        <v>0</v>
      </c>
      <c r="F338">
        <v>0</v>
      </c>
    </row>
    <row r="339" spans="1:6" x14ac:dyDescent="0.25">
      <c r="A339" s="1">
        <v>44927</v>
      </c>
      <c r="B339" t="s">
        <v>118</v>
      </c>
      <c r="C339" t="s">
        <v>419</v>
      </c>
      <c r="D339">
        <v>0</v>
      </c>
      <c r="E339">
        <v>0</v>
      </c>
      <c r="F339">
        <v>0</v>
      </c>
    </row>
    <row r="340" spans="1:6" x14ac:dyDescent="0.25">
      <c r="A340" s="1">
        <v>44927</v>
      </c>
      <c r="B340" t="s">
        <v>23</v>
      </c>
      <c r="C340" t="s">
        <v>74</v>
      </c>
      <c r="D340">
        <v>0</v>
      </c>
      <c r="E340">
        <v>0</v>
      </c>
      <c r="F340">
        <v>0</v>
      </c>
    </row>
    <row r="341" spans="1:6" x14ac:dyDescent="0.25">
      <c r="A341" s="1">
        <v>44927</v>
      </c>
      <c r="B341" t="s">
        <v>37</v>
      </c>
      <c r="C341" t="s">
        <v>420</v>
      </c>
      <c r="D341" s="2">
        <v>5730861757</v>
      </c>
      <c r="E341" s="2">
        <v>1618.4</v>
      </c>
      <c r="F341" s="2">
        <v>1618.4</v>
      </c>
    </row>
    <row r="342" spans="1:6" x14ac:dyDescent="0.25">
      <c r="A342" s="1">
        <v>44927</v>
      </c>
      <c r="B342" t="s">
        <v>162</v>
      </c>
      <c r="C342" t="s">
        <v>421</v>
      </c>
      <c r="D342" s="2">
        <v>443528.24</v>
      </c>
      <c r="E342" s="2">
        <v>34758.239999999998</v>
      </c>
      <c r="F342" s="2">
        <v>19679.77</v>
      </c>
    </row>
    <row r="343" spans="1:6" x14ac:dyDescent="0.25">
      <c r="A343" s="1">
        <v>44927</v>
      </c>
      <c r="B343" t="s">
        <v>422</v>
      </c>
      <c r="C343" t="s">
        <v>423</v>
      </c>
      <c r="D343">
        <v>0</v>
      </c>
      <c r="E343">
        <v>0</v>
      </c>
      <c r="F343">
        <v>0</v>
      </c>
    </row>
    <row r="344" spans="1:6" x14ac:dyDescent="0.25">
      <c r="A344" s="1">
        <v>44927</v>
      </c>
      <c r="B344" t="s">
        <v>46</v>
      </c>
      <c r="C344" t="s">
        <v>424</v>
      </c>
      <c r="D344">
        <v>0</v>
      </c>
      <c r="E344">
        <v>0</v>
      </c>
      <c r="F344">
        <v>0</v>
      </c>
    </row>
    <row r="345" spans="1:6" x14ac:dyDescent="0.25">
      <c r="A345" s="1">
        <v>44927</v>
      </c>
      <c r="B345" t="s">
        <v>50</v>
      </c>
      <c r="C345" t="s">
        <v>425</v>
      </c>
      <c r="D345">
        <v>0</v>
      </c>
      <c r="E345">
        <v>0</v>
      </c>
      <c r="F345">
        <v>0</v>
      </c>
    </row>
    <row r="346" spans="1:6" x14ac:dyDescent="0.25">
      <c r="A346" s="1">
        <v>44927</v>
      </c>
      <c r="B346" t="s">
        <v>426</v>
      </c>
      <c r="C346" t="s">
        <v>427</v>
      </c>
      <c r="D346" s="2">
        <v>561094325085.04004</v>
      </c>
      <c r="E346" s="2">
        <v>420308958123.21002</v>
      </c>
      <c r="F346" s="2">
        <v>420308958123.21002</v>
      </c>
    </row>
    <row r="347" spans="1:6" x14ac:dyDescent="0.25">
      <c r="A347" s="1">
        <v>44927</v>
      </c>
      <c r="B347" t="s">
        <v>90</v>
      </c>
      <c r="C347" t="s">
        <v>428</v>
      </c>
      <c r="D347">
        <v>0</v>
      </c>
      <c r="E347">
        <v>0</v>
      </c>
      <c r="F347">
        <v>0</v>
      </c>
    </row>
    <row r="348" spans="1:6" x14ac:dyDescent="0.25">
      <c r="A348" s="1">
        <v>44927</v>
      </c>
      <c r="B348" t="s">
        <v>132</v>
      </c>
      <c r="C348" t="s">
        <v>429</v>
      </c>
      <c r="D348" s="2">
        <v>13805857.48</v>
      </c>
      <c r="E348" s="2">
        <v>78179.350000000006</v>
      </c>
      <c r="F348" s="2">
        <v>41001.410000000003</v>
      </c>
    </row>
    <row r="349" spans="1:6" x14ac:dyDescent="0.25">
      <c r="A349" s="1">
        <v>44927</v>
      </c>
      <c r="B349" t="s">
        <v>31</v>
      </c>
      <c r="C349" t="s">
        <v>430</v>
      </c>
      <c r="D349">
        <v>0</v>
      </c>
      <c r="E349">
        <v>0</v>
      </c>
      <c r="F349">
        <v>0</v>
      </c>
    </row>
    <row r="350" spans="1:6" x14ac:dyDescent="0.25">
      <c r="A350" s="1">
        <v>44927</v>
      </c>
      <c r="B350" t="s">
        <v>21</v>
      </c>
      <c r="C350" t="s">
        <v>431</v>
      </c>
      <c r="D350" s="2">
        <v>2000000</v>
      </c>
      <c r="E350">
        <v>0</v>
      </c>
      <c r="F350">
        <v>0</v>
      </c>
    </row>
    <row r="351" spans="1:6" x14ac:dyDescent="0.25">
      <c r="A351" s="1">
        <v>44927</v>
      </c>
      <c r="B351" t="s">
        <v>17</v>
      </c>
      <c r="C351" t="s">
        <v>432</v>
      </c>
      <c r="D351" s="2">
        <v>189060.67</v>
      </c>
      <c r="E351" s="2">
        <v>189060.67</v>
      </c>
      <c r="F351" s="2">
        <v>189060.67</v>
      </c>
    </row>
    <row r="352" spans="1:6" x14ac:dyDescent="0.25">
      <c r="A352" s="1">
        <v>44927</v>
      </c>
      <c r="B352" t="s">
        <v>21</v>
      </c>
      <c r="C352" t="s">
        <v>433</v>
      </c>
      <c r="D352">
        <v>0</v>
      </c>
      <c r="E352">
        <v>0</v>
      </c>
      <c r="F352">
        <v>0</v>
      </c>
    </row>
    <row r="353" spans="1:6" x14ac:dyDescent="0.25">
      <c r="A353" s="1">
        <v>44927</v>
      </c>
      <c r="B353" t="s">
        <v>288</v>
      </c>
      <c r="C353" t="s">
        <v>434</v>
      </c>
      <c r="D353">
        <v>0</v>
      </c>
      <c r="E353">
        <v>0</v>
      </c>
      <c r="F353">
        <v>0</v>
      </c>
    </row>
    <row r="354" spans="1:6" x14ac:dyDescent="0.25">
      <c r="A354" s="1">
        <v>44927</v>
      </c>
      <c r="B354" t="s">
        <v>40</v>
      </c>
      <c r="C354" t="s">
        <v>435</v>
      </c>
      <c r="D354">
        <v>0</v>
      </c>
      <c r="E354">
        <v>0</v>
      </c>
      <c r="F354">
        <v>0</v>
      </c>
    </row>
    <row r="355" spans="1:6" x14ac:dyDescent="0.25">
      <c r="A355" s="1">
        <v>44927</v>
      </c>
      <c r="B355" t="s">
        <v>23</v>
      </c>
      <c r="C355" t="s">
        <v>436</v>
      </c>
      <c r="D355">
        <v>0</v>
      </c>
      <c r="E355">
        <v>0</v>
      </c>
      <c r="F355">
        <v>0</v>
      </c>
    </row>
    <row r="356" spans="1:6" x14ac:dyDescent="0.25">
      <c r="A356" s="1">
        <v>44927</v>
      </c>
      <c r="B356" t="s">
        <v>398</v>
      </c>
      <c r="C356" t="s">
        <v>437</v>
      </c>
      <c r="D356">
        <v>0</v>
      </c>
      <c r="E356">
        <v>0</v>
      </c>
      <c r="F356">
        <v>0</v>
      </c>
    </row>
    <row r="357" spans="1:6" x14ac:dyDescent="0.25">
      <c r="A357" s="1">
        <v>44927</v>
      </c>
      <c r="B357" t="s">
        <v>50</v>
      </c>
      <c r="C357" t="s">
        <v>438</v>
      </c>
      <c r="D357">
        <v>0</v>
      </c>
      <c r="E357">
        <v>0</v>
      </c>
      <c r="F357">
        <v>0</v>
      </c>
    </row>
    <row r="358" spans="1:6" x14ac:dyDescent="0.25">
      <c r="A358" s="1">
        <v>44927</v>
      </c>
      <c r="B358" t="s">
        <v>23</v>
      </c>
      <c r="C358" t="s">
        <v>439</v>
      </c>
      <c r="D358">
        <v>0</v>
      </c>
      <c r="E358">
        <v>0</v>
      </c>
      <c r="F358">
        <v>0</v>
      </c>
    </row>
    <row r="359" spans="1:6" x14ac:dyDescent="0.25">
      <c r="A359" s="1">
        <v>44927</v>
      </c>
      <c r="B359" t="s">
        <v>40</v>
      </c>
      <c r="C359" t="s">
        <v>440</v>
      </c>
      <c r="D359" s="2">
        <v>131371.39000000001</v>
      </c>
      <c r="E359">
        <v>0</v>
      </c>
      <c r="F359">
        <v>0</v>
      </c>
    </row>
    <row r="360" spans="1:6" x14ac:dyDescent="0.25">
      <c r="A360" s="1">
        <v>44927</v>
      </c>
      <c r="B360" t="s">
        <v>441</v>
      </c>
      <c r="C360" t="s">
        <v>442</v>
      </c>
      <c r="D360">
        <v>0</v>
      </c>
      <c r="E360">
        <v>0</v>
      </c>
      <c r="F360">
        <v>0</v>
      </c>
    </row>
    <row r="361" spans="1:6" x14ac:dyDescent="0.25">
      <c r="A361" s="1">
        <v>44927</v>
      </c>
      <c r="B361" t="s">
        <v>443</v>
      </c>
      <c r="C361" t="s">
        <v>444</v>
      </c>
      <c r="D361">
        <v>0</v>
      </c>
      <c r="E361">
        <v>0</v>
      </c>
      <c r="F361">
        <v>0</v>
      </c>
    </row>
    <row r="362" spans="1:6" x14ac:dyDescent="0.25">
      <c r="A362" s="1">
        <v>44927</v>
      </c>
      <c r="B362" t="s">
        <v>81</v>
      </c>
      <c r="C362" t="s">
        <v>444</v>
      </c>
      <c r="D362">
        <v>0</v>
      </c>
      <c r="E362">
        <v>0</v>
      </c>
      <c r="F362">
        <v>0</v>
      </c>
    </row>
    <row r="363" spans="1:6" x14ac:dyDescent="0.25">
      <c r="A363" s="1">
        <v>44927</v>
      </c>
      <c r="B363" t="s">
        <v>48</v>
      </c>
      <c r="C363" t="s">
        <v>445</v>
      </c>
      <c r="D363">
        <v>0</v>
      </c>
      <c r="E363">
        <v>0</v>
      </c>
      <c r="F363">
        <v>0</v>
      </c>
    </row>
    <row r="364" spans="1:6" x14ac:dyDescent="0.25">
      <c r="A364" s="1">
        <v>44927</v>
      </c>
      <c r="B364" t="s">
        <v>13</v>
      </c>
      <c r="C364" t="s">
        <v>446</v>
      </c>
      <c r="D364" s="2">
        <v>95291609.959999993</v>
      </c>
      <c r="E364" s="2">
        <v>53107352.840000004</v>
      </c>
      <c r="F364" s="2">
        <v>16188132.98</v>
      </c>
    </row>
    <row r="365" spans="1:6" x14ac:dyDescent="0.25">
      <c r="A365" s="1">
        <v>44927</v>
      </c>
      <c r="B365" t="s">
        <v>42</v>
      </c>
      <c r="C365" t="s">
        <v>447</v>
      </c>
      <c r="D365">
        <v>0</v>
      </c>
      <c r="E365">
        <v>0</v>
      </c>
      <c r="F365">
        <v>0</v>
      </c>
    </row>
    <row r="366" spans="1:6" x14ac:dyDescent="0.25">
      <c r="A366" s="1">
        <v>44927</v>
      </c>
      <c r="B366" t="s">
        <v>7</v>
      </c>
      <c r="C366" t="s">
        <v>448</v>
      </c>
      <c r="D366" s="2">
        <v>53422000</v>
      </c>
      <c r="E366" s="2">
        <v>4144076.19</v>
      </c>
      <c r="F366" s="2">
        <v>4144076.19</v>
      </c>
    </row>
    <row r="367" spans="1:6" x14ac:dyDescent="0.25">
      <c r="A367" s="1">
        <v>44927</v>
      </c>
      <c r="B367" t="s">
        <v>40</v>
      </c>
      <c r="C367" t="s">
        <v>449</v>
      </c>
      <c r="D367">
        <v>0</v>
      </c>
      <c r="E367">
        <v>0</v>
      </c>
      <c r="F367">
        <v>0</v>
      </c>
    </row>
    <row r="368" spans="1:6" x14ac:dyDescent="0.25">
      <c r="A368" s="1">
        <v>44927</v>
      </c>
      <c r="B368" t="s">
        <v>40</v>
      </c>
      <c r="C368" t="s">
        <v>450</v>
      </c>
      <c r="D368" s="2">
        <v>380771.84000000003</v>
      </c>
      <c r="E368" s="2">
        <v>70031.94</v>
      </c>
      <c r="F368" s="2">
        <v>48004.77</v>
      </c>
    </row>
    <row r="369" spans="1:6" x14ac:dyDescent="0.25">
      <c r="A369" s="1">
        <v>44927</v>
      </c>
      <c r="B369" t="s">
        <v>21</v>
      </c>
      <c r="C369" t="s">
        <v>451</v>
      </c>
      <c r="D369">
        <v>0</v>
      </c>
      <c r="E369">
        <v>0</v>
      </c>
      <c r="F369">
        <v>0</v>
      </c>
    </row>
    <row r="370" spans="1:6" x14ac:dyDescent="0.25">
      <c r="A370" s="1">
        <v>44927</v>
      </c>
      <c r="B370" t="s">
        <v>234</v>
      </c>
      <c r="C370" t="s">
        <v>452</v>
      </c>
      <c r="D370">
        <v>0</v>
      </c>
      <c r="E370">
        <v>0</v>
      </c>
      <c r="F370">
        <v>0</v>
      </c>
    </row>
    <row r="371" spans="1:6" x14ac:dyDescent="0.25">
      <c r="A371" s="1">
        <v>44927</v>
      </c>
      <c r="B371" t="s">
        <v>103</v>
      </c>
      <c r="C371" t="s">
        <v>453</v>
      </c>
      <c r="D371">
        <v>0</v>
      </c>
      <c r="E371">
        <v>0</v>
      </c>
      <c r="F371">
        <v>0</v>
      </c>
    </row>
    <row r="372" spans="1:6" x14ac:dyDescent="0.25">
      <c r="A372" s="1">
        <v>44927</v>
      </c>
      <c r="B372" t="s">
        <v>234</v>
      </c>
      <c r="C372" t="s">
        <v>454</v>
      </c>
      <c r="D372" s="2">
        <v>28214474.100000001</v>
      </c>
      <c r="E372">
        <v>0</v>
      </c>
      <c r="F372">
        <v>0</v>
      </c>
    </row>
    <row r="373" spans="1:6" x14ac:dyDescent="0.25">
      <c r="A373" s="1">
        <v>44927</v>
      </c>
      <c r="B373" t="s">
        <v>40</v>
      </c>
      <c r="C373" t="s">
        <v>455</v>
      </c>
      <c r="D373">
        <v>0</v>
      </c>
      <c r="E373">
        <v>0</v>
      </c>
      <c r="F373">
        <v>0</v>
      </c>
    </row>
    <row r="374" spans="1:6" x14ac:dyDescent="0.25">
      <c r="A374" s="1">
        <v>44927</v>
      </c>
      <c r="B374" t="s">
        <v>21</v>
      </c>
      <c r="C374" t="s">
        <v>456</v>
      </c>
      <c r="D374">
        <v>0</v>
      </c>
      <c r="E374">
        <v>0</v>
      </c>
      <c r="F374">
        <v>0</v>
      </c>
    </row>
    <row r="375" spans="1:6" x14ac:dyDescent="0.25">
      <c r="A375" s="1">
        <v>44927</v>
      </c>
      <c r="B375" t="s">
        <v>40</v>
      </c>
      <c r="C375" t="s">
        <v>457</v>
      </c>
      <c r="D375" s="2">
        <v>3936613.14</v>
      </c>
      <c r="E375" s="2">
        <v>3078975.29</v>
      </c>
      <c r="F375" s="2">
        <v>341259.1</v>
      </c>
    </row>
    <row r="376" spans="1:6" x14ac:dyDescent="0.25">
      <c r="A376" s="1">
        <v>44927</v>
      </c>
      <c r="B376" t="s">
        <v>458</v>
      </c>
      <c r="C376" t="s">
        <v>260</v>
      </c>
      <c r="D376">
        <v>0</v>
      </c>
      <c r="E376">
        <v>0</v>
      </c>
      <c r="F376">
        <v>0</v>
      </c>
    </row>
    <row r="377" spans="1:6" x14ac:dyDescent="0.25">
      <c r="A377" s="1">
        <v>44927</v>
      </c>
      <c r="B377" t="s">
        <v>40</v>
      </c>
      <c r="C377" t="s">
        <v>459</v>
      </c>
      <c r="D377" s="2">
        <v>23497778439.330002</v>
      </c>
      <c r="E377" s="2">
        <v>2341819487</v>
      </c>
      <c r="F377" s="2">
        <v>368819087.13999999</v>
      </c>
    </row>
    <row r="378" spans="1:6" x14ac:dyDescent="0.25">
      <c r="A378" s="1">
        <v>44927</v>
      </c>
      <c r="B378" t="s">
        <v>460</v>
      </c>
      <c r="C378" t="s">
        <v>461</v>
      </c>
      <c r="D378" s="2">
        <v>90000</v>
      </c>
      <c r="E378" s="2">
        <v>9004.75</v>
      </c>
      <c r="F378" s="2">
        <v>9004.75</v>
      </c>
    </row>
    <row r="379" spans="1:6" x14ac:dyDescent="0.25">
      <c r="A379" s="1">
        <v>44927</v>
      </c>
      <c r="B379" t="s">
        <v>21</v>
      </c>
      <c r="C379" t="s">
        <v>462</v>
      </c>
      <c r="D379">
        <v>0</v>
      </c>
      <c r="E379">
        <v>0</v>
      </c>
      <c r="F379">
        <v>0</v>
      </c>
    </row>
    <row r="380" spans="1:6" x14ac:dyDescent="0.25">
      <c r="A380" s="1">
        <v>44927</v>
      </c>
      <c r="B380" t="s">
        <v>21</v>
      </c>
      <c r="C380" t="s">
        <v>463</v>
      </c>
      <c r="D380">
        <v>0</v>
      </c>
      <c r="E380">
        <v>0</v>
      </c>
      <c r="F380">
        <v>0</v>
      </c>
    </row>
    <row r="381" spans="1:6" x14ac:dyDescent="0.25">
      <c r="A381" s="1">
        <v>44927</v>
      </c>
      <c r="B381" t="s">
        <v>31</v>
      </c>
      <c r="C381" t="s">
        <v>464</v>
      </c>
      <c r="D381">
        <v>0</v>
      </c>
      <c r="E381">
        <v>0</v>
      </c>
      <c r="F381">
        <v>0</v>
      </c>
    </row>
    <row r="382" spans="1:6" x14ac:dyDescent="0.25">
      <c r="A382" s="1">
        <v>44927</v>
      </c>
      <c r="B382" t="s">
        <v>92</v>
      </c>
      <c r="C382" t="s">
        <v>465</v>
      </c>
      <c r="D382" s="2">
        <v>127482.5</v>
      </c>
      <c r="E382" s="2">
        <v>127482.5</v>
      </c>
      <c r="F382" s="2">
        <v>127482.5</v>
      </c>
    </row>
    <row r="383" spans="1:6" x14ac:dyDescent="0.25">
      <c r="A383" s="1">
        <v>44927</v>
      </c>
      <c r="B383" t="s">
        <v>40</v>
      </c>
      <c r="C383" t="s">
        <v>466</v>
      </c>
      <c r="D383" s="2">
        <v>450000</v>
      </c>
      <c r="E383" s="2">
        <v>402918</v>
      </c>
      <c r="F383">
        <v>0</v>
      </c>
    </row>
    <row r="384" spans="1:6" x14ac:dyDescent="0.25">
      <c r="A384" s="1">
        <v>44927</v>
      </c>
      <c r="B384" t="s">
        <v>154</v>
      </c>
      <c r="C384" t="s">
        <v>467</v>
      </c>
      <c r="D384">
        <v>0</v>
      </c>
      <c r="E384">
        <v>0</v>
      </c>
      <c r="F384">
        <v>0</v>
      </c>
    </row>
    <row r="385" spans="1:6" x14ac:dyDescent="0.25">
      <c r="A385" s="1">
        <v>44927</v>
      </c>
      <c r="B385" t="s">
        <v>196</v>
      </c>
      <c r="C385" t="s">
        <v>468</v>
      </c>
      <c r="D385">
        <v>0</v>
      </c>
      <c r="E385">
        <v>0</v>
      </c>
      <c r="F385">
        <v>0</v>
      </c>
    </row>
    <row r="386" spans="1:6" x14ac:dyDescent="0.25">
      <c r="A386" s="1">
        <v>44927</v>
      </c>
      <c r="B386" t="s">
        <v>132</v>
      </c>
      <c r="C386" t="s">
        <v>469</v>
      </c>
      <c r="D386" s="2">
        <v>78061222.799999997</v>
      </c>
      <c r="E386" s="2">
        <v>18618851.68</v>
      </c>
      <c r="F386" s="2">
        <v>5062465.07</v>
      </c>
    </row>
    <row r="387" spans="1:6" x14ac:dyDescent="0.25">
      <c r="A387" s="1">
        <v>44927</v>
      </c>
      <c r="B387" t="s">
        <v>21</v>
      </c>
      <c r="C387" t="s">
        <v>470</v>
      </c>
      <c r="D387" s="2">
        <v>109391393.95999999</v>
      </c>
      <c r="E387">
        <v>0</v>
      </c>
      <c r="F387">
        <v>0</v>
      </c>
    </row>
    <row r="388" spans="1:6" x14ac:dyDescent="0.25">
      <c r="A388" s="1">
        <v>44927</v>
      </c>
      <c r="B388" t="s">
        <v>11</v>
      </c>
      <c r="C388" t="s">
        <v>471</v>
      </c>
      <c r="D388" s="2">
        <v>261184474.37</v>
      </c>
      <c r="E388" s="2">
        <v>6537319.0099999998</v>
      </c>
      <c r="F388" s="2">
        <v>1185035.6599999999</v>
      </c>
    </row>
    <row r="389" spans="1:6" x14ac:dyDescent="0.25">
      <c r="A389" s="1">
        <v>44927</v>
      </c>
      <c r="B389" t="s">
        <v>48</v>
      </c>
      <c r="C389" t="s">
        <v>472</v>
      </c>
      <c r="D389" s="2">
        <v>940939.58</v>
      </c>
      <c r="E389" s="2">
        <v>921447.73</v>
      </c>
      <c r="F389" s="2">
        <v>849335.93</v>
      </c>
    </row>
    <row r="390" spans="1:6" x14ac:dyDescent="0.25">
      <c r="A390" s="1">
        <v>44927</v>
      </c>
      <c r="B390" t="s">
        <v>422</v>
      </c>
      <c r="C390" t="s">
        <v>473</v>
      </c>
      <c r="D390">
        <v>0</v>
      </c>
      <c r="E390">
        <v>0</v>
      </c>
      <c r="F390">
        <v>0</v>
      </c>
    </row>
    <row r="391" spans="1:6" x14ac:dyDescent="0.25">
      <c r="A391" s="1">
        <v>44927</v>
      </c>
      <c r="B391" t="s">
        <v>13</v>
      </c>
      <c r="C391" t="s">
        <v>474</v>
      </c>
      <c r="D391">
        <v>0</v>
      </c>
      <c r="E391">
        <v>0</v>
      </c>
      <c r="F391">
        <v>0</v>
      </c>
    </row>
    <row r="392" spans="1:6" x14ac:dyDescent="0.25">
      <c r="A392" s="1">
        <v>44927</v>
      </c>
      <c r="B392" t="s">
        <v>13</v>
      </c>
      <c r="C392" t="s">
        <v>475</v>
      </c>
      <c r="D392" s="2">
        <v>1552935.24</v>
      </c>
      <c r="E392" s="2">
        <v>144940.85</v>
      </c>
      <c r="F392" s="2">
        <v>135671.85999999999</v>
      </c>
    </row>
    <row r="393" spans="1:6" x14ac:dyDescent="0.25">
      <c r="A393" s="1">
        <v>44927</v>
      </c>
      <c r="B393" t="s">
        <v>476</v>
      </c>
      <c r="C393" t="s">
        <v>477</v>
      </c>
      <c r="D393">
        <v>0</v>
      </c>
      <c r="E393">
        <v>0</v>
      </c>
      <c r="F393">
        <v>0</v>
      </c>
    </row>
    <row r="394" spans="1:6" x14ac:dyDescent="0.25">
      <c r="A394" s="1">
        <v>44927</v>
      </c>
      <c r="B394" t="s">
        <v>185</v>
      </c>
      <c r="C394" t="s">
        <v>478</v>
      </c>
      <c r="D394" s="2">
        <v>2965491231.7199998</v>
      </c>
      <c r="E394" s="2">
        <v>103281914.38</v>
      </c>
      <c r="F394" s="2">
        <v>52789955.43</v>
      </c>
    </row>
    <row r="395" spans="1:6" x14ac:dyDescent="0.25">
      <c r="A395" s="1">
        <v>44927</v>
      </c>
      <c r="B395" t="s">
        <v>11</v>
      </c>
      <c r="C395" t="s">
        <v>479</v>
      </c>
      <c r="D395" s="2">
        <v>8244019280</v>
      </c>
      <c r="E395" s="2">
        <v>146600154.93000001</v>
      </c>
      <c r="F395" s="2">
        <v>146600154.93000001</v>
      </c>
    </row>
    <row r="396" spans="1:6" x14ac:dyDescent="0.25">
      <c r="A396" s="1">
        <v>44927</v>
      </c>
      <c r="B396" t="s">
        <v>288</v>
      </c>
      <c r="C396" t="s">
        <v>480</v>
      </c>
      <c r="D396" s="2">
        <v>78330.22</v>
      </c>
      <c r="E396">
        <v>0</v>
      </c>
      <c r="F396">
        <v>0</v>
      </c>
    </row>
    <row r="397" spans="1:6" x14ac:dyDescent="0.25">
      <c r="A397" s="1">
        <v>44927</v>
      </c>
      <c r="B397" t="s">
        <v>278</v>
      </c>
      <c r="C397" t="s">
        <v>481</v>
      </c>
      <c r="D397">
        <v>0</v>
      </c>
      <c r="E397">
        <v>0</v>
      </c>
      <c r="F397">
        <v>0</v>
      </c>
    </row>
    <row r="398" spans="1:6" x14ac:dyDescent="0.25">
      <c r="A398" s="1">
        <v>44927</v>
      </c>
      <c r="B398" t="s">
        <v>55</v>
      </c>
      <c r="C398" t="s">
        <v>482</v>
      </c>
      <c r="D398">
        <v>0</v>
      </c>
      <c r="E398">
        <v>0</v>
      </c>
      <c r="F398">
        <v>0</v>
      </c>
    </row>
    <row r="399" spans="1:6" x14ac:dyDescent="0.25">
      <c r="A399" s="1">
        <v>44927</v>
      </c>
      <c r="B399" t="s">
        <v>63</v>
      </c>
      <c r="C399" t="s">
        <v>483</v>
      </c>
      <c r="D399">
        <v>0</v>
      </c>
      <c r="E399">
        <v>0</v>
      </c>
      <c r="F399">
        <v>0</v>
      </c>
    </row>
    <row r="400" spans="1:6" x14ac:dyDescent="0.25">
      <c r="A400" s="1">
        <v>44927</v>
      </c>
      <c r="B400" t="s">
        <v>11</v>
      </c>
      <c r="C400" t="s">
        <v>484</v>
      </c>
      <c r="D400" s="2">
        <v>60622099</v>
      </c>
      <c r="E400" s="2">
        <v>3808230.33</v>
      </c>
      <c r="F400" s="2">
        <v>3808230.33</v>
      </c>
    </row>
    <row r="401" spans="1:6" x14ac:dyDescent="0.25">
      <c r="A401" s="1">
        <v>44927</v>
      </c>
      <c r="B401" t="s">
        <v>75</v>
      </c>
      <c r="C401" t="s">
        <v>485</v>
      </c>
      <c r="D401" s="2">
        <v>15000</v>
      </c>
      <c r="E401">
        <v>0</v>
      </c>
      <c r="F401">
        <v>0</v>
      </c>
    </row>
    <row r="402" spans="1:6" x14ac:dyDescent="0.25">
      <c r="A402" s="1">
        <v>44927</v>
      </c>
      <c r="B402" t="s">
        <v>118</v>
      </c>
      <c r="C402" t="s">
        <v>486</v>
      </c>
      <c r="D402">
        <v>0</v>
      </c>
      <c r="E402">
        <v>0</v>
      </c>
      <c r="F402">
        <v>0</v>
      </c>
    </row>
    <row r="403" spans="1:6" x14ac:dyDescent="0.25">
      <c r="A403" s="1">
        <v>44927</v>
      </c>
      <c r="B403" t="s">
        <v>40</v>
      </c>
      <c r="C403" t="s">
        <v>487</v>
      </c>
      <c r="D403" s="2">
        <v>26094873996.169998</v>
      </c>
      <c r="E403" s="2">
        <v>2576337867.6300001</v>
      </c>
      <c r="F403" s="2">
        <v>994728760.87</v>
      </c>
    </row>
    <row r="404" spans="1:6" x14ac:dyDescent="0.25">
      <c r="A404" s="1">
        <v>44927</v>
      </c>
      <c r="B404" t="s">
        <v>92</v>
      </c>
      <c r="C404" t="s">
        <v>488</v>
      </c>
      <c r="D404" s="2">
        <v>77000</v>
      </c>
      <c r="E404">
        <v>0</v>
      </c>
      <c r="F404">
        <v>0</v>
      </c>
    </row>
    <row r="405" spans="1:6" x14ac:dyDescent="0.25">
      <c r="A405" s="1">
        <v>44927</v>
      </c>
      <c r="B405" t="s">
        <v>206</v>
      </c>
      <c r="C405" t="s">
        <v>489</v>
      </c>
      <c r="D405">
        <v>0</v>
      </c>
      <c r="E405">
        <v>0</v>
      </c>
      <c r="F405">
        <v>0</v>
      </c>
    </row>
    <row r="406" spans="1:6" x14ac:dyDescent="0.25">
      <c r="A406" s="1">
        <v>44927</v>
      </c>
      <c r="B406" t="s">
        <v>490</v>
      </c>
      <c r="C406" t="s">
        <v>491</v>
      </c>
      <c r="D406">
        <v>0</v>
      </c>
      <c r="E406">
        <v>0</v>
      </c>
      <c r="F406">
        <v>0</v>
      </c>
    </row>
    <row r="407" spans="1:6" x14ac:dyDescent="0.25">
      <c r="A407" s="1">
        <v>44927</v>
      </c>
      <c r="B407" t="s">
        <v>37</v>
      </c>
      <c r="C407" t="s">
        <v>492</v>
      </c>
      <c r="D407">
        <v>0</v>
      </c>
      <c r="E407">
        <v>0</v>
      </c>
      <c r="F407">
        <v>0</v>
      </c>
    </row>
    <row r="408" spans="1:6" x14ac:dyDescent="0.25">
      <c r="A408" s="1">
        <v>44927</v>
      </c>
      <c r="B408" t="s">
        <v>185</v>
      </c>
      <c r="C408" t="s">
        <v>493</v>
      </c>
      <c r="D408" s="2">
        <v>298845798.56999999</v>
      </c>
      <c r="E408" s="2">
        <v>132675880.41</v>
      </c>
      <c r="F408" s="2">
        <v>106649229.77</v>
      </c>
    </row>
    <row r="409" spans="1:6" x14ac:dyDescent="0.25">
      <c r="A409" s="1">
        <v>44927</v>
      </c>
      <c r="B409" t="s">
        <v>402</v>
      </c>
      <c r="C409" t="s">
        <v>494</v>
      </c>
      <c r="D409">
        <v>0</v>
      </c>
      <c r="E409">
        <v>0</v>
      </c>
      <c r="F409">
        <v>0</v>
      </c>
    </row>
    <row r="410" spans="1:6" x14ac:dyDescent="0.25">
      <c r="A410" s="1">
        <v>44927</v>
      </c>
      <c r="B410" t="s">
        <v>53</v>
      </c>
      <c r="C410" t="s">
        <v>495</v>
      </c>
      <c r="D410">
        <v>0</v>
      </c>
      <c r="E410">
        <v>0</v>
      </c>
      <c r="F410">
        <v>0</v>
      </c>
    </row>
    <row r="411" spans="1:6" x14ac:dyDescent="0.25">
      <c r="A411" s="1">
        <v>44927</v>
      </c>
      <c r="B411" t="s">
        <v>23</v>
      </c>
      <c r="C411" t="s">
        <v>496</v>
      </c>
      <c r="D411" s="2">
        <v>58416.15</v>
      </c>
      <c r="E411" s="2">
        <v>3731.9</v>
      </c>
      <c r="F411" s="2">
        <v>3731.9</v>
      </c>
    </row>
    <row r="412" spans="1:6" x14ac:dyDescent="0.25">
      <c r="A412" s="1">
        <v>44927</v>
      </c>
      <c r="B412" t="s">
        <v>21</v>
      </c>
      <c r="C412" t="s">
        <v>497</v>
      </c>
      <c r="D412">
        <v>0</v>
      </c>
      <c r="E412">
        <v>0</v>
      </c>
      <c r="F412">
        <v>0</v>
      </c>
    </row>
    <row r="413" spans="1:6" x14ac:dyDescent="0.25">
      <c r="A413" s="1">
        <v>44927</v>
      </c>
      <c r="B413" t="s">
        <v>398</v>
      </c>
      <c r="C413" t="s">
        <v>498</v>
      </c>
      <c r="D413" s="2">
        <v>129000</v>
      </c>
      <c r="E413">
        <v>0</v>
      </c>
      <c r="F413">
        <v>0</v>
      </c>
    </row>
    <row r="414" spans="1:6" x14ac:dyDescent="0.25">
      <c r="A414" s="1">
        <v>44927</v>
      </c>
      <c r="B414" t="s">
        <v>107</v>
      </c>
      <c r="C414" t="s">
        <v>499</v>
      </c>
      <c r="D414">
        <v>0</v>
      </c>
      <c r="E414">
        <v>0</v>
      </c>
      <c r="F414">
        <v>0</v>
      </c>
    </row>
    <row r="415" spans="1:6" x14ac:dyDescent="0.25">
      <c r="A415" s="1">
        <v>44927</v>
      </c>
      <c r="B415" t="s">
        <v>443</v>
      </c>
      <c r="C415" t="s">
        <v>500</v>
      </c>
      <c r="D415">
        <v>0</v>
      </c>
      <c r="E415">
        <v>0</v>
      </c>
      <c r="F415">
        <v>0</v>
      </c>
    </row>
    <row r="416" spans="1:6" x14ac:dyDescent="0.25">
      <c r="A416" s="1">
        <v>44927</v>
      </c>
      <c r="B416" t="s">
        <v>196</v>
      </c>
      <c r="C416" t="s">
        <v>501</v>
      </c>
      <c r="D416">
        <v>0</v>
      </c>
      <c r="E416">
        <v>0</v>
      </c>
      <c r="F416">
        <v>0</v>
      </c>
    </row>
    <row r="417" spans="1:6" x14ac:dyDescent="0.25">
      <c r="A417" s="1">
        <v>44927</v>
      </c>
      <c r="B417" t="s">
        <v>187</v>
      </c>
      <c r="C417" t="s">
        <v>502</v>
      </c>
      <c r="D417">
        <v>0</v>
      </c>
      <c r="E417">
        <v>0</v>
      </c>
      <c r="F417">
        <v>0</v>
      </c>
    </row>
    <row r="418" spans="1:6" x14ac:dyDescent="0.25">
      <c r="A418" s="1">
        <v>44927</v>
      </c>
      <c r="B418" t="s">
        <v>68</v>
      </c>
      <c r="C418" t="s">
        <v>503</v>
      </c>
      <c r="D418">
        <v>0</v>
      </c>
      <c r="E418">
        <v>0</v>
      </c>
      <c r="F418">
        <v>0</v>
      </c>
    </row>
    <row r="419" spans="1:6" x14ac:dyDescent="0.25">
      <c r="A419" s="1">
        <v>44927</v>
      </c>
      <c r="B419" t="s">
        <v>37</v>
      </c>
      <c r="C419" t="s">
        <v>504</v>
      </c>
      <c r="D419" s="2">
        <v>7328181</v>
      </c>
      <c r="E419">
        <v>0</v>
      </c>
      <c r="F419">
        <v>0</v>
      </c>
    </row>
    <row r="420" spans="1:6" x14ac:dyDescent="0.25">
      <c r="A420" s="1">
        <v>44927</v>
      </c>
      <c r="B420" t="s">
        <v>23</v>
      </c>
      <c r="C420" t="s">
        <v>482</v>
      </c>
      <c r="D420" s="2">
        <v>20000</v>
      </c>
      <c r="E420" s="2">
        <v>20000</v>
      </c>
      <c r="F420" s="2">
        <v>20000</v>
      </c>
    </row>
    <row r="421" spans="1:6" x14ac:dyDescent="0.25">
      <c r="A421" s="1">
        <v>44927</v>
      </c>
      <c r="B421" t="s">
        <v>107</v>
      </c>
      <c r="C421" t="s">
        <v>505</v>
      </c>
      <c r="D421" s="2">
        <v>2602013.73</v>
      </c>
      <c r="E421">
        <v>0</v>
      </c>
      <c r="F421">
        <v>0</v>
      </c>
    </row>
    <row r="422" spans="1:6" x14ac:dyDescent="0.25">
      <c r="A422" s="1">
        <v>44927</v>
      </c>
      <c r="B422" t="s">
        <v>196</v>
      </c>
      <c r="C422" t="s">
        <v>506</v>
      </c>
      <c r="D422">
        <v>0</v>
      </c>
      <c r="E422">
        <v>0</v>
      </c>
      <c r="F422">
        <v>0</v>
      </c>
    </row>
    <row r="423" spans="1:6" x14ac:dyDescent="0.25">
      <c r="A423" s="1">
        <v>44927</v>
      </c>
      <c r="B423" t="s">
        <v>143</v>
      </c>
      <c r="C423" t="s">
        <v>507</v>
      </c>
      <c r="D423" s="2">
        <v>628149900</v>
      </c>
      <c r="E423" s="2">
        <v>628149900</v>
      </c>
      <c r="F423" s="2">
        <v>628149900</v>
      </c>
    </row>
    <row r="424" spans="1:6" x14ac:dyDescent="0.25">
      <c r="A424" s="1">
        <v>44927</v>
      </c>
      <c r="B424" t="s">
        <v>118</v>
      </c>
      <c r="C424" t="s">
        <v>508</v>
      </c>
      <c r="D424">
        <v>0</v>
      </c>
      <c r="E424">
        <v>0</v>
      </c>
      <c r="F424">
        <v>0</v>
      </c>
    </row>
    <row r="425" spans="1:6" x14ac:dyDescent="0.25">
      <c r="A425" s="1">
        <v>44927</v>
      </c>
      <c r="B425" t="s">
        <v>107</v>
      </c>
      <c r="C425" t="s">
        <v>509</v>
      </c>
      <c r="D425">
        <v>0</v>
      </c>
      <c r="E425">
        <v>0</v>
      </c>
      <c r="F425">
        <v>0</v>
      </c>
    </row>
    <row r="426" spans="1:6" x14ac:dyDescent="0.25">
      <c r="A426" s="1">
        <v>44927</v>
      </c>
      <c r="B426" t="s">
        <v>21</v>
      </c>
      <c r="C426" t="s">
        <v>510</v>
      </c>
      <c r="D426">
        <v>0</v>
      </c>
      <c r="E426">
        <v>0</v>
      </c>
      <c r="F426">
        <v>0</v>
      </c>
    </row>
    <row r="427" spans="1:6" x14ac:dyDescent="0.25">
      <c r="A427" s="1">
        <v>44927</v>
      </c>
      <c r="B427" t="s">
        <v>118</v>
      </c>
      <c r="C427" t="s">
        <v>511</v>
      </c>
      <c r="D427" s="2">
        <v>64993.93</v>
      </c>
      <c r="E427" s="2">
        <v>14993.93</v>
      </c>
      <c r="F427">
        <v>0</v>
      </c>
    </row>
    <row r="428" spans="1:6" x14ac:dyDescent="0.25">
      <c r="A428" s="1">
        <v>44927</v>
      </c>
      <c r="B428" t="s">
        <v>490</v>
      </c>
      <c r="C428" t="s">
        <v>512</v>
      </c>
      <c r="D428">
        <v>0</v>
      </c>
      <c r="E428">
        <v>0</v>
      </c>
      <c r="F428">
        <v>0</v>
      </c>
    </row>
    <row r="429" spans="1:6" x14ac:dyDescent="0.25">
      <c r="A429" s="1">
        <v>44927</v>
      </c>
      <c r="B429" t="s">
        <v>107</v>
      </c>
      <c r="C429" t="s">
        <v>513</v>
      </c>
      <c r="D429" s="2">
        <v>9000</v>
      </c>
      <c r="E429">
        <v>0</v>
      </c>
      <c r="F429">
        <v>0</v>
      </c>
    </row>
    <row r="430" spans="1:6" x14ac:dyDescent="0.25">
      <c r="A430" s="1">
        <v>44927</v>
      </c>
      <c r="B430" t="s">
        <v>107</v>
      </c>
      <c r="C430" t="s">
        <v>514</v>
      </c>
      <c r="D430" s="2">
        <v>330000</v>
      </c>
      <c r="E430" s="2">
        <v>330000</v>
      </c>
      <c r="F430">
        <v>0</v>
      </c>
    </row>
    <row r="431" spans="1:6" x14ac:dyDescent="0.25">
      <c r="A431" s="1">
        <v>44927</v>
      </c>
      <c r="B431" t="s">
        <v>40</v>
      </c>
      <c r="C431" t="s">
        <v>515</v>
      </c>
      <c r="D431">
        <v>0</v>
      </c>
      <c r="E431">
        <v>0</v>
      </c>
      <c r="F431">
        <v>0</v>
      </c>
    </row>
    <row r="432" spans="1:6" x14ac:dyDescent="0.25">
      <c r="A432" s="1">
        <v>44927</v>
      </c>
      <c r="B432" t="s">
        <v>21</v>
      </c>
      <c r="C432" t="s">
        <v>516</v>
      </c>
      <c r="D432">
        <v>0</v>
      </c>
      <c r="E432">
        <v>0</v>
      </c>
      <c r="F432">
        <v>0</v>
      </c>
    </row>
    <row r="433" spans="1:6" x14ac:dyDescent="0.25">
      <c r="A433" s="1">
        <v>44927</v>
      </c>
      <c r="B433" t="s">
        <v>143</v>
      </c>
      <c r="C433" t="s">
        <v>517</v>
      </c>
      <c r="D433">
        <v>0</v>
      </c>
      <c r="E433">
        <v>0</v>
      </c>
      <c r="F433">
        <v>0</v>
      </c>
    </row>
    <row r="434" spans="1:6" x14ac:dyDescent="0.25">
      <c r="A434" s="1">
        <v>44927</v>
      </c>
      <c r="B434" t="s">
        <v>15</v>
      </c>
      <c r="C434" t="s">
        <v>205</v>
      </c>
      <c r="D434" s="2">
        <v>2057128.51</v>
      </c>
      <c r="E434" s="2">
        <v>659965.68000000005</v>
      </c>
      <c r="F434" s="2">
        <v>109322.62</v>
      </c>
    </row>
    <row r="435" spans="1:6" x14ac:dyDescent="0.25">
      <c r="A435" s="1">
        <v>44927</v>
      </c>
      <c r="B435" t="s">
        <v>518</v>
      </c>
      <c r="C435" t="s">
        <v>519</v>
      </c>
      <c r="D435">
        <v>0</v>
      </c>
      <c r="E435">
        <v>0</v>
      </c>
      <c r="F435">
        <v>0</v>
      </c>
    </row>
    <row r="436" spans="1:6" x14ac:dyDescent="0.25">
      <c r="A436" s="1">
        <v>44927</v>
      </c>
      <c r="B436" t="s">
        <v>50</v>
      </c>
      <c r="C436" t="s">
        <v>520</v>
      </c>
      <c r="D436">
        <v>0</v>
      </c>
      <c r="E436">
        <v>0</v>
      </c>
      <c r="F436">
        <v>0</v>
      </c>
    </row>
    <row r="437" spans="1:6" x14ac:dyDescent="0.25">
      <c r="A437" s="1">
        <v>44927</v>
      </c>
      <c r="B437" t="s">
        <v>288</v>
      </c>
      <c r="C437" t="s">
        <v>521</v>
      </c>
      <c r="D437">
        <v>0</v>
      </c>
      <c r="E437">
        <v>0</v>
      </c>
      <c r="F437">
        <v>0</v>
      </c>
    </row>
    <row r="438" spans="1:6" x14ac:dyDescent="0.25">
      <c r="A438" s="1">
        <v>44927</v>
      </c>
      <c r="B438" t="s">
        <v>21</v>
      </c>
      <c r="C438" t="s">
        <v>522</v>
      </c>
      <c r="D438">
        <v>0</v>
      </c>
      <c r="E438">
        <v>0</v>
      </c>
      <c r="F438">
        <v>0</v>
      </c>
    </row>
    <row r="439" spans="1:6" x14ac:dyDescent="0.25">
      <c r="A439" s="1">
        <v>44927</v>
      </c>
      <c r="B439" t="s">
        <v>21</v>
      </c>
      <c r="C439" t="s">
        <v>523</v>
      </c>
      <c r="D439">
        <v>0</v>
      </c>
      <c r="E439">
        <v>0</v>
      </c>
      <c r="F439">
        <v>0</v>
      </c>
    </row>
    <row r="440" spans="1:6" x14ac:dyDescent="0.25">
      <c r="A440" s="1">
        <v>44927</v>
      </c>
      <c r="B440" t="s">
        <v>21</v>
      </c>
      <c r="C440" t="s">
        <v>524</v>
      </c>
      <c r="D440">
        <v>0</v>
      </c>
      <c r="E440">
        <v>0</v>
      </c>
      <c r="F440">
        <v>0</v>
      </c>
    </row>
    <row r="441" spans="1:6" x14ac:dyDescent="0.25">
      <c r="A441" s="1">
        <v>44927</v>
      </c>
      <c r="B441" t="s">
        <v>159</v>
      </c>
      <c r="C441" t="s">
        <v>525</v>
      </c>
      <c r="D441">
        <v>0</v>
      </c>
      <c r="E441">
        <v>0</v>
      </c>
      <c r="F441">
        <v>0</v>
      </c>
    </row>
    <row r="442" spans="1:6" x14ac:dyDescent="0.25">
      <c r="A442" s="1">
        <v>44927</v>
      </c>
      <c r="B442" t="s">
        <v>21</v>
      </c>
      <c r="C442" t="s">
        <v>526</v>
      </c>
      <c r="D442" s="2">
        <v>5000000</v>
      </c>
      <c r="E442">
        <v>0</v>
      </c>
      <c r="F442">
        <v>0</v>
      </c>
    </row>
    <row r="443" spans="1:6" x14ac:dyDescent="0.25">
      <c r="A443" s="1">
        <v>44927</v>
      </c>
      <c r="B443" t="s">
        <v>107</v>
      </c>
      <c r="C443" t="s">
        <v>506</v>
      </c>
      <c r="D443">
        <v>0</v>
      </c>
      <c r="E443">
        <v>0</v>
      </c>
      <c r="F443">
        <v>0</v>
      </c>
    </row>
    <row r="444" spans="1:6" x14ac:dyDescent="0.25">
      <c r="A444" s="1">
        <v>44927</v>
      </c>
      <c r="B444" t="s">
        <v>21</v>
      </c>
      <c r="C444" t="s">
        <v>527</v>
      </c>
      <c r="D444" s="2">
        <v>2070350</v>
      </c>
      <c r="E444">
        <v>0</v>
      </c>
      <c r="F444">
        <v>0</v>
      </c>
    </row>
    <row r="445" spans="1:6" x14ac:dyDescent="0.25">
      <c r="A445" s="1">
        <v>44927</v>
      </c>
      <c r="B445" t="s">
        <v>40</v>
      </c>
      <c r="C445" t="s">
        <v>528</v>
      </c>
      <c r="D445" s="2">
        <v>10900</v>
      </c>
      <c r="E445">
        <v>0</v>
      </c>
      <c r="F445">
        <v>0</v>
      </c>
    </row>
    <row r="446" spans="1:6" x14ac:dyDescent="0.25">
      <c r="A446" s="1">
        <v>44927</v>
      </c>
      <c r="B446" t="s">
        <v>143</v>
      </c>
      <c r="C446" t="s">
        <v>529</v>
      </c>
      <c r="D446">
        <v>0</v>
      </c>
      <c r="E446">
        <v>0</v>
      </c>
      <c r="F446">
        <v>0</v>
      </c>
    </row>
    <row r="447" spans="1:6" x14ac:dyDescent="0.25">
      <c r="A447" s="1">
        <v>44927</v>
      </c>
      <c r="B447" t="s">
        <v>50</v>
      </c>
      <c r="C447" t="s">
        <v>530</v>
      </c>
      <c r="D447" s="2">
        <v>141591.18</v>
      </c>
      <c r="E447" s="2">
        <v>81727.490000000005</v>
      </c>
      <c r="F447" s="2">
        <v>57479.08</v>
      </c>
    </row>
    <row r="448" spans="1:6" x14ac:dyDescent="0.25">
      <c r="A448" s="1">
        <v>44927</v>
      </c>
      <c r="B448" t="s">
        <v>40</v>
      </c>
      <c r="C448" t="s">
        <v>531</v>
      </c>
      <c r="D448">
        <v>0</v>
      </c>
      <c r="E448">
        <v>0</v>
      </c>
      <c r="F448">
        <v>0</v>
      </c>
    </row>
    <row r="449" spans="1:6" x14ac:dyDescent="0.25">
      <c r="A449" s="1">
        <v>44927</v>
      </c>
      <c r="B449" t="s">
        <v>405</v>
      </c>
      <c r="C449" t="s">
        <v>532</v>
      </c>
      <c r="D449">
        <v>0</v>
      </c>
      <c r="E449">
        <v>0</v>
      </c>
      <c r="F449">
        <v>0</v>
      </c>
    </row>
    <row r="450" spans="1:6" x14ac:dyDescent="0.25">
      <c r="A450" s="1">
        <v>44927</v>
      </c>
      <c r="B450" t="s">
        <v>213</v>
      </c>
      <c r="C450" t="s">
        <v>533</v>
      </c>
      <c r="D450">
        <v>0</v>
      </c>
      <c r="E450">
        <v>0</v>
      </c>
      <c r="F450">
        <v>0</v>
      </c>
    </row>
    <row r="451" spans="1:6" x14ac:dyDescent="0.25">
      <c r="A451" s="1">
        <v>44927</v>
      </c>
      <c r="B451" t="s">
        <v>206</v>
      </c>
      <c r="C451" t="s">
        <v>534</v>
      </c>
      <c r="D451" s="2">
        <v>33600</v>
      </c>
      <c r="E451" s="2">
        <v>8173.68</v>
      </c>
      <c r="F451" s="2">
        <v>8173.68</v>
      </c>
    </row>
    <row r="452" spans="1:6" x14ac:dyDescent="0.25">
      <c r="A452" s="1">
        <v>44927</v>
      </c>
      <c r="B452" t="s">
        <v>27</v>
      </c>
      <c r="C452" t="s">
        <v>535</v>
      </c>
      <c r="D452" s="2">
        <v>44925.95</v>
      </c>
      <c r="E452" s="2">
        <v>11323.92</v>
      </c>
      <c r="F452" s="2">
        <v>7292.26</v>
      </c>
    </row>
    <row r="453" spans="1:6" x14ac:dyDescent="0.25">
      <c r="A453" s="1">
        <v>44927</v>
      </c>
      <c r="B453" t="s">
        <v>101</v>
      </c>
      <c r="C453" t="s">
        <v>536</v>
      </c>
      <c r="D453" s="2">
        <v>2579800</v>
      </c>
      <c r="E453" s="2">
        <v>20785.04</v>
      </c>
      <c r="F453" s="2">
        <v>20785.04</v>
      </c>
    </row>
    <row r="454" spans="1:6" x14ac:dyDescent="0.25">
      <c r="A454" s="1">
        <v>44927</v>
      </c>
      <c r="B454" t="s">
        <v>272</v>
      </c>
      <c r="C454" t="s">
        <v>537</v>
      </c>
      <c r="D454" s="2">
        <v>6000</v>
      </c>
      <c r="E454">
        <v>0</v>
      </c>
      <c r="F454">
        <v>0</v>
      </c>
    </row>
    <row r="455" spans="1:6" x14ac:dyDescent="0.25">
      <c r="A455" s="1">
        <v>44927</v>
      </c>
      <c r="B455" t="s">
        <v>490</v>
      </c>
      <c r="C455" t="s">
        <v>538</v>
      </c>
      <c r="D455" s="2">
        <v>22164000</v>
      </c>
      <c r="E455" s="2">
        <v>763500</v>
      </c>
      <c r="F455" s="2">
        <v>129750</v>
      </c>
    </row>
    <row r="456" spans="1:6" x14ac:dyDescent="0.25">
      <c r="A456" s="1">
        <v>44927</v>
      </c>
      <c r="B456" t="s">
        <v>40</v>
      </c>
      <c r="C456" t="s">
        <v>539</v>
      </c>
      <c r="D456">
        <v>0</v>
      </c>
      <c r="E456">
        <v>0</v>
      </c>
      <c r="F456">
        <v>0</v>
      </c>
    </row>
    <row r="457" spans="1:6" x14ac:dyDescent="0.25">
      <c r="A457" s="1">
        <v>44927</v>
      </c>
      <c r="B457" t="s">
        <v>37</v>
      </c>
      <c r="C457" t="s">
        <v>540</v>
      </c>
      <c r="D457" s="2">
        <v>370000000</v>
      </c>
      <c r="E457" s="2">
        <v>16632068.92</v>
      </c>
      <c r="F457" s="2">
        <v>16632068.92</v>
      </c>
    </row>
    <row r="458" spans="1:6" x14ac:dyDescent="0.25">
      <c r="A458" s="1">
        <v>44927</v>
      </c>
      <c r="B458" t="s">
        <v>296</v>
      </c>
      <c r="C458" t="s">
        <v>470</v>
      </c>
      <c r="D458" s="2">
        <v>400000</v>
      </c>
      <c r="E458">
        <v>0</v>
      </c>
      <c r="F458">
        <v>0</v>
      </c>
    </row>
    <row r="459" spans="1:6" x14ac:dyDescent="0.25">
      <c r="A459" s="1">
        <v>44927</v>
      </c>
      <c r="B459" t="s">
        <v>40</v>
      </c>
      <c r="C459" t="s">
        <v>541</v>
      </c>
      <c r="D459" s="2">
        <v>676669.43999999994</v>
      </c>
      <c r="E459">
        <v>0</v>
      </c>
      <c r="F459">
        <v>0</v>
      </c>
    </row>
    <row r="460" spans="1:6" x14ac:dyDescent="0.25">
      <c r="A460" s="1">
        <v>44927</v>
      </c>
      <c r="B460" t="s">
        <v>181</v>
      </c>
      <c r="C460" t="s">
        <v>130</v>
      </c>
      <c r="D460">
        <v>0</v>
      </c>
      <c r="E460">
        <v>0</v>
      </c>
      <c r="F460">
        <v>0</v>
      </c>
    </row>
    <row r="461" spans="1:6" x14ac:dyDescent="0.25">
      <c r="A461" s="1">
        <v>44927</v>
      </c>
      <c r="B461" t="s">
        <v>490</v>
      </c>
      <c r="C461" t="s">
        <v>542</v>
      </c>
      <c r="D461">
        <v>0</v>
      </c>
      <c r="E461">
        <v>0</v>
      </c>
      <c r="F461">
        <v>0</v>
      </c>
    </row>
    <row r="462" spans="1:6" x14ac:dyDescent="0.25">
      <c r="A462" s="1">
        <v>44927</v>
      </c>
      <c r="B462" t="s">
        <v>98</v>
      </c>
      <c r="C462" t="s">
        <v>543</v>
      </c>
      <c r="D462">
        <v>0</v>
      </c>
      <c r="E462">
        <v>0</v>
      </c>
      <c r="F462">
        <v>0</v>
      </c>
    </row>
    <row r="463" spans="1:6" x14ac:dyDescent="0.25">
      <c r="A463" s="1">
        <v>44927</v>
      </c>
      <c r="B463" t="s">
        <v>272</v>
      </c>
      <c r="C463" t="s">
        <v>544</v>
      </c>
      <c r="D463" s="2">
        <v>4334884.3</v>
      </c>
      <c r="E463" s="2">
        <v>1495047.75</v>
      </c>
      <c r="F463" s="2">
        <v>1229369.81</v>
      </c>
    </row>
    <row r="464" spans="1:6" x14ac:dyDescent="0.25">
      <c r="A464" s="1">
        <v>44927</v>
      </c>
      <c r="B464" t="s">
        <v>545</v>
      </c>
      <c r="C464" t="s">
        <v>73</v>
      </c>
      <c r="D464">
        <v>0</v>
      </c>
      <c r="E464">
        <v>0</v>
      </c>
      <c r="F464">
        <v>0</v>
      </c>
    </row>
    <row r="465" spans="1:6" x14ac:dyDescent="0.25">
      <c r="A465" s="1">
        <v>44927</v>
      </c>
      <c r="B465" t="s">
        <v>546</v>
      </c>
      <c r="C465" t="s">
        <v>95</v>
      </c>
      <c r="D465">
        <v>0</v>
      </c>
      <c r="E465">
        <v>0</v>
      </c>
      <c r="F465">
        <v>0</v>
      </c>
    </row>
    <row r="466" spans="1:6" x14ac:dyDescent="0.25">
      <c r="A466" s="1">
        <v>44927</v>
      </c>
      <c r="B466" t="s">
        <v>114</v>
      </c>
      <c r="C466" t="s">
        <v>547</v>
      </c>
      <c r="D466" s="2">
        <v>2316.84</v>
      </c>
      <c r="E466">
        <v>0</v>
      </c>
      <c r="F466">
        <v>0</v>
      </c>
    </row>
    <row r="467" spans="1:6" x14ac:dyDescent="0.25">
      <c r="A467" s="1">
        <v>44927</v>
      </c>
      <c r="B467" t="s">
        <v>42</v>
      </c>
      <c r="C467" t="s">
        <v>548</v>
      </c>
      <c r="D467" s="2">
        <v>326544719.16000003</v>
      </c>
      <c r="E467" s="2">
        <v>92261049.879999995</v>
      </c>
      <c r="F467" s="2">
        <v>11997939.310000001</v>
      </c>
    </row>
    <row r="468" spans="1:6" x14ac:dyDescent="0.25">
      <c r="A468" s="1">
        <v>44927</v>
      </c>
      <c r="B468" t="s">
        <v>549</v>
      </c>
      <c r="C468" t="s">
        <v>89</v>
      </c>
      <c r="D468">
        <v>0</v>
      </c>
      <c r="E468">
        <v>0</v>
      </c>
      <c r="F468">
        <v>0</v>
      </c>
    </row>
    <row r="469" spans="1:6" x14ac:dyDescent="0.25">
      <c r="A469" s="1">
        <v>44927</v>
      </c>
      <c r="B469" t="s">
        <v>15</v>
      </c>
      <c r="C469" t="s">
        <v>550</v>
      </c>
      <c r="D469">
        <v>0</v>
      </c>
      <c r="E469">
        <v>0</v>
      </c>
      <c r="F469">
        <v>0</v>
      </c>
    </row>
    <row r="470" spans="1:6" x14ac:dyDescent="0.25">
      <c r="A470" s="1">
        <v>44927</v>
      </c>
      <c r="B470" t="s">
        <v>23</v>
      </c>
      <c r="C470" t="s">
        <v>551</v>
      </c>
      <c r="D470" s="2">
        <v>198735.4</v>
      </c>
      <c r="E470" s="2">
        <v>19932.990000000002</v>
      </c>
      <c r="F470" s="2">
        <v>19932.990000000002</v>
      </c>
    </row>
    <row r="471" spans="1:6" x14ac:dyDescent="0.25">
      <c r="A471" s="1">
        <v>44927</v>
      </c>
      <c r="B471" t="s">
        <v>296</v>
      </c>
      <c r="C471" t="s">
        <v>552</v>
      </c>
      <c r="D471" s="2">
        <v>1291248.77</v>
      </c>
      <c r="E471">
        <v>0</v>
      </c>
      <c r="F471">
        <v>0</v>
      </c>
    </row>
    <row r="472" spans="1:6" x14ac:dyDescent="0.25">
      <c r="A472" s="1">
        <v>44927</v>
      </c>
      <c r="B472" t="s">
        <v>31</v>
      </c>
      <c r="C472" t="s">
        <v>553</v>
      </c>
      <c r="D472">
        <v>0</v>
      </c>
      <c r="E472">
        <v>0</v>
      </c>
      <c r="F472">
        <v>0</v>
      </c>
    </row>
    <row r="473" spans="1:6" x14ac:dyDescent="0.25">
      <c r="A473" s="1">
        <v>44927</v>
      </c>
      <c r="B473" t="s">
        <v>23</v>
      </c>
      <c r="C473" t="s">
        <v>554</v>
      </c>
      <c r="D473">
        <v>0</v>
      </c>
      <c r="E473">
        <v>0</v>
      </c>
      <c r="F473">
        <v>0</v>
      </c>
    </row>
    <row r="474" spans="1:6" x14ac:dyDescent="0.25">
      <c r="A474" s="1">
        <v>44927</v>
      </c>
      <c r="B474" t="s">
        <v>40</v>
      </c>
      <c r="C474" t="s">
        <v>555</v>
      </c>
      <c r="D474" s="2">
        <v>30000</v>
      </c>
      <c r="E474">
        <v>0</v>
      </c>
      <c r="F474">
        <v>0</v>
      </c>
    </row>
    <row r="475" spans="1:6" x14ac:dyDescent="0.25">
      <c r="A475" s="1">
        <v>44927</v>
      </c>
      <c r="B475" t="s">
        <v>114</v>
      </c>
      <c r="C475" t="s">
        <v>556</v>
      </c>
      <c r="D475">
        <v>0</v>
      </c>
      <c r="E475">
        <v>0</v>
      </c>
      <c r="F475">
        <v>0</v>
      </c>
    </row>
    <row r="476" spans="1:6" x14ac:dyDescent="0.25">
      <c r="A476" s="1">
        <v>44927</v>
      </c>
      <c r="B476" t="s">
        <v>11</v>
      </c>
      <c r="C476" t="s">
        <v>557</v>
      </c>
      <c r="D476" s="2">
        <v>650634967.97000003</v>
      </c>
      <c r="E476" s="2">
        <v>204875883.41</v>
      </c>
      <c r="F476" s="2">
        <v>204875883.41</v>
      </c>
    </row>
    <row r="477" spans="1:6" x14ac:dyDescent="0.25">
      <c r="A477" s="1">
        <v>44927</v>
      </c>
      <c r="B477" t="s">
        <v>31</v>
      </c>
      <c r="C477" t="s">
        <v>558</v>
      </c>
      <c r="D477">
        <v>0</v>
      </c>
      <c r="E477">
        <v>0</v>
      </c>
      <c r="F477">
        <v>0</v>
      </c>
    </row>
    <row r="478" spans="1:6" x14ac:dyDescent="0.25">
      <c r="A478" s="1">
        <v>44927</v>
      </c>
      <c r="B478" t="s">
        <v>21</v>
      </c>
      <c r="C478" t="s">
        <v>559</v>
      </c>
      <c r="D478" s="2">
        <v>17108386</v>
      </c>
      <c r="E478">
        <v>0</v>
      </c>
      <c r="F478">
        <v>0</v>
      </c>
    </row>
    <row r="479" spans="1:6" x14ac:dyDescent="0.25">
      <c r="A479" s="1">
        <v>44927</v>
      </c>
      <c r="B479" t="s">
        <v>35</v>
      </c>
      <c r="C479" t="s">
        <v>560</v>
      </c>
      <c r="D479" s="2">
        <v>15009508.9</v>
      </c>
      <c r="E479" s="2">
        <v>25367.59</v>
      </c>
      <c r="F479" s="2">
        <v>9819.31</v>
      </c>
    </row>
    <row r="480" spans="1:6" x14ac:dyDescent="0.25">
      <c r="A480" s="1">
        <v>44927</v>
      </c>
      <c r="B480" t="s">
        <v>37</v>
      </c>
      <c r="C480" t="s">
        <v>561</v>
      </c>
      <c r="D480">
        <v>0</v>
      </c>
      <c r="E480">
        <v>0</v>
      </c>
      <c r="F480">
        <v>0</v>
      </c>
    </row>
    <row r="481" spans="1:6" x14ac:dyDescent="0.25">
      <c r="A481" s="1">
        <v>44927</v>
      </c>
      <c r="B481" t="s">
        <v>21</v>
      </c>
      <c r="C481" t="s">
        <v>562</v>
      </c>
      <c r="D481" s="2">
        <v>17850000</v>
      </c>
      <c r="E481">
        <v>0</v>
      </c>
      <c r="F481">
        <v>0</v>
      </c>
    </row>
    <row r="482" spans="1:6" x14ac:dyDescent="0.25">
      <c r="A482" s="1">
        <v>44927</v>
      </c>
      <c r="B482" t="s">
        <v>196</v>
      </c>
      <c r="C482" t="s">
        <v>563</v>
      </c>
      <c r="D482">
        <v>0</v>
      </c>
      <c r="E482">
        <v>0</v>
      </c>
      <c r="F482">
        <v>0</v>
      </c>
    </row>
    <row r="483" spans="1:6" x14ac:dyDescent="0.25">
      <c r="A483" s="1">
        <v>44927</v>
      </c>
      <c r="B483" t="s">
        <v>398</v>
      </c>
      <c r="C483" t="s">
        <v>564</v>
      </c>
      <c r="D483">
        <v>0</v>
      </c>
      <c r="E483">
        <v>0</v>
      </c>
      <c r="F483">
        <v>0</v>
      </c>
    </row>
    <row r="484" spans="1:6" x14ac:dyDescent="0.25">
      <c r="A484" s="1">
        <v>44927</v>
      </c>
      <c r="B484" t="s">
        <v>118</v>
      </c>
      <c r="C484" t="s">
        <v>179</v>
      </c>
      <c r="D484">
        <v>0</v>
      </c>
      <c r="E484">
        <v>0</v>
      </c>
      <c r="F484">
        <v>0</v>
      </c>
    </row>
    <row r="485" spans="1:6" x14ac:dyDescent="0.25">
      <c r="A485" s="1">
        <v>44927</v>
      </c>
      <c r="B485" t="s">
        <v>213</v>
      </c>
      <c r="C485" t="s">
        <v>565</v>
      </c>
      <c r="D485">
        <v>0</v>
      </c>
      <c r="E485">
        <v>0</v>
      </c>
      <c r="F485">
        <v>0</v>
      </c>
    </row>
    <row r="486" spans="1:6" x14ac:dyDescent="0.25">
      <c r="A486" s="1">
        <v>44927</v>
      </c>
      <c r="B486" t="s">
        <v>81</v>
      </c>
      <c r="C486" t="s">
        <v>364</v>
      </c>
      <c r="D486">
        <v>0</v>
      </c>
      <c r="E486">
        <v>0</v>
      </c>
      <c r="F486">
        <v>0</v>
      </c>
    </row>
    <row r="487" spans="1:6" x14ac:dyDescent="0.25">
      <c r="A487" s="1">
        <v>44927</v>
      </c>
      <c r="B487" t="s">
        <v>11</v>
      </c>
      <c r="C487" t="s">
        <v>566</v>
      </c>
      <c r="D487" s="2">
        <v>377524529.58999997</v>
      </c>
      <c r="E487" s="2">
        <v>226315605.66999999</v>
      </c>
      <c r="F487" s="2">
        <v>484855.37</v>
      </c>
    </row>
    <row r="488" spans="1:6" x14ac:dyDescent="0.25">
      <c r="A488" s="1">
        <v>44927</v>
      </c>
      <c r="B488" t="s">
        <v>42</v>
      </c>
      <c r="C488" t="s">
        <v>567</v>
      </c>
      <c r="D488">
        <v>0</v>
      </c>
      <c r="E488">
        <v>0</v>
      </c>
      <c r="F488">
        <v>0</v>
      </c>
    </row>
    <row r="489" spans="1:6" x14ac:dyDescent="0.25">
      <c r="A489" s="1">
        <v>44927</v>
      </c>
      <c r="B489" t="s">
        <v>344</v>
      </c>
      <c r="C489" t="s">
        <v>568</v>
      </c>
      <c r="D489">
        <v>0</v>
      </c>
      <c r="E489">
        <v>0</v>
      </c>
      <c r="F489">
        <v>0</v>
      </c>
    </row>
    <row r="490" spans="1:6" x14ac:dyDescent="0.25">
      <c r="A490" s="1">
        <v>44927</v>
      </c>
      <c r="B490" t="s">
        <v>118</v>
      </c>
      <c r="C490" t="s">
        <v>569</v>
      </c>
      <c r="D490">
        <v>0</v>
      </c>
      <c r="E490">
        <v>0</v>
      </c>
      <c r="F490">
        <v>0</v>
      </c>
    </row>
    <row r="491" spans="1:6" x14ac:dyDescent="0.25">
      <c r="A491" s="1">
        <v>44927</v>
      </c>
      <c r="B491" t="s">
        <v>37</v>
      </c>
      <c r="C491" t="s">
        <v>570</v>
      </c>
      <c r="D491" s="2">
        <v>7712.05</v>
      </c>
      <c r="E491">
        <v>0</v>
      </c>
      <c r="F491">
        <v>0</v>
      </c>
    </row>
    <row r="492" spans="1:6" x14ac:dyDescent="0.25">
      <c r="A492" s="1">
        <v>44927</v>
      </c>
      <c r="B492" t="s">
        <v>225</v>
      </c>
      <c r="C492" t="s">
        <v>571</v>
      </c>
      <c r="D492">
        <v>0</v>
      </c>
      <c r="E492">
        <v>0</v>
      </c>
      <c r="F492">
        <v>0</v>
      </c>
    </row>
    <row r="493" spans="1:6" x14ac:dyDescent="0.25">
      <c r="A493" s="1">
        <v>44927</v>
      </c>
      <c r="B493" t="s">
        <v>278</v>
      </c>
      <c r="C493" t="s">
        <v>572</v>
      </c>
      <c r="D493">
        <v>0</v>
      </c>
      <c r="E493">
        <v>0</v>
      </c>
      <c r="F493">
        <v>0</v>
      </c>
    </row>
    <row r="494" spans="1:6" x14ac:dyDescent="0.25">
      <c r="A494" s="1">
        <v>44927</v>
      </c>
      <c r="B494" t="s">
        <v>490</v>
      </c>
      <c r="C494" t="s">
        <v>573</v>
      </c>
      <c r="D494">
        <v>0</v>
      </c>
      <c r="E494">
        <v>0</v>
      </c>
      <c r="F494">
        <v>0</v>
      </c>
    </row>
    <row r="495" spans="1:6" x14ac:dyDescent="0.25">
      <c r="A495" s="1">
        <v>44927</v>
      </c>
      <c r="B495" t="s">
        <v>50</v>
      </c>
      <c r="C495" t="s">
        <v>574</v>
      </c>
      <c r="D495" s="2">
        <v>8734082.1899999995</v>
      </c>
      <c r="E495" s="2">
        <v>44067.65</v>
      </c>
      <c r="F495" s="2">
        <v>44067.65</v>
      </c>
    </row>
    <row r="496" spans="1:6" x14ac:dyDescent="0.25">
      <c r="A496" s="1">
        <v>44927</v>
      </c>
      <c r="B496" t="s">
        <v>23</v>
      </c>
      <c r="C496" t="s">
        <v>575</v>
      </c>
      <c r="D496">
        <v>0</v>
      </c>
      <c r="E496">
        <v>0</v>
      </c>
      <c r="F496">
        <v>0</v>
      </c>
    </row>
    <row r="497" spans="1:6" x14ac:dyDescent="0.25">
      <c r="A497" s="1">
        <v>44927</v>
      </c>
      <c r="B497" t="s">
        <v>441</v>
      </c>
      <c r="C497" t="s">
        <v>576</v>
      </c>
      <c r="D497">
        <v>0</v>
      </c>
      <c r="E497">
        <v>0</v>
      </c>
      <c r="F497">
        <v>0</v>
      </c>
    </row>
    <row r="498" spans="1:6" x14ac:dyDescent="0.25">
      <c r="A498" s="1">
        <v>44927</v>
      </c>
      <c r="B498" t="s">
        <v>37</v>
      </c>
      <c r="C498" t="s">
        <v>577</v>
      </c>
      <c r="D498" s="2">
        <v>22493.23</v>
      </c>
      <c r="E498" s="2">
        <v>18413.23</v>
      </c>
      <c r="F498" s="2">
        <v>18413.23</v>
      </c>
    </row>
    <row r="499" spans="1:6" x14ac:dyDescent="0.25">
      <c r="A499" s="1">
        <v>44927</v>
      </c>
      <c r="B499" t="s">
        <v>114</v>
      </c>
      <c r="C499" t="s">
        <v>578</v>
      </c>
      <c r="D499" s="2">
        <v>130375895.5</v>
      </c>
      <c r="E499" s="2">
        <v>12871520.369999999</v>
      </c>
      <c r="F499" s="2">
        <v>12852570.9</v>
      </c>
    </row>
    <row r="500" spans="1:6" x14ac:dyDescent="0.25">
      <c r="A500" s="1">
        <v>44927</v>
      </c>
      <c r="B500" t="s">
        <v>44</v>
      </c>
      <c r="C500" t="s">
        <v>579</v>
      </c>
      <c r="D500" s="2">
        <v>153341.51</v>
      </c>
      <c r="E500">
        <v>0</v>
      </c>
      <c r="F500">
        <v>0</v>
      </c>
    </row>
    <row r="501" spans="1:6" x14ac:dyDescent="0.25">
      <c r="A501" s="1">
        <v>44927</v>
      </c>
      <c r="B501" t="s">
        <v>23</v>
      </c>
      <c r="C501" t="s">
        <v>580</v>
      </c>
      <c r="D501" s="2">
        <v>65290</v>
      </c>
      <c r="E501">
        <v>0</v>
      </c>
      <c r="F501">
        <v>0</v>
      </c>
    </row>
    <row r="502" spans="1:6" x14ac:dyDescent="0.25">
      <c r="A502" s="1">
        <v>44927</v>
      </c>
      <c r="B502" t="s">
        <v>40</v>
      </c>
      <c r="C502" t="s">
        <v>581</v>
      </c>
      <c r="D502" s="2">
        <v>412000000</v>
      </c>
      <c r="E502" s="2">
        <v>38833502.729999997</v>
      </c>
      <c r="F502">
        <v>0</v>
      </c>
    </row>
    <row r="503" spans="1:6" x14ac:dyDescent="0.25">
      <c r="A503" s="1">
        <v>44927</v>
      </c>
      <c r="B503" t="s">
        <v>296</v>
      </c>
      <c r="C503" t="s">
        <v>582</v>
      </c>
      <c r="D503">
        <v>0</v>
      </c>
      <c r="E503">
        <v>0</v>
      </c>
      <c r="F503">
        <v>0</v>
      </c>
    </row>
    <row r="504" spans="1:6" x14ac:dyDescent="0.25">
      <c r="A504" s="1">
        <v>44927</v>
      </c>
      <c r="B504" t="s">
        <v>37</v>
      </c>
      <c r="C504" t="s">
        <v>583</v>
      </c>
      <c r="D504" s="2">
        <v>6009</v>
      </c>
      <c r="E504" s="2">
        <v>5437.44</v>
      </c>
      <c r="F504" s="2">
        <v>3000</v>
      </c>
    </row>
    <row r="505" spans="1:6" x14ac:dyDescent="0.25">
      <c r="A505" s="1">
        <v>44927</v>
      </c>
      <c r="B505" t="s">
        <v>105</v>
      </c>
      <c r="C505" t="s">
        <v>310</v>
      </c>
      <c r="D505">
        <v>0</v>
      </c>
      <c r="E505">
        <v>0</v>
      </c>
      <c r="F505">
        <v>0</v>
      </c>
    </row>
    <row r="506" spans="1:6" x14ac:dyDescent="0.25">
      <c r="A506" s="1">
        <v>44927</v>
      </c>
      <c r="B506" t="s">
        <v>46</v>
      </c>
      <c r="C506" t="s">
        <v>584</v>
      </c>
      <c r="D506" s="2">
        <v>300299.68</v>
      </c>
      <c r="E506" s="2">
        <v>30911.21</v>
      </c>
      <c r="F506" s="2">
        <v>19250</v>
      </c>
    </row>
    <row r="507" spans="1:6" x14ac:dyDescent="0.25">
      <c r="A507" s="1">
        <v>44927</v>
      </c>
      <c r="B507" t="s">
        <v>585</v>
      </c>
      <c r="C507" t="s">
        <v>586</v>
      </c>
      <c r="D507">
        <v>0</v>
      </c>
      <c r="E507">
        <v>0</v>
      </c>
      <c r="F507">
        <v>0</v>
      </c>
    </row>
    <row r="508" spans="1:6" x14ac:dyDescent="0.25">
      <c r="A508" s="1">
        <v>44927</v>
      </c>
      <c r="B508" t="s">
        <v>46</v>
      </c>
      <c r="C508" t="s">
        <v>587</v>
      </c>
      <c r="D508" s="2">
        <v>100000</v>
      </c>
      <c r="E508" s="2">
        <v>20516.38</v>
      </c>
      <c r="F508" s="2">
        <v>20516.38</v>
      </c>
    </row>
    <row r="509" spans="1:6" x14ac:dyDescent="0.25">
      <c r="A509" s="1">
        <v>44927</v>
      </c>
      <c r="B509" t="s">
        <v>398</v>
      </c>
      <c r="C509" t="s">
        <v>588</v>
      </c>
      <c r="D509">
        <v>0</v>
      </c>
      <c r="E509">
        <v>0</v>
      </c>
      <c r="F509">
        <v>0</v>
      </c>
    </row>
    <row r="510" spans="1:6" x14ac:dyDescent="0.25">
      <c r="A510" s="1">
        <v>44927</v>
      </c>
      <c r="B510" t="s">
        <v>176</v>
      </c>
      <c r="C510" t="s">
        <v>95</v>
      </c>
      <c r="D510">
        <v>0</v>
      </c>
      <c r="E510">
        <v>0</v>
      </c>
      <c r="F510">
        <v>0</v>
      </c>
    </row>
    <row r="511" spans="1:6" x14ac:dyDescent="0.25">
      <c r="A511" s="1">
        <v>44927</v>
      </c>
      <c r="B511" t="s">
        <v>98</v>
      </c>
      <c r="C511" t="s">
        <v>589</v>
      </c>
      <c r="D511">
        <v>0</v>
      </c>
      <c r="E511">
        <v>0</v>
      </c>
      <c r="F511">
        <v>0</v>
      </c>
    </row>
    <row r="512" spans="1:6" x14ac:dyDescent="0.25">
      <c r="A512" s="1">
        <v>44927</v>
      </c>
      <c r="B512" t="s">
        <v>46</v>
      </c>
      <c r="C512" t="s">
        <v>590</v>
      </c>
      <c r="D512" s="2">
        <v>400000</v>
      </c>
      <c r="E512" s="2">
        <v>1205.29</v>
      </c>
      <c r="F512" s="2">
        <v>1205.29</v>
      </c>
    </row>
    <row r="513" spans="1:6" x14ac:dyDescent="0.25">
      <c r="A513" s="1">
        <v>44927</v>
      </c>
      <c r="B513" t="s">
        <v>40</v>
      </c>
      <c r="C513" t="s">
        <v>591</v>
      </c>
      <c r="D513" s="2">
        <v>5739473.5999999996</v>
      </c>
      <c r="E513" s="2">
        <v>71059.3</v>
      </c>
      <c r="F513" s="2">
        <v>31157.1</v>
      </c>
    </row>
    <row r="514" spans="1:6" x14ac:dyDescent="0.25">
      <c r="A514" s="1">
        <v>44927</v>
      </c>
      <c r="B514" t="s">
        <v>46</v>
      </c>
      <c r="C514" t="s">
        <v>592</v>
      </c>
      <c r="D514" s="2">
        <v>2050000</v>
      </c>
      <c r="E514" s="2">
        <v>2037644.42</v>
      </c>
      <c r="F514" s="2">
        <v>1771161.98</v>
      </c>
    </row>
    <row r="515" spans="1:6" x14ac:dyDescent="0.25">
      <c r="A515" s="1">
        <v>44927</v>
      </c>
      <c r="B515" t="s">
        <v>272</v>
      </c>
      <c r="C515" t="s">
        <v>593</v>
      </c>
      <c r="D515" s="2">
        <v>4313518.24</v>
      </c>
      <c r="E515" s="2">
        <v>585228.48</v>
      </c>
      <c r="F515" s="2">
        <v>557479.18000000005</v>
      </c>
    </row>
    <row r="516" spans="1:6" x14ac:dyDescent="0.25">
      <c r="A516" s="1">
        <v>44927</v>
      </c>
      <c r="B516" t="s">
        <v>50</v>
      </c>
      <c r="C516" t="s">
        <v>594</v>
      </c>
      <c r="D516" s="2">
        <v>25000</v>
      </c>
      <c r="E516">
        <v>0</v>
      </c>
      <c r="F516">
        <v>0</v>
      </c>
    </row>
    <row r="517" spans="1:6" x14ac:dyDescent="0.25">
      <c r="A517" s="1">
        <v>44927</v>
      </c>
      <c r="B517" t="s">
        <v>21</v>
      </c>
      <c r="C517" t="s">
        <v>595</v>
      </c>
      <c r="D517">
        <v>0</v>
      </c>
      <c r="E517">
        <v>0</v>
      </c>
      <c r="F517">
        <v>0</v>
      </c>
    </row>
    <row r="518" spans="1:6" x14ac:dyDescent="0.25">
      <c r="A518" s="1">
        <v>44927</v>
      </c>
      <c r="B518" t="s">
        <v>21</v>
      </c>
      <c r="C518" t="s">
        <v>591</v>
      </c>
      <c r="D518">
        <v>0</v>
      </c>
      <c r="E518">
        <v>0</v>
      </c>
      <c r="F518">
        <v>0</v>
      </c>
    </row>
    <row r="519" spans="1:6" x14ac:dyDescent="0.25">
      <c r="A519" s="1">
        <v>44927</v>
      </c>
      <c r="B519" t="s">
        <v>50</v>
      </c>
      <c r="C519" t="s">
        <v>596</v>
      </c>
      <c r="D519" s="2">
        <v>473301.66</v>
      </c>
      <c r="E519" s="2">
        <v>3685.51</v>
      </c>
      <c r="F519" s="2">
        <v>3685.51</v>
      </c>
    </row>
    <row r="520" spans="1:6" x14ac:dyDescent="0.25">
      <c r="A520" s="1">
        <v>44927</v>
      </c>
      <c r="B520" t="s">
        <v>114</v>
      </c>
      <c r="C520" t="s">
        <v>597</v>
      </c>
      <c r="D520" s="2">
        <v>26646546.5</v>
      </c>
      <c r="E520" s="2">
        <v>1656042.54</v>
      </c>
      <c r="F520" s="2">
        <v>1182626.01</v>
      </c>
    </row>
    <row r="521" spans="1:6" x14ac:dyDescent="0.25">
      <c r="A521" s="1">
        <v>44927</v>
      </c>
      <c r="B521" t="s">
        <v>181</v>
      </c>
      <c r="C521" t="s">
        <v>598</v>
      </c>
      <c r="D521">
        <v>0</v>
      </c>
      <c r="E521">
        <v>0</v>
      </c>
      <c r="F521">
        <v>0</v>
      </c>
    </row>
    <row r="522" spans="1:6" x14ac:dyDescent="0.25">
      <c r="A522" s="1">
        <v>44927</v>
      </c>
      <c r="B522" t="s">
        <v>40</v>
      </c>
      <c r="C522" t="s">
        <v>599</v>
      </c>
      <c r="D522" s="2">
        <v>105063950.05</v>
      </c>
      <c r="E522" s="2">
        <v>55386506.25</v>
      </c>
      <c r="F522" s="2">
        <v>23595416.050000001</v>
      </c>
    </row>
    <row r="523" spans="1:6" x14ac:dyDescent="0.25">
      <c r="A523" s="1">
        <v>44927</v>
      </c>
      <c r="B523" t="s">
        <v>42</v>
      </c>
      <c r="C523" t="s">
        <v>600</v>
      </c>
      <c r="D523" s="2">
        <v>26484811</v>
      </c>
      <c r="E523">
        <v>0</v>
      </c>
      <c r="F523">
        <v>0</v>
      </c>
    </row>
    <row r="524" spans="1:6" x14ac:dyDescent="0.25">
      <c r="A524" s="1">
        <v>44927</v>
      </c>
      <c r="B524" t="s">
        <v>601</v>
      </c>
      <c r="C524" t="s">
        <v>602</v>
      </c>
      <c r="D524" s="2">
        <v>11615590000</v>
      </c>
      <c r="E524" s="2">
        <v>11615590000</v>
      </c>
      <c r="F524" s="2">
        <v>11615590000</v>
      </c>
    </row>
    <row r="525" spans="1:6" x14ac:dyDescent="0.25">
      <c r="A525" s="1">
        <v>44927</v>
      </c>
      <c r="B525" t="s">
        <v>23</v>
      </c>
      <c r="C525" t="s">
        <v>603</v>
      </c>
      <c r="D525">
        <v>0</v>
      </c>
      <c r="E525">
        <v>0</v>
      </c>
      <c r="F525">
        <v>0</v>
      </c>
    </row>
    <row r="526" spans="1:6" x14ac:dyDescent="0.25">
      <c r="A526" s="1">
        <v>44927</v>
      </c>
      <c r="B526" t="s">
        <v>40</v>
      </c>
      <c r="C526" t="s">
        <v>604</v>
      </c>
      <c r="D526" s="2">
        <v>79164035.519999996</v>
      </c>
      <c r="E526" s="2">
        <v>74906324.640000001</v>
      </c>
      <c r="F526" s="2">
        <v>9400348.6199999992</v>
      </c>
    </row>
    <row r="527" spans="1:6" x14ac:dyDescent="0.25">
      <c r="A527" s="1">
        <v>44927</v>
      </c>
      <c r="B527" t="s">
        <v>162</v>
      </c>
      <c r="C527" t="s">
        <v>605</v>
      </c>
      <c r="D527" s="2">
        <v>78794.05</v>
      </c>
      <c r="E527">
        <v>0</v>
      </c>
      <c r="F527">
        <v>0</v>
      </c>
    </row>
    <row r="528" spans="1:6" x14ac:dyDescent="0.25">
      <c r="A528" s="1">
        <v>44927</v>
      </c>
      <c r="B528" t="s">
        <v>40</v>
      </c>
      <c r="C528" t="s">
        <v>606</v>
      </c>
      <c r="D528" s="2">
        <v>1221901.29</v>
      </c>
      <c r="E528" s="2">
        <v>821025.03</v>
      </c>
      <c r="F528" s="2">
        <v>10541.74</v>
      </c>
    </row>
    <row r="529" spans="1:6" x14ac:dyDescent="0.25">
      <c r="A529" s="1">
        <v>44927</v>
      </c>
      <c r="B529" t="s">
        <v>27</v>
      </c>
      <c r="C529" t="s">
        <v>607</v>
      </c>
      <c r="D529">
        <v>0</v>
      </c>
      <c r="E529">
        <v>0</v>
      </c>
      <c r="F529">
        <v>0</v>
      </c>
    </row>
    <row r="530" spans="1:6" x14ac:dyDescent="0.25">
      <c r="A530" s="1">
        <v>44927</v>
      </c>
      <c r="B530" t="s">
        <v>21</v>
      </c>
      <c r="C530" t="s">
        <v>608</v>
      </c>
      <c r="D530">
        <v>0</v>
      </c>
      <c r="E530">
        <v>0</v>
      </c>
      <c r="F530">
        <v>0</v>
      </c>
    </row>
    <row r="531" spans="1:6" x14ac:dyDescent="0.25">
      <c r="A531" s="1">
        <v>44927</v>
      </c>
      <c r="B531" t="s">
        <v>25</v>
      </c>
      <c r="C531" t="s">
        <v>609</v>
      </c>
      <c r="D531">
        <v>0</v>
      </c>
      <c r="E531">
        <v>0</v>
      </c>
      <c r="F531">
        <v>0</v>
      </c>
    </row>
    <row r="532" spans="1:6" x14ac:dyDescent="0.25">
      <c r="A532" s="1">
        <v>44927</v>
      </c>
      <c r="B532" t="s">
        <v>23</v>
      </c>
      <c r="C532" t="s">
        <v>610</v>
      </c>
      <c r="D532" s="2">
        <v>41918977.789999999</v>
      </c>
      <c r="E532">
        <v>0</v>
      </c>
      <c r="F532">
        <v>0</v>
      </c>
    </row>
    <row r="533" spans="1:6" x14ac:dyDescent="0.25">
      <c r="A533" s="1">
        <v>44927</v>
      </c>
      <c r="B533" t="s">
        <v>23</v>
      </c>
      <c r="C533" t="s">
        <v>611</v>
      </c>
      <c r="D533" s="2">
        <v>90071129</v>
      </c>
      <c r="E533" s="2">
        <v>51794059.210000001</v>
      </c>
      <c r="F533" s="2">
        <v>277776.43</v>
      </c>
    </row>
    <row r="534" spans="1:6" x14ac:dyDescent="0.25">
      <c r="A534" s="1">
        <v>44927</v>
      </c>
      <c r="B534" t="s">
        <v>196</v>
      </c>
      <c r="C534" t="s">
        <v>612</v>
      </c>
      <c r="D534">
        <v>0</v>
      </c>
      <c r="E534">
        <v>0</v>
      </c>
      <c r="F534">
        <v>0</v>
      </c>
    </row>
    <row r="535" spans="1:6" x14ac:dyDescent="0.25">
      <c r="A535" s="1">
        <v>44927</v>
      </c>
      <c r="B535" t="s">
        <v>132</v>
      </c>
      <c r="C535" t="s">
        <v>613</v>
      </c>
      <c r="D535" s="2">
        <v>359238.58</v>
      </c>
      <c r="E535">
        <v>513.17999999999995</v>
      </c>
      <c r="F535">
        <v>513.17999999999995</v>
      </c>
    </row>
    <row r="536" spans="1:6" x14ac:dyDescent="0.25">
      <c r="A536" s="1">
        <v>44927</v>
      </c>
      <c r="B536" t="s">
        <v>15</v>
      </c>
      <c r="C536" t="s">
        <v>614</v>
      </c>
      <c r="D536" s="2">
        <v>34940.199999999997</v>
      </c>
      <c r="E536">
        <v>0</v>
      </c>
      <c r="F536">
        <v>0</v>
      </c>
    </row>
    <row r="537" spans="1:6" x14ac:dyDescent="0.25">
      <c r="A537" s="1">
        <v>44927</v>
      </c>
      <c r="B537" t="s">
        <v>196</v>
      </c>
      <c r="C537" t="s">
        <v>615</v>
      </c>
      <c r="D537">
        <v>0</v>
      </c>
      <c r="E537">
        <v>0</v>
      </c>
      <c r="F537">
        <v>0</v>
      </c>
    </row>
    <row r="538" spans="1:6" x14ac:dyDescent="0.25">
      <c r="A538" s="1">
        <v>44927</v>
      </c>
      <c r="B538" t="s">
        <v>40</v>
      </c>
      <c r="C538" t="s">
        <v>616</v>
      </c>
      <c r="D538" s="2">
        <v>73174334.400000006</v>
      </c>
      <c r="E538" s="2">
        <v>69214469.5</v>
      </c>
      <c r="F538" s="2">
        <v>9570108.7799999993</v>
      </c>
    </row>
    <row r="539" spans="1:6" x14ac:dyDescent="0.25">
      <c r="A539" s="1">
        <v>44927</v>
      </c>
      <c r="B539" t="s">
        <v>13</v>
      </c>
      <c r="C539" t="s">
        <v>617</v>
      </c>
      <c r="D539" s="2">
        <v>50000</v>
      </c>
      <c r="E539" s="2">
        <v>1604.86</v>
      </c>
      <c r="F539" s="2">
        <v>1604.86</v>
      </c>
    </row>
    <row r="540" spans="1:6" x14ac:dyDescent="0.25">
      <c r="A540" s="1">
        <v>44927</v>
      </c>
      <c r="B540" t="s">
        <v>46</v>
      </c>
      <c r="C540" t="s">
        <v>618</v>
      </c>
      <c r="D540" s="2">
        <v>128296774.09</v>
      </c>
      <c r="E540" s="2">
        <v>16516775.27</v>
      </c>
      <c r="F540" s="2">
        <v>4456025.6500000004</v>
      </c>
    </row>
    <row r="541" spans="1:6" x14ac:dyDescent="0.25">
      <c r="A541" s="1">
        <v>44927</v>
      </c>
      <c r="B541" t="s">
        <v>619</v>
      </c>
      <c r="C541" t="s">
        <v>165</v>
      </c>
      <c r="D541" s="2">
        <v>11008.24</v>
      </c>
      <c r="E541">
        <v>0</v>
      </c>
      <c r="F541">
        <v>0</v>
      </c>
    </row>
    <row r="542" spans="1:6" x14ac:dyDescent="0.25">
      <c r="A542" s="1">
        <v>44927</v>
      </c>
      <c r="B542" t="s">
        <v>23</v>
      </c>
      <c r="C542" t="s">
        <v>620</v>
      </c>
      <c r="D542">
        <v>0</v>
      </c>
      <c r="E542">
        <v>0</v>
      </c>
      <c r="F542">
        <v>0</v>
      </c>
    </row>
    <row r="543" spans="1:6" x14ac:dyDescent="0.25">
      <c r="A543" s="1">
        <v>44927</v>
      </c>
      <c r="B543" t="s">
        <v>162</v>
      </c>
      <c r="C543" t="s">
        <v>621</v>
      </c>
      <c r="D543" s="2">
        <v>21052829.989999998</v>
      </c>
      <c r="E543" s="2">
        <v>885833.45</v>
      </c>
      <c r="F543" s="2">
        <v>880057.01</v>
      </c>
    </row>
    <row r="544" spans="1:6" x14ac:dyDescent="0.25">
      <c r="A544" s="1">
        <v>44927</v>
      </c>
      <c r="B544" t="s">
        <v>21</v>
      </c>
      <c r="C544" t="s">
        <v>622</v>
      </c>
      <c r="D544">
        <v>0</v>
      </c>
      <c r="E544">
        <v>0</v>
      </c>
      <c r="F544">
        <v>0</v>
      </c>
    </row>
    <row r="545" spans="1:6" x14ac:dyDescent="0.25">
      <c r="A545" s="1">
        <v>44927</v>
      </c>
      <c r="B545" t="s">
        <v>196</v>
      </c>
      <c r="C545" t="s">
        <v>542</v>
      </c>
      <c r="D545">
        <v>0</v>
      </c>
      <c r="E545">
        <v>0</v>
      </c>
      <c r="F545">
        <v>0</v>
      </c>
    </row>
    <row r="546" spans="1:6" x14ac:dyDescent="0.25">
      <c r="A546" s="1">
        <v>44927</v>
      </c>
      <c r="B546" t="s">
        <v>65</v>
      </c>
      <c r="C546" t="s">
        <v>623</v>
      </c>
      <c r="D546" s="2">
        <v>54992.959999999999</v>
      </c>
      <c r="E546">
        <v>0</v>
      </c>
      <c r="F546">
        <v>0</v>
      </c>
    </row>
    <row r="547" spans="1:6" x14ac:dyDescent="0.25">
      <c r="A547" s="1">
        <v>44927</v>
      </c>
      <c r="B547" t="s">
        <v>162</v>
      </c>
      <c r="C547" t="s">
        <v>291</v>
      </c>
      <c r="D547" s="2">
        <v>51811434.770000003</v>
      </c>
      <c r="E547" s="2">
        <v>4747227.17</v>
      </c>
      <c r="F547" s="2">
        <v>4323258.62</v>
      </c>
    </row>
    <row r="548" spans="1:6" x14ac:dyDescent="0.25">
      <c r="A548" s="1">
        <v>44927</v>
      </c>
      <c r="B548" t="s">
        <v>37</v>
      </c>
      <c r="C548" t="s">
        <v>624</v>
      </c>
      <c r="D548">
        <v>0</v>
      </c>
      <c r="E548">
        <v>0</v>
      </c>
      <c r="F548">
        <v>0</v>
      </c>
    </row>
    <row r="549" spans="1:6" x14ac:dyDescent="0.25">
      <c r="A549" s="1">
        <v>44927</v>
      </c>
      <c r="B549" t="s">
        <v>96</v>
      </c>
      <c r="C549" t="s">
        <v>625</v>
      </c>
      <c r="D549">
        <v>0</v>
      </c>
      <c r="E549">
        <v>0</v>
      </c>
      <c r="F549">
        <v>0</v>
      </c>
    </row>
    <row r="550" spans="1:6" x14ac:dyDescent="0.25">
      <c r="A550" s="1">
        <v>44927</v>
      </c>
      <c r="B550" t="s">
        <v>278</v>
      </c>
      <c r="C550" t="s">
        <v>626</v>
      </c>
      <c r="D550" s="2">
        <v>46300804590</v>
      </c>
      <c r="E550" s="2">
        <v>3838061187.1199999</v>
      </c>
      <c r="F550" s="2">
        <v>1889709341.8</v>
      </c>
    </row>
    <row r="551" spans="1:6" x14ac:dyDescent="0.25">
      <c r="A551" s="1">
        <v>44927</v>
      </c>
      <c r="B551" t="s">
        <v>15</v>
      </c>
      <c r="C551" t="s">
        <v>627</v>
      </c>
      <c r="D551">
        <v>0</v>
      </c>
      <c r="E551">
        <v>0</v>
      </c>
      <c r="F551">
        <v>0</v>
      </c>
    </row>
    <row r="552" spans="1:6" x14ac:dyDescent="0.25">
      <c r="A552" s="1">
        <v>44927</v>
      </c>
      <c r="B552" t="s">
        <v>114</v>
      </c>
      <c r="C552" t="s">
        <v>628</v>
      </c>
      <c r="D552" s="2">
        <v>12176.8</v>
      </c>
      <c r="E552" s="2">
        <v>12176.8</v>
      </c>
      <c r="F552" s="2">
        <v>12176.8</v>
      </c>
    </row>
    <row r="553" spans="1:6" x14ac:dyDescent="0.25">
      <c r="A553" s="1">
        <v>44927</v>
      </c>
      <c r="B553" t="s">
        <v>40</v>
      </c>
      <c r="C553" t="s">
        <v>629</v>
      </c>
      <c r="D553" s="2">
        <v>301451.84000000003</v>
      </c>
      <c r="E553" s="2">
        <v>70560.009999999995</v>
      </c>
      <c r="F553" s="2">
        <v>69404.149999999994</v>
      </c>
    </row>
    <row r="554" spans="1:6" x14ac:dyDescent="0.25">
      <c r="A554" s="1">
        <v>44927</v>
      </c>
      <c r="B554" t="s">
        <v>23</v>
      </c>
      <c r="C554" t="s">
        <v>630</v>
      </c>
      <c r="D554">
        <v>0</v>
      </c>
      <c r="E554">
        <v>0</v>
      </c>
      <c r="F554">
        <v>0</v>
      </c>
    </row>
    <row r="555" spans="1:6" x14ac:dyDescent="0.25">
      <c r="A555" s="1">
        <v>44927</v>
      </c>
      <c r="B555" t="s">
        <v>29</v>
      </c>
      <c r="C555" t="s">
        <v>631</v>
      </c>
      <c r="D555">
        <v>0</v>
      </c>
      <c r="E555">
        <v>0</v>
      </c>
      <c r="F555">
        <v>0</v>
      </c>
    </row>
    <row r="556" spans="1:6" x14ac:dyDescent="0.25">
      <c r="A556" s="1">
        <v>44927</v>
      </c>
      <c r="B556" t="s">
        <v>35</v>
      </c>
      <c r="C556" t="s">
        <v>632</v>
      </c>
      <c r="D556" s="2">
        <v>306743.82</v>
      </c>
      <c r="E556" s="2">
        <v>16547.52</v>
      </c>
      <c r="F556" s="2">
        <v>16547.52</v>
      </c>
    </row>
    <row r="557" spans="1:6" x14ac:dyDescent="0.25">
      <c r="A557" s="1">
        <v>44927</v>
      </c>
      <c r="B557" t="s">
        <v>23</v>
      </c>
      <c r="C557" t="s">
        <v>633</v>
      </c>
      <c r="D557">
        <v>0</v>
      </c>
      <c r="E557">
        <v>0</v>
      </c>
      <c r="F557">
        <v>0</v>
      </c>
    </row>
    <row r="558" spans="1:6" x14ac:dyDescent="0.25">
      <c r="A558" s="1">
        <v>44927</v>
      </c>
      <c r="B558" t="s">
        <v>21</v>
      </c>
      <c r="C558" t="s">
        <v>634</v>
      </c>
      <c r="D558">
        <v>0</v>
      </c>
      <c r="E558">
        <v>0</v>
      </c>
      <c r="F558">
        <v>0</v>
      </c>
    </row>
    <row r="559" spans="1:6" x14ac:dyDescent="0.25">
      <c r="A559" s="1">
        <v>44927</v>
      </c>
      <c r="B559" t="s">
        <v>13</v>
      </c>
      <c r="C559" t="s">
        <v>635</v>
      </c>
      <c r="D559" s="2">
        <v>79140</v>
      </c>
      <c r="E559" s="2">
        <v>7949.62</v>
      </c>
      <c r="F559" s="2">
        <v>7949.62</v>
      </c>
    </row>
    <row r="560" spans="1:6" x14ac:dyDescent="0.25">
      <c r="A560" s="1">
        <v>44927</v>
      </c>
      <c r="B560" t="s">
        <v>9</v>
      </c>
      <c r="C560" t="s">
        <v>636</v>
      </c>
      <c r="D560">
        <v>0</v>
      </c>
      <c r="E560">
        <v>0</v>
      </c>
      <c r="F560">
        <v>0</v>
      </c>
    </row>
    <row r="561" spans="1:6" x14ac:dyDescent="0.25">
      <c r="A561" s="1">
        <v>44927</v>
      </c>
      <c r="B561" t="s">
        <v>23</v>
      </c>
      <c r="C561" t="s">
        <v>637</v>
      </c>
      <c r="D561" s="2">
        <v>19912</v>
      </c>
      <c r="E561">
        <v>0</v>
      </c>
      <c r="F561">
        <v>0</v>
      </c>
    </row>
    <row r="562" spans="1:6" x14ac:dyDescent="0.25">
      <c r="A562" s="1">
        <v>44927</v>
      </c>
      <c r="B562" t="s">
        <v>196</v>
      </c>
      <c r="C562" t="s">
        <v>638</v>
      </c>
      <c r="D562">
        <v>0</v>
      </c>
      <c r="E562">
        <v>0</v>
      </c>
      <c r="F562">
        <v>0</v>
      </c>
    </row>
    <row r="563" spans="1:6" x14ac:dyDescent="0.25">
      <c r="A563" s="1">
        <v>44927</v>
      </c>
      <c r="B563" t="s">
        <v>37</v>
      </c>
      <c r="C563" t="s">
        <v>319</v>
      </c>
      <c r="D563">
        <v>0</v>
      </c>
      <c r="E563">
        <v>0</v>
      </c>
      <c r="F563">
        <v>0</v>
      </c>
    </row>
    <row r="564" spans="1:6" x14ac:dyDescent="0.25">
      <c r="A564" s="1">
        <v>44927</v>
      </c>
      <c r="B564" t="s">
        <v>118</v>
      </c>
      <c r="C564" t="s">
        <v>639</v>
      </c>
      <c r="D564" s="2">
        <v>20760818.57</v>
      </c>
      <c r="E564" s="2">
        <v>19247435.879999999</v>
      </c>
      <c r="F564" s="2">
        <v>1278867.69</v>
      </c>
    </row>
    <row r="565" spans="1:6" x14ac:dyDescent="0.25">
      <c r="A565" s="1">
        <v>44927</v>
      </c>
      <c r="B565" t="s">
        <v>159</v>
      </c>
      <c r="C565" t="s">
        <v>640</v>
      </c>
      <c r="D565">
        <v>0</v>
      </c>
      <c r="E565">
        <v>0</v>
      </c>
      <c r="F565">
        <v>0</v>
      </c>
    </row>
    <row r="566" spans="1:6" x14ac:dyDescent="0.25">
      <c r="A566" s="1">
        <v>44927</v>
      </c>
      <c r="B566" t="s">
        <v>50</v>
      </c>
      <c r="C566" t="s">
        <v>625</v>
      </c>
      <c r="D566">
        <v>0</v>
      </c>
      <c r="E566">
        <v>0</v>
      </c>
      <c r="F566">
        <v>0</v>
      </c>
    </row>
    <row r="567" spans="1:6" x14ac:dyDescent="0.25">
      <c r="A567" s="1">
        <v>44927</v>
      </c>
      <c r="B567" t="s">
        <v>159</v>
      </c>
      <c r="C567" t="s">
        <v>641</v>
      </c>
      <c r="D567">
        <v>0</v>
      </c>
      <c r="E567">
        <v>0</v>
      </c>
      <c r="F567">
        <v>0</v>
      </c>
    </row>
    <row r="568" spans="1:6" x14ac:dyDescent="0.25">
      <c r="A568" s="1">
        <v>44927</v>
      </c>
      <c r="B568" t="s">
        <v>21</v>
      </c>
      <c r="C568" t="s">
        <v>642</v>
      </c>
      <c r="D568">
        <v>0</v>
      </c>
      <c r="E568">
        <v>0</v>
      </c>
      <c r="F568">
        <v>0</v>
      </c>
    </row>
    <row r="569" spans="1:6" x14ac:dyDescent="0.25">
      <c r="A569" s="1">
        <v>44927</v>
      </c>
      <c r="B569" t="s">
        <v>21</v>
      </c>
      <c r="C569" t="s">
        <v>643</v>
      </c>
      <c r="D569">
        <v>0</v>
      </c>
      <c r="E569">
        <v>0</v>
      </c>
      <c r="F569">
        <v>0</v>
      </c>
    </row>
    <row r="570" spans="1:6" x14ac:dyDescent="0.25">
      <c r="A570" s="1">
        <v>44927</v>
      </c>
      <c r="B570" t="s">
        <v>40</v>
      </c>
      <c r="C570" t="s">
        <v>644</v>
      </c>
      <c r="D570">
        <v>242.98</v>
      </c>
      <c r="E570">
        <v>242.96</v>
      </c>
      <c r="F570">
        <v>242.96</v>
      </c>
    </row>
    <row r="571" spans="1:6" x14ac:dyDescent="0.25">
      <c r="A571" s="1">
        <v>44927</v>
      </c>
      <c r="B571" t="s">
        <v>105</v>
      </c>
      <c r="C571" t="s">
        <v>645</v>
      </c>
      <c r="D571">
        <v>0</v>
      </c>
      <c r="E571">
        <v>0</v>
      </c>
      <c r="F571">
        <v>0</v>
      </c>
    </row>
    <row r="572" spans="1:6" x14ac:dyDescent="0.25">
      <c r="A572" s="1">
        <v>44927</v>
      </c>
      <c r="B572" t="s">
        <v>234</v>
      </c>
      <c r="C572" t="s">
        <v>646</v>
      </c>
      <c r="D572" s="2">
        <v>3319382.51</v>
      </c>
      <c r="E572" s="2">
        <v>723389.61</v>
      </c>
      <c r="F572" s="2">
        <v>693925.63</v>
      </c>
    </row>
    <row r="573" spans="1:6" x14ac:dyDescent="0.25">
      <c r="A573" s="1">
        <v>44927</v>
      </c>
      <c r="B573" t="s">
        <v>37</v>
      </c>
      <c r="C573" t="s">
        <v>647</v>
      </c>
      <c r="D573">
        <v>0</v>
      </c>
      <c r="E573">
        <v>0</v>
      </c>
      <c r="F573">
        <v>0</v>
      </c>
    </row>
    <row r="574" spans="1:6" x14ac:dyDescent="0.25">
      <c r="A574" s="1">
        <v>44927</v>
      </c>
      <c r="B574" t="s">
        <v>648</v>
      </c>
      <c r="C574" t="s">
        <v>649</v>
      </c>
      <c r="D574">
        <v>0</v>
      </c>
      <c r="E574">
        <v>0</v>
      </c>
      <c r="F574">
        <v>0</v>
      </c>
    </row>
    <row r="575" spans="1:6" x14ac:dyDescent="0.25">
      <c r="A575" s="1">
        <v>44927</v>
      </c>
      <c r="B575" t="s">
        <v>21</v>
      </c>
      <c r="C575" t="s">
        <v>650</v>
      </c>
      <c r="D575">
        <v>0</v>
      </c>
      <c r="E575">
        <v>0</v>
      </c>
      <c r="F575">
        <v>0</v>
      </c>
    </row>
    <row r="576" spans="1:6" x14ac:dyDescent="0.25">
      <c r="A576" s="1">
        <v>44927</v>
      </c>
      <c r="B576" t="s">
        <v>40</v>
      </c>
      <c r="C576" t="s">
        <v>651</v>
      </c>
      <c r="D576" s="2">
        <v>53517.7</v>
      </c>
      <c r="E576" s="2">
        <v>2517.6999999999998</v>
      </c>
      <c r="F576" s="2">
        <v>2517.6999999999998</v>
      </c>
    </row>
    <row r="577" spans="1:6" x14ac:dyDescent="0.25">
      <c r="A577" s="1">
        <v>44927</v>
      </c>
      <c r="B577" t="s">
        <v>21</v>
      </c>
      <c r="C577" t="s">
        <v>652</v>
      </c>
      <c r="D577">
        <v>0</v>
      </c>
      <c r="E577">
        <v>0</v>
      </c>
      <c r="F577">
        <v>0</v>
      </c>
    </row>
    <row r="578" spans="1:6" x14ac:dyDescent="0.25">
      <c r="A578" s="1">
        <v>44927</v>
      </c>
      <c r="B578" t="s">
        <v>29</v>
      </c>
      <c r="C578" t="s">
        <v>653</v>
      </c>
      <c r="D578">
        <v>0</v>
      </c>
      <c r="E578">
        <v>0</v>
      </c>
      <c r="F578">
        <v>0</v>
      </c>
    </row>
    <row r="579" spans="1:6" x14ac:dyDescent="0.25">
      <c r="A579" s="1">
        <v>44927</v>
      </c>
      <c r="B579" t="s">
        <v>40</v>
      </c>
      <c r="C579" t="s">
        <v>654</v>
      </c>
      <c r="D579">
        <v>0</v>
      </c>
      <c r="E579">
        <v>0</v>
      </c>
      <c r="F579">
        <v>0</v>
      </c>
    </row>
    <row r="580" spans="1:6" x14ac:dyDescent="0.25">
      <c r="A580" s="1">
        <v>44927</v>
      </c>
      <c r="B580" t="s">
        <v>23</v>
      </c>
      <c r="C580" t="s">
        <v>655</v>
      </c>
      <c r="D580">
        <v>0</v>
      </c>
      <c r="E580">
        <v>0</v>
      </c>
      <c r="F580">
        <v>0</v>
      </c>
    </row>
    <row r="581" spans="1:6" x14ac:dyDescent="0.25">
      <c r="A581" s="1">
        <v>44927</v>
      </c>
      <c r="B581" t="s">
        <v>81</v>
      </c>
      <c r="C581" t="s">
        <v>656</v>
      </c>
      <c r="D581">
        <v>0</v>
      </c>
      <c r="E581">
        <v>0</v>
      </c>
      <c r="F581">
        <v>0</v>
      </c>
    </row>
    <row r="582" spans="1:6" x14ac:dyDescent="0.25">
      <c r="A582" s="1">
        <v>44927</v>
      </c>
      <c r="B582" t="s">
        <v>23</v>
      </c>
      <c r="C582" t="s">
        <v>657</v>
      </c>
      <c r="D582">
        <v>0</v>
      </c>
      <c r="E582">
        <v>0</v>
      </c>
      <c r="F582">
        <v>0</v>
      </c>
    </row>
    <row r="583" spans="1:6" x14ac:dyDescent="0.25">
      <c r="A583" s="1">
        <v>44927</v>
      </c>
      <c r="B583" t="s">
        <v>118</v>
      </c>
      <c r="C583" t="s">
        <v>658</v>
      </c>
      <c r="D583">
        <v>0</v>
      </c>
      <c r="E583">
        <v>0</v>
      </c>
      <c r="F583">
        <v>0</v>
      </c>
    </row>
    <row r="584" spans="1:6" x14ac:dyDescent="0.25">
      <c r="A584" s="1">
        <v>44927</v>
      </c>
      <c r="B584" t="s">
        <v>13</v>
      </c>
      <c r="C584" t="s">
        <v>659</v>
      </c>
      <c r="D584">
        <v>0</v>
      </c>
      <c r="E584">
        <v>0</v>
      </c>
      <c r="F584">
        <v>0</v>
      </c>
    </row>
    <row r="585" spans="1:6" x14ac:dyDescent="0.25">
      <c r="A585" s="1">
        <v>44927</v>
      </c>
      <c r="B585" t="s">
        <v>288</v>
      </c>
      <c r="C585" t="s">
        <v>660</v>
      </c>
      <c r="D585">
        <v>0</v>
      </c>
      <c r="E585">
        <v>0</v>
      </c>
      <c r="F585">
        <v>0</v>
      </c>
    </row>
    <row r="586" spans="1:6" x14ac:dyDescent="0.25">
      <c r="A586" s="1">
        <v>44927</v>
      </c>
      <c r="B586" t="s">
        <v>661</v>
      </c>
      <c r="C586" t="s">
        <v>95</v>
      </c>
      <c r="D586">
        <v>0</v>
      </c>
      <c r="E586">
        <v>0</v>
      </c>
      <c r="F586">
        <v>0</v>
      </c>
    </row>
    <row r="587" spans="1:6" x14ac:dyDescent="0.25">
      <c r="A587" s="1">
        <v>44927</v>
      </c>
      <c r="B587" t="s">
        <v>48</v>
      </c>
      <c r="C587" t="s">
        <v>662</v>
      </c>
      <c r="D587">
        <v>0</v>
      </c>
      <c r="E587">
        <v>0</v>
      </c>
      <c r="F587">
        <v>0</v>
      </c>
    </row>
    <row r="588" spans="1:6" x14ac:dyDescent="0.25">
      <c r="A588" s="1">
        <v>44927</v>
      </c>
      <c r="B588" t="s">
        <v>181</v>
      </c>
      <c r="C588" t="s">
        <v>663</v>
      </c>
      <c r="D588">
        <v>0</v>
      </c>
      <c r="E588">
        <v>0</v>
      </c>
      <c r="F588">
        <v>0</v>
      </c>
    </row>
    <row r="589" spans="1:6" x14ac:dyDescent="0.25">
      <c r="A589" s="1">
        <v>44927</v>
      </c>
      <c r="B589" t="s">
        <v>282</v>
      </c>
      <c r="C589" t="s">
        <v>664</v>
      </c>
      <c r="D589" s="2">
        <v>13323911633</v>
      </c>
      <c r="E589" s="2">
        <v>13252580000</v>
      </c>
      <c r="F589" s="2">
        <v>13252580000</v>
      </c>
    </row>
    <row r="590" spans="1:6" x14ac:dyDescent="0.25">
      <c r="A590" s="1">
        <v>44927</v>
      </c>
      <c r="B590" t="s">
        <v>23</v>
      </c>
      <c r="C590" t="s">
        <v>665</v>
      </c>
      <c r="D590" s="2">
        <v>591194.54</v>
      </c>
      <c r="E590" s="2">
        <v>29520.01</v>
      </c>
      <c r="F590" s="2">
        <v>29520.01</v>
      </c>
    </row>
    <row r="591" spans="1:6" x14ac:dyDescent="0.25">
      <c r="A591" s="1">
        <v>44927</v>
      </c>
      <c r="B591" t="s">
        <v>40</v>
      </c>
      <c r="C591" t="s">
        <v>666</v>
      </c>
      <c r="D591">
        <v>0</v>
      </c>
      <c r="E591">
        <v>0</v>
      </c>
      <c r="F591">
        <v>0</v>
      </c>
    </row>
    <row r="592" spans="1:6" x14ac:dyDescent="0.25">
      <c r="A592" s="1">
        <v>44927</v>
      </c>
      <c r="B592" t="s">
        <v>9</v>
      </c>
      <c r="C592" t="s">
        <v>667</v>
      </c>
      <c r="D592" s="2">
        <v>207896.39</v>
      </c>
      <c r="E592">
        <v>368.39</v>
      </c>
      <c r="F592">
        <v>368.39</v>
      </c>
    </row>
    <row r="593" spans="1:6" x14ac:dyDescent="0.25">
      <c r="A593" s="1">
        <v>44927</v>
      </c>
      <c r="B593" t="s">
        <v>31</v>
      </c>
      <c r="C593" t="s">
        <v>668</v>
      </c>
      <c r="D593">
        <v>0</v>
      </c>
      <c r="E593">
        <v>0</v>
      </c>
      <c r="F593">
        <v>0</v>
      </c>
    </row>
    <row r="594" spans="1:6" x14ac:dyDescent="0.25">
      <c r="A594" s="1">
        <v>44927</v>
      </c>
      <c r="B594" t="s">
        <v>53</v>
      </c>
      <c r="C594" t="s">
        <v>669</v>
      </c>
      <c r="D594" s="2">
        <v>4711334604</v>
      </c>
      <c r="E594" s="2">
        <v>339256747.37</v>
      </c>
      <c r="F594" s="2">
        <v>339212777.63999999</v>
      </c>
    </row>
    <row r="595" spans="1:6" x14ac:dyDescent="0.25">
      <c r="A595" s="1">
        <v>44927</v>
      </c>
      <c r="B595" t="s">
        <v>42</v>
      </c>
      <c r="C595" t="s">
        <v>670</v>
      </c>
      <c r="D595" s="2">
        <v>9188035.9199999999</v>
      </c>
      <c r="E595" s="2">
        <v>6397230.29</v>
      </c>
      <c r="F595" s="2">
        <v>5250155.57</v>
      </c>
    </row>
    <row r="596" spans="1:6" x14ac:dyDescent="0.25">
      <c r="A596" s="1">
        <v>44927</v>
      </c>
      <c r="B596" t="s">
        <v>422</v>
      </c>
      <c r="C596" t="s">
        <v>671</v>
      </c>
      <c r="D596" s="2">
        <v>1119878.3999999999</v>
      </c>
      <c r="E596">
        <v>0</v>
      </c>
      <c r="F596">
        <v>0</v>
      </c>
    </row>
    <row r="597" spans="1:6" x14ac:dyDescent="0.25">
      <c r="A597" s="1">
        <v>44927</v>
      </c>
      <c r="B597" t="s">
        <v>344</v>
      </c>
      <c r="C597" t="s">
        <v>672</v>
      </c>
      <c r="D597">
        <v>0</v>
      </c>
      <c r="E597">
        <v>0</v>
      </c>
      <c r="F597">
        <v>0</v>
      </c>
    </row>
    <row r="598" spans="1:6" x14ac:dyDescent="0.25">
      <c r="A598" s="1">
        <v>44927</v>
      </c>
      <c r="B598" t="s">
        <v>17</v>
      </c>
      <c r="C598" t="s">
        <v>673</v>
      </c>
      <c r="D598">
        <v>0</v>
      </c>
      <c r="E598">
        <v>0</v>
      </c>
      <c r="F598">
        <v>0</v>
      </c>
    </row>
    <row r="599" spans="1:6" x14ac:dyDescent="0.25">
      <c r="A599" s="1">
        <v>44927</v>
      </c>
      <c r="B599" t="s">
        <v>46</v>
      </c>
      <c r="C599" t="s">
        <v>674</v>
      </c>
      <c r="D599" s="2">
        <v>29134704.93</v>
      </c>
      <c r="E599" s="2">
        <v>846624.11</v>
      </c>
      <c r="F599" s="2">
        <v>846624.11</v>
      </c>
    </row>
    <row r="600" spans="1:6" x14ac:dyDescent="0.25">
      <c r="A600" s="1">
        <v>44927</v>
      </c>
      <c r="B600" t="s">
        <v>25</v>
      </c>
      <c r="C600" t="s">
        <v>319</v>
      </c>
      <c r="D600">
        <v>0</v>
      </c>
      <c r="E600">
        <v>0</v>
      </c>
      <c r="F600">
        <v>0</v>
      </c>
    </row>
    <row r="601" spans="1:6" x14ac:dyDescent="0.25">
      <c r="A601" s="1">
        <v>44927</v>
      </c>
      <c r="B601" t="s">
        <v>23</v>
      </c>
      <c r="C601" t="s">
        <v>675</v>
      </c>
      <c r="D601" s="2">
        <v>1457486.35</v>
      </c>
      <c r="E601">
        <v>0</v>
      </c>
      <c r="F601">
        <v>0</v>
      </c>
    </row>
    <row r="602" spans="1:6" x14ac:dyDescent="0.25">
      <c r="A602" s="1">
        <v>44927</v>
      </c>
      <c r="B602" t="s">
        <v>37</v>
      </c>
      <c r="C602" t="s">
        <v>676</v>
      </c>
      <c r="D602" s="2">
        <v>55852.55</v>
      </c>
      <c r="E602" s="2">
        <v>28349.62</v>
      </c>
      <c r="F602" s="2">
        <v>11142.84</v>
      </c>
    </row>
    <row r="603" spans="1:6" x14ac:dyDescent="0.25">
      <c r="A603" s="1">
        <v>44927</v>
      </c>
      <c r="B603" t="s">
        <v>23</v>
      </c>
      <c r="C603" t="s">
        <v>677</v>
      </c>
      <c r="D603" s="2">
        <v>94799</v>
      </c>
      <c r="E603" s="2">
        <v>2101.6</v>
      </c>
      <c r="F603" s="2">
        <v>2101.6</v>
      </c>
    </row>
    <row r="604" spans="1:6" x14ac:dyDescent="0.25">
      <c r="A604" s="1">
        <v>44927</v>
      </c>
      <c r="B604" t="s">
        <v>422</v>
      </c>
      <c r="C604" t="s">
        <v>678</v>
      </c>
      <c r="D604">
        <v>0</v>
      </c>
      <c r="E604">
        <v>0</v>
      </c>
      <c r="F604">
        <v>0</v>
      </c>
    </row>
    <row r="605" spans="1:6" x14ac:dyDescent="0.25">
      <c r="A605" s="1">
        <v>44927</v>
      </c>
      <c r="B605" t="s">
        <v>679</v>
      </c>
      <c r="C605" t="s">
        <v>680</v>
      </c>
      <c r="D605">
        <v>0</v>
      </c>
      <c r="E605">
        <v>0</v>
      </c>
      <c r="F605">
        <v>0</v>
      </c>
    </row>
    <row r="606" spans="1:6" x14ac:dyDescent="0.25">
      <c r="A606" s="1">
        <v>44927</v>
      </c>
      <c r="B606" t="s">
        <v>23</v>
      </c>
      <c r="C606" t="s">
        <v>681</v>
      </c>
      <c r="D606" s="2">
        <v>122291816.8</v>
      </c>
      <c r="E606">
        <v>0</v>
      </c>
      <c r="F606">
        <v>0</v>
      </c>
    </row>
    <row r="607" spans="1:6" x14ac:dyDescent="0.25">
      <c r="A607" s="1">
        <v>44927</v>
      </c>
      <c r="B607" t="s">
        <v>682</v>
      </c>
      <c r="C607" t="s">
        <v>683</v>
      </c>
      <c r="D607" s="2">
        <v>86057.03</v>
      </c>
      <c r="E607">
        <v>0</v>
      </c>
      <c r="F607">
        <v>0</v>
      </c>
    </row>
    <row r="608" spans="1:6" x14ac:dyDescent="0.25">
      <c r="A608" s="1">
        <v>44927</v>
      </c>
      <c r="B608" t="s">
        <v>44</v>
      </c>
      <c r="C608" t="s">
        <v>684</v>
      </c>
      <c r="D608" s="2">
        <v>489367.2</v>
      </c>
      <c r="E608" s="2">
        <v>26183.17</v>
      </c>
      <c r="F608" s="2">
        <v>26183.17</v>
      </c>
    </row>
    <row r="609" spans="1:6" x14ac:dyDescent="0.25">
      <c r="A609" s="1">
        <v>44927</v>
      </c>
      <c r="B609" t="s">
        <v>37</v>
      </c>
      <c r="C609" t="s">
        <v>685</v>
      </c>
      <c r="D609">
        <v>0</v>
      </c>
      <c r="E609">
        <v>0</v>
      </c>
      <c r="F609">
        <v>0</v>
      </c>
    </row>
    <row r="610" spans="1:6" x14ac:dyDescent="0.25">
      <c r="A610" s="1">
        <v>44927</v>
      </c>
      <c r="B610" t="s">
        <v>40</v>
      </c>
      <c r="C610" t="s">
        <v>686</v>
      </c>
      <c r="D610" s="2">
        <v>282813.03999999998</v>
      </c>
      <c r="E610" s="2">
        <v>83505.899999999994</v>
      </c>
      <c r="F610" s="2">
        <v>83265.38</v>
      </c>
    </row>
    <row r="611" spans="1:6" x14ac:dyDescent="0.25">
      <c r="A611" s="1">
        <v>44927</v>
      </c>
      <c r="B611" t="s">
        <v>107</v>
      </c>
      <c r="C611" t="s">
        <v>687</v>
      </c>
      <c r="D611" s="2">
        <v>10337.26</v>
      </c>
      <c r="E611">
        <v>761.12</v>
      </c>
      <c r="F611">
        <v>761.12</v>
      </c>
    </row>
    <row r="612" spans="1:6" x14ac:dyDescent="0.25">
      <c r="A612" s="1">
        <v>44927</v>
      </c>
      <c r="B612" t="s">
        <v>278</v>
      </c>
      <c r="C612" t="s">
        <v>688</v>
      </c>
      <c r="D612" s="2">
        <v>37854720073</v>
      </c>
      <c r="E612" s="2">
        <v>3124118406</v>
      </c>
      <c r="F612" s="2">
        <v>1533112211.8499999</v>
      </c>
    </row>
    <row r="613" spans="1:6" x14ac:dyDescent="0.25">
      <c r="A613" s="1">
        <v>44927</v>
      </c>
      <c r="B613" t="s">
        <v>50</v>
      </c>
      <c r="C613" t="s">
        <v>689</v>
      </c>
      <c r="D613">
        <v>0</v>
      </c>
      <c r="E613">
        <v>0</v>
      </c>
      <c r="F613">
        <v>0</v>
      </c>
    </row>
    <row r="614" spans="1:6" x14ac:dyDescent="0.25">
      <c r="A614" s="1">
        <v>44927</v>
      </c>
      <c r="B614" t="s">
        <v>114</v>
      </c>
      <c r="C614" t="s">
        <v>690</v>
      </c>
      <c r="D614" s="2">
        <v>16927048.809999999</v>
      </c>
      <c r="E614" s="2">
        <v>8375391.2800000003</v>
      </c>
      <c r="F614" s="2">
        <v>8223007.0199999996</v>
      </c>
    </row>
    <row r="615" spans="1:6" x14ac:dyDescent="0.25">
      <c r="A615" s="1">
        <v>44927</v>
      </c>
      <c r="B615" t="s">
        <v>691</v>
      </c>
      <c r="C615" t="s">
        <v>692</v>
      </c>
      <c r="D615">
        <v>0</v>
      </c>
      <c r="E615">
        <v>0</v>
      </c>
      <c r="F615">
        <v>0</v>
      </c>
    </row>
    <row r="616" spans="1:6" x14ac:dyDescent="0.25">
      <c r="A616" s="1">
        <v>44927</v>
      </c>
      <c r="B616" t="s">
        <v>15</v>
      </c>
      <c r="C616" t="s">
        <v>693</v>
      </c>
      <c r="D616" s="2">
        <v>2581172.4900000002</v>
      </c>
      <c r="E616" s="2">
        <v>10118.719999999999</v>
      </c>
      <c r="F616" s="2">
        <v>10118.719999999999</v>
      </c>
    </row>
    <row r="617" spans="1:6" x14ac:dyDescent="0.25">
      <c r="A617" s="1">
        <v>44927</v>
      </c>
      <c r="B617" t="s">
        <v>694</v>
      </c>
      <c r="C617" t="s">
        <v>658</v>
      </c>
      <c r="D617">
        <v>0</v>
      </c>
      <c r="E617">
        <v>0</v>
      </c>
      <c r="F617">
        <v>0</v>
      </c>
    </row>
    <row r="618" spans="1:6" x14ac:dyDescent="0.25">
      <c r="A618" s="1">
        <v>44927</v>
      </c>
      <c r="B618" t="s">
        <v>40</v>
      </c>
      <c r="C618" t="s">
        <v>695</v>
      </c>
      <c r="D618">
        <v>0</v>
      </c>
      <c r="E618">
        <v>0</v>
      </c>
      <c r="F618">
        <v>0</v>
      </c>
    </row>
    <row r="619" spans="1:6" x14ac:dyDescent="0.25">
      <c r="A619" s="1">
        <v>44927</v>
      </c>
      <c r="B619" t="s">
        <v>11</v>
      </c>
      <c r="C619" t="s">
        <v>696</v>
      </c>
      <c r="D619" s="2">
        <v>19949444.600000001</v>
      </c>
      <c r="E619" s="2">
        <v>18342882.280000001</v>
      </c>
      <c r="F619" s="2">
        <v>42521.42</v>
      </c>
    </row>
    <row r="620" spans="1:6" x14ac:dyDescent="0.25">
      <c r="A620" s="1">
        <v>44927</v>
      </c>
      <c r="B620" t="s">
        <v>15</v>
      </c>
      <c r="C620" t="s">
        <v>697</v>
      </c>
      <c r="D620" s="2">
        <v>8663382.8300000001</v>
      </c>
      <c r="E620" s="2">
        <v>1063988.3999999999</v>
      </c>
      <c r="F620" s="2">
        <v>433219.47</v>
      </c>
    </row>
    <row r="621" spans="1:6" x14ac:dyDescent="0.25">
      <c r="A621" s="1">
        <v>44927</v>
      </c>
      <c r="B621" t="s">
        <v>9</v>
      </c>
      <c r="C621" t="s">
        <v>663</v>
      </c>
      <c r="D621" s="2">
        <v>4384198.38</v>
      </c>
      <c r="E621" s="2">
        <v>342201.09</v>
      </c>
      <c r="F621" s="2">
        <v>4479</v>
      </c>
    </row>
    <row r="622" spans="1:6" x14ac:dyDescent="0.25">
      <c r="A622" s="1">
        <v>44927</v>
      </c>
      <c r="B622" t="s">
        <v>23</v>
      </c>
      <c r="C622" t="s">
        <v>698</v>
      </c>
      <c r="D622">
        <v>0</v>
      </c>
      <c r="E622">
        <v>0</v>
      </c>
      <c r="F622">
        <v>0</v>
      </c>
    </row>
    <row r="623" spans="1:6" x14ac:dyDescent="0.25">
      <c r="A623" s="1">
        <v>44927</v>
      </c>
      <c r="B623" t="s">
        <v>19</v>
      </c>
      <c r="C623" t="s">
        <v>699</v>
      </c>
      <c r="D623" s="2">
        <v>1058586.99</v>
      </c>
      <c r="E623" s="2">
        <v>1270.3</v>
      </c>
      <c r="F623" s="2">
        <v>1270.3</v>
      </c>
    </row>
    <row r="624" spans="1:6" x14ac:dyDescent="0.25">
      <c r="A624" s="1">
        <v>44927</v>
      </c>
      <c r="B624" t="s">
        <v>23</v>
      </c>
      <c r="C624" t="s">
        <v>203</v>
      </c>
      <c r="D624">
        <v>0</v>
      </c>
      <c r="E624">
        <v>0</v>
      </c>
      <c r="F624">
        <v>0</v>
      </c>
    </row>
    <row r="625" spans="1:6" x14ac:dyDescent="0.25">
      <c r="A625" s="1">
        <v>44927</v>
      </c>
      <c r="B625" t="s">
        <v>143</v>
      </c>
      <c r="C625" t="s">
        <v>413</v>
      </c>
      <c r="D625">
        <v>0</v>
      </c>
      <c r="E625">
        <v>0</v>
      </c>
      <c r="F625">
        <v>0</v>
      </c>
    </row>
    <row r="626" spans="1:6" x14ac:dyDescent="0.25">
      <c r="A626" s="1">
        <v>44927</v>
      </c>
      <c r="B626" t="s">
        <v>21</v>
      </c>
      <c r="C626" t="s">
        <v>700</v>
      </c>
      <c r="D626">
        <v>0</v>
      </c>
      <c r="E626">
        <v>0</v>
      </c>
      <c r="F626">
        <v>0</v>
      </c>
    </row>
    <row r="627" spans="1:6" x14ac:dyDescent="0.25">
      <c r="A627" s="1">
        <v>44927</v>
      </c>
      <c r="B627" t="s">
        <v>92</v>
      </c>
      <c r="C627" t="s">
        <v>701</v>
      </c>
      <c r="D627" s="2">
        <v>5592324.4299999997</v>
      </c>
      <c r="E627" s="2">
        <v>3384288.15</v>
      </c>
      <c r="F627" s="2">
        <v>3159118.89</v>
      </c>
    </row>
    <row r="628" spans="1:6" x14ac:dyDescent="0.25">
      <c r="A628" s="1">
        <v>44927</v>
      </c>
      <c r="B628" t="s">
        <v>306</v>
      </c>
      <c r="C628" t="s">
        <v>702</v>
      </c>
      <c r="D628">
        <v>92.26</v>
      </c>
      <c r="E628">
        <v>0</v>
      </c>
      <c r="F628">
        <v>0</v>
      </c>
    </row>
    <row r="629" spans="1:6" x14ac:dyDescent="0.25">
      <c r="A629" s="1">
        <v>44927</v>
      </c>
      <c r="B629" t="s">
        <v>25</v>
      </c>
      <c r="C629" t="s">
        <v>703</v>
      </c>
      <c r="D629" s="2">
        <v>36126</v>
      </c>
      <c r="E629" s="2">
        <v>36126</v>
      </c>
      <c r="F629">
        <v>0</v>
      </c>
    </row>
    <row r="630" spans="1:6" x14ac:dyDescent="0.25">
      <c r="A630" s="1">
        <v>44927</v>
      </c>
      <c r="B630" t="s">
        <v>154</v>
      </c>
      <c r="C630" t="s">
        <v>704</v>
      </c>
      <c r="D630" s="2">
        <v>1000000</v>
      </c>
      <c r="E630">
        <v>0</v>
      </c>
      <c r="F630">
        <v>0</v>
      </c>
    </row>
    <row r="631" spans="1:6" x14ac:dyDescent="0.25">
      <c r="A631" s="1">
        <v>44927</v>
      </c>
      <c r="B631" t="s">
        <v>11</v>
      </c>
      <c r="C631" t="s">
        <v>705</v>
      </c>
      <c r="D631" s="2">
        <v>1606306599</v>
      </c>
      <c r="E631">
        <v>0</v>
      </c>
      <c r="F631">
        <v>0</v>
      </c>
    </row>
    <row r="632" spans="1:6" x14ac:dyDescent="0.25">
      <c r="A632" s="1">
        <v>44927</v>
      </c>
      <c r="B632" t="s">
        <v>40</v>
      </c>
      <c r="C632" t="s">
        <v>706</v>
      </c>
      <c r="D632" s="2">
        <v>110846.09</v>
      </c>
      <c r="E632">
        <v>0</v>
      </c>
      <c r="F632">
        <v>0</v>
      </c>
    </row>
    <row r="633" spans="1:6" x14ac:dyDescent="0.25">
      <c r="A633" s="1">
        <v>44927</v>
      </c>
      <c r="B633" t="s">
        <v>707</v>
      </c>
      <c r="C633" t="s">
        <v>483</v>
      </c>
      <c r="D633">
        <v>0</v>
      </c>
      <c r="E633">
        <v>0</v>
      </c>
      <c r="F633">
        <v>0</v>
      </c>
    </row>
    <row r="634" spans="1:6" x14ac:dyDescent="0.25">
      <c r="A634" s="1">
        <v>44927</v>
      </c>
      <c r="B634" t="s">
        <v>23</v>
      </c>
      <c r="C634" t="s">
        <v>708</v>
      </c>
      <c r="D634" s="2">
        <v>2373019.25</v>
      </c>
      <c r="E634" s="2">
        <v>41815.81</v>
      </c>
      <c r="F634" s="2">
        <v>41815.81</v>
      </c>
    </row>
    <row r="635" spans="1:6" x14ac:dyDescent="0.25">
      <c r="A635" s="1">
        <v>44927</v>
      </c>
      <c r="B635" t="s">
        <v>261</v>
      </c>
      <c r="C635" t="s">
        <v>709</v>
      </c>
      <c r="D635">
        <v>0</v>
      </c>
      <c r="E635">
        <v>0</v>
      </c>
      <c r="F635">
        <v>0</v>
      </c>
    </row>
    <row r="636" spans="1:6" x14ac:dyDescent="0.25">
      <c r="A636" s="1">
        <v>44927</v>
      </c>
      <c r="B636" t="s">
        <v>23</v>
      </c>
      <c r="C636" t="s">
        <v>710</v>
      </c>
      <c r="D636">
        <v>0</v>
      </c>
      <c r="E636">
        <v>0</v>
      </c>
      <c r="F636">
        <v>0</v>
      </c>
    </row>
    <row r="637" spans="1:6" x14ac:dyDescent="0.25">
      <c r="A637" s="1">
        <v>44927</v>
      </c>
      <c r="B637" t="s">
        <v>13</v>
      </c>
      <c r="C637" t="s">
        <v>711</v>
      </c>
      <c r="D637" s="2">
        <v>6363545</v>
      </c>
      <c r="E637" s="2">
        <v>467132.47</v>
      </c>
      <c r="F637" s="2">
        <v>442341.12</v>
      </c>
    </row>
    <row r="638" spans="1:6" x14ac:dyDescent="0.25">
      <c r="A638" s="1">
        <v>44927</v>
      </c>
      <c r="B638" t="s">
        <v>46</v>
      </c>
      <c r="C638" t="s">
        <v>712</v>
      </c>
      <c r="D638" s="2">
        <v>1756000</v>
      </c>
      <c r="E638" s="2">
        <v>99926.63</v>
      </c>
      <c r="F638" s="2">
        <v>73513.850000000006</v>
      </c>
    </row>
    <row r="639" spans="1:6" x14ac:dyDescent="0.25">
      <c r="A639" s="1">
        <v>44927</v>
      </c>
      <c r="B639" t="s">
        <v>27</v>
      </c>
      <c r="C639" t="s">
        <v>713</v>
      </c>
      <c r="D639">
        <v>0</v>
      </c>
      <c r="E639">
        <v>0</v>
      </c>
      <c r="F639">
        <v>0</v>
      </c>
    </row>
    <row r="640" spans="1:6" x14ac:dyDescent="0.25">
      <c r="A640" s="1">
        <v>44927</v>
      </c>
      <c r="B640" t="s">
        <v>162</v>
      </c>
      <c r="C640" t="s">
        <v>376</v>
      </c>
      <c r="D640">
        <v>0</v>
      </c>
      <c r="E640">
        <v>0</v>
      </c>
      <c r="F640">
        <v>0</v>
      </c>
    </row>
    <row r="641" spans="1:6" x14ac:dyDescent="0.25">
      <c r="A641" s="1">
        <v>44927</v>
      </c>
      <c r="B641" t="s">
        <v>63</v>
      </c>
      <c r="C641" t="s">
        <v>714</v>
      </c>
      <c r="D641" s="2">
        <v>31678380.219999999</v>
      </c>
      <c r="E641" s="2">
        <v>836169.93</v>
      </c>
      <c r="F641" s="2">
        <v>346402.13</v>
      </c>
    </row>
    <row r="642" spans="1:6" x14ac:dyDescent="0.25">
      <c r="A642" s="1">
        <v>44927</v>
      </c>
      <c r="B642" t="s">
        <v>23</v>
      </c>
      <c r="C642" t="s">
        <v>715</v>
      </c>
      <c r="D642" s="2">
        <v>708160</v>
      </c>
      <c r="E642">
        <v>0</v>
      </c>
      <c r="F642">
        <v>0</v>
      </c>
    </row>
    <row r="643" spans="1:6" x14ac:dyDescent="0.25">
      <c r="A643" s="1">
        <v>44927</v>
      </c>
      <c r="B643" t="s">
        <v>154</v>
      </c>
      <c r="C643" t="s">
        <v>716</v>
      </c>
      <c r="D643" s="2">
        <v>1444619</v>
      </c>
      <c r="E643" s="2">
        <v>7445.26</v>
      </c>
      <c r="F643" s="2">
        <v>6229.17</v>
      </c>
    </row>
    <row r="644" spans="1:6" x14ac:dyDescent="0.25">
      <c r="A644" s="1">
        <v>44927</v>
      </c>
      <c r="B644" t="s">
        <v>29</v>
      </c>
      <c r="C644" t="s">
        <v>717</v>
      </c>
      <c r="D644" s="2">
        <v>10640207.59</v>
      </c>
      <c r="E644" s="2">
        <v>10640207.59</v>
      </c>
      <c r="F644" s="2">
        <v>10586486.27</v>
      </c>
    </row>
    <row r="645" spans="1:6" x14ac:dyDescent="0.25">
      <c r="A645" s="1">
        <v>44927</v>
      </c>
      <c r="B645" t="s">
        <v>40</v>
      </c>
      <c r="C645" t="s">
        <v>718</v>
      </c>
      <c r="D645" s="2">
        <v>38312330.07</v>
      </c>
      <c r="E645">
        <v>0</v>
      </c>
      <c r="F645">
        <v>0</v>
      </c>
    </row>
    <row r="646" spans="1:6" x14ac:dyDescent="0.25">
      <c r="A646" s="1">
        <v>44927</v>
      </c>
      <c r="B646" t="s">
        <v>42</v>
      </c>
      <c r="C646" t="s">
        <v>719</v>
      </c>
      <c r="D646" s="2">
        <v>111907048</v>
      </c>
      <c r="E646" s="2">
        <v>8978983.6899999995</v>
      </c>
      <c r="F646">
        <v>0</v>
      </c>
    </row>
    <row r="647" spans="1:6" x14ac:dyDescent="0.25">
      <c r="A647" s="1">
        <v>44927</v>
      </c>
      <c r="B647" t="s">
        <v>98</v>
      </c>
      <c r="C647" t="s">
        <v>469</v>
      </c>
      <c r="D647">
        <v>0</v>
      </c>
      <c r="E647">
        <v>0</v>
      </c>
      <c r="F647">
        <v>0</v>
      </c>
    </row>
    <row r="648" spans="1:6" x14ac:dyDescent="0.25">
      <c r="A648" s="1">
        <v>44927</v>
      </c>
      <c r="B648" t="s">
        <v>21</v>
      </c>
      <c r="C648" t="s">
        <v>720</v>
      </c>
      <c r="D648">
        <v>0</v>
      </c>
      <c r="E648">
        <v>0</v>
      </c>
      <c r="F648">
        <v>0</v>
      </c>
    </row>
    <row r="649" spans="1:6" x14ac:dyDescent="0.25">
      <c r="A649" s="1">
        <v>44927</v>
      </c>
      <c r="B649" t="s">
        <v>37</v>
      </c>
      <c r="C649" t="s">
        <v>721</v>
      </c>
      <c r="D649" s="2">
        <v>17779.080000000002</v>
      </c>
      <c r="E649">
        <v>0</v>
      </c>
      <c r="F649">
        <v>0</v>
      </c>
    </row>
    <row r="650" spans="1:6" x14ac:dyDescent="0.25">
      <c r="A650" s="1">
        <v>44927</v>
      </c>
      <c r="B650" t="s">
        <v>278</v>
      </c>
      <c r="C650" t="s">
        <v>722</v>
      </c>
      <c r="D650">
        <v>0</v>
      </c>
      <c r="E650">
        <v>0</v>
      </c>
      <c r="F650">
        <v>0</v>
      </c>
    </row>
    <row r="651" spans="1:6" x14ac:dyDescent="0.25">
      <c r="A651" s="1">
        <v>44927</v>
      </c>
      <c r="B651" t="s">
        <v>44</v>
      </c>
      <c r="C651" t="s">
        <v>723</v>
      </c>
      <c r="D651" s="2">
        <v>299000</v>
      </c>
      <c r="E651" s="2">
        <v>1366.53</v>
      </c>
      <c r="F651" s="2">
        <v>1366.53</v>
      </c>
    </row>
    <row r="652" spans="1:6" x14ac:dyDescent="0.25">
      <c r="A652" s="1">
        <v>44927</v>
      </c>
      <c r="B652" t="s">
        <v>25</v>
      </c>
      <c r="C652" t="s">
        <v>724</v>
      </c>
      <c r="D652" s="2">
        <v>6297.5</v>
      </c>
      <c r="E652" s="2">
        <v>2297.0300000000002</v>
      </c>
      <c r="F652" s="2">
        <v>1804.48</v>
      </c>
    </row>
    <row r="653" spans="1:6" x14ac:dyDescent="0.25">
      <c r="A653" s="1">
        <v>44927</v>
      </c>
      <c r="B653" t="s">
        <v>251</v>
      </c>
      <c r="C653" t="s">
        <v>725</v>
      </c>
      <c r="D653" s="2">
        <v>150871443.30000001</v>
      </c>
      <c r="E653" s="2">
        <v>38239955.43</v>
      </c>
      <c r="F653" s="2">
        <v>38239955.43</v>
      </c>
    </row>
    <row r="654" spans="1:6" x14ac:dyDescent="0.25">
      <c r="A654" s="1">
        <v>44927</v>
      </c>
      <c r="B654" t="s">
        <v>726</v>
      </c>
      <c r="C654" t="s">
        <v>727</v>
      </c>
      <c r="D654" s="2">
        <v>10655.18</v>
      </c>
      <c r="E654" s="2">
        <v>4427.59</v>
      </c>
      <c r="F654">
        <v>800</v>
      </c>
    </row>
    <row r="655" spans="1:6" x14ac:dyDescent="0.25">
      <c r="A655" s="1">
        <v>44927</v>
      </c>
      <c r="B655" t="s">
        <v>37</v>
      </c>
      <c r="C655" t="s">
        <v>728</v>
      </c>
      <c r="D655">
        <v>0</v>
      </c>
      <c r="E655">
        <v>0</v>
      </c>
      <c r="F655">
        <v>0</v>
      </c>
    </row>
    <row r="656" spans="1:6" x14ac:dyDescent="0.25">
      <c r="A656" s="1">
        <v>44927</v>
      </c>
      <c r="B656" t="s">
        <v>40</v>
      </c>
      <c r="C656" t="s">
        <v>729</v>
      </c>
      <c r="D656" s="2">
        <v>43540321.799999997</v>
      </c>
      <c r="E656" s="2">
        <v>32451851.48</v>
      </c>
      <c r="F656" s="2">
        <v>4767971.88</v>
      </c>
    </row>
    <row r="657" spans="1:6" x14ac:dyDescent="0.25">
      <c r="A657" s="1">
        <v>44927</v>
      </c>
      <c r="B657" t="s">
        <v>118</v>
      </c>
      <c r="C657" t="s">
        <v>730</v>
      </c>
      <c r="D657">
        <v>0</v>
      </c>
      <c r="E657">
        <v>0</v>
      </c>
      <c r="F657">
        <v>0</v>
      </c>
    </row>
    <row r="658" spans="1:6" x14ac:dyDescent="0.25">
      <c r="A658" s="1">
        <v>44927</v>
      </c>
      <c r="B658" t="s">
        <v>31</v>
      </c>
      <c r="C658" t="s">
        <v>731</v>
      </c>
      <c r="D658">
        <v>0</v>
      </c>
      <c r="E658">
        <v>0</v>
      </c>
      <c r="F658">
        <v>0</v>
      </c>
    </row>
    <row r="659" spans="1:6" x14ac:dyDescent="0.25">
      <c r="A659" s="1">
        <v>44927</v>
      </c>
      <c r="B659" t="s">
        <v>15</v>
      </c>
      <c r="C659" t="s">
        <v>732</v>
      </c>
      <c r="D659">
        <v>0</v>
      </c>
      <c r="E659">
        <v>0</v>
      </c>
      <c r="F659">
        <v>0</v>
      </c>
    </row>
    <row r="660" spans="1:6" x14ac:dyDescent="0.25">
      <c r="A660" s="1">
        <v>44927</v>
      </c>
      <c r="B660" t="s">
        <v>19</v>
      </c>
      <c r="C660" t="s">
        <v>733</v>
      </c>
      <c r="D660" s="2">
        <v>208919.58</v>
      </c>
      <c r="E660" s="2">
        <v>1195.58</v>
      </c>
      <c r="F660" s="2">
        <v>1035.4100000000001</v>
      </c>
    </row>
    <row r="661" spans="1:6" x14ac:dyDescent="0.25">
      <c r="A661" s="1">
        <v>44927</v>
      </c>
      <c r="B661" t="s">
        <v>37</v>
      </c>
      <c r="C661" t="s">
        <v>734</v>
      </c>
      <c r="D661">
        <v>0</v>
      </c>
      <c r="E661">
        <v>0</v>
      </c>
      <c r="F661">
        <v>0</v>
      </c>
    </row>
    <row r="662" spans="1:6" x14ac:dyDescent="0.25">
      <c r="A662" s="1">
        <v>44927</v>
      </c>
      <c r="B662" t="s">
        <v>50</v>
      </c>
      <c r="C662" t="s">
        <v>735</v>
      </c>
      <c r="D662" s="2">
        <v>249806</v>
      </c>
      <c r="E662">
        <v>0</v>
      </c>
      <c r="F662">
        <v>0</v>
      </c>
    </row>
    <row r="663" spans="1:6" x14ac:dyDescent="0.25">
      <c r="A663" s="1">
        <v>44927</v>
      </c>
      <c r="B663" t="s">
        <v>42</v>
      </c>
      <c r="C663" t="s">
        <v>736</v>
      </c>
      <c r="D663" s="2">
        <v>417398611</v>
      </c>
      <c r="E663" s="2">
        <v>28458435.98</v>
      </c>
      <c r="F663">
        <v>0</v>
      </c>
    </row>
    <row r="664" spans="1:6" x14ac:dyDescent="0.25">
      <c r="A664" s="1">
        <v>44927</v>
      </c>
      <c r="B664" t="s">
        <v>13</v>
      </c>
      <c r="C664" t="s">
        <v>737</v>
      </c>
      <c r="D664" s="2">
        <v>4178412.05</v>
      </c>
      <c r="E664" s="2">
        <v>1651576</v>
      </c>
      <c r="F664" s="2">
        <v>1444510.5</v>
      </c>
    </row>
    <row r="665" spans="1:6" x14ac:dyDescent="0.25">
      <c r="A665" s="1">
        <v>44927</v>
      </c>
      <c r="B665" t="s">
        <v>545</v>
      </c>
      <c r="C665" t="s">
        <v>738</v>
      </c>
      <c r="D665">
        <v>0</v>
      </c>
      <c r="E665">
        <v>0</v>
      </c>
      <c r="F665">
        <v>0</v>
      </c>
    </row>
    <row r="666" spans="1:6" x14ac:dyDescent="0.25">
      <c r="A666" s="1">
        <v>44927</v>
      </c>
      <c r="B666" t="s">
        <v>53</v>
      </c>
      <c r="C666" t="s">
        <v>739</v>
      </c>
      <c r="D666" s="2">
        <v>6620228494</v>
      </c>
      <c r="E666">
        <v>0</v>
      </c>
      <c r="F666">
        <v>0</v>
      </c>
    </row>
    <row r="667" spans="1:6" x14ac:dyDescent="0.25">
      <c r="A667" s="1">
        <v>44927</v>
      </c>
      <c r="B667" t="s">
        <v>185</v>
      </c>
      <c r="C667" t="s">
        <v>304</v>
      </c>
      <c r="D667" s="2">
        <v>426957140.07999998</v>
      </c>
      <c r="E667" s="2">
        <v>104151340.58</v>
      </c>
      <c r="F667" s="2">
        <v>104151340.58</v>
      </c>
    </row>
    <row r="668" spans="1:6" x14ac:dyDescent="0.25">
      <c r="A668" s="1">
        <v>44927</v>
      </c>
      <c r="B668" t="s">
        <v>740</v>
      </c>
      <c r="C668" t="s">
        <v>741</v>
      </c>
      <c r="D668">
        <v>0</v>
      </c>
      <c r="E668">
        <v>0</v>
      </c>
      <c r="F668">
        <v>0</v>
      </c>
    </row>
    <row r="669" spans="1:6" x14ac:dyDescent="0.25">
      <c r="A669" s="1">
        <v>44927</v>
      </c>
      <c r="B669" t="s">
        <v>118</v>
      </c>
      <c r="C669" t="s">
        <v>742</v>
      </c>
      <c r="D669" s="2">
        <v>1909903.75</v>
      </c>
      <c r="E669">
        <v>0</v>
      </c>
      <c r="F669">
        <v>0</v>
      </c>
    </row>
    <row r="670" spans="1:6" x14ac:dyDescent="0.25">
      <c r="A670" s="1">
        <v>44927</v>
      </c>
      <c r="B670" t="s">
        <v>37</v>
      </c>
      <c r="C670" t="s">
        <v>743</v>
      </c>
      <c r="D670" s="2">
        <v>16732.650000000001</v>
      </c>
      <c r="E670">
        <v>262.86</v>
      </c>
      <c r="F670">
        <v>0</v>
      </c>
    </row>
    <row r="671" spans="1:6" x14ac:dyDescent="0.25">
      <c r="A671" s="1">
        <v>44927</v>
      </c>
      <c r="B671" t="s">
        <v>11</v>
      </c>
      <c r="C671" t="s">
        <v>744</v>
      </c>
      <c r="D671" s="2">
        <v>54345535.049999997</v>
      </c>
      <c r="E671" s="2">
        <v>54300290.619999997</v>
      </c>
      <c r="F671">
        <v>0</v>
      </c>
    </row>
    <row r="672" spans="1:6" x14ac:dyDescent="0.25">
      <c r="A672" s="1">
        <v>44927</v>
      </c>
      <c r="B672" t="s">
        <v>263</v>
      </c>
      <c r="C672" t="s">
        <v>745</v>
      </c>
      <c r="D672" s="2">
        <v>2183039.23</v>
      </c>
      <c r="E672" s="2">
        <v>1439378.63</v>
      </c>
      <c r="F672" s="2">
        <v>365460.04</v>
      </c>
    </row>
    <row r="673" spans="1:6" x14ac:dyDescent="0.25">
      <c r="A673" s="1">
        <v>44927</v>
      </c>
      <c r="B673" t="s">
        <v>460</v>
      </c>
      <c r="C673" t="s">
        <v>746</v>
      </c>
      <c r="D673" s="2">
        <v>133197.91</v>
      </c>
      <c r="E673" s="2">
        <v>32780.089999999997</v>
      </c>
      <c r="F673" s="2">
        <v>16694.400000000001</v>
      </c>
    </row>
    <row r="674" spans="1:6" x14ac:dyDescent="0.25">
      <c r="A674" s="1">
        <v>44927</v>
      </c>
      <c r="B674" t="s">
        <v>40</v>
      </c>
      <c r="C674" t="s">
        <v>747</v>
      </c>
      <c r="D674">
        <v>0</v>
      </c>
      <c r="E674">
        <v>0</v>
      </c>
      <c r="F674">
        <v>0</v>
      </c>
    </row>
    <row r="675" spans="1:6" x14ac:dyDescent="0.25">
      <c r="A675" s="1">
        <v>44927</v>
      </c>
      <c r="B675" t="s">
        <v>27</v>
      </c>
      <c r="C675" t="s">
        <v>748</v>
      </c>
      <c r="D675">
        <v>0</v>
      </c>
      <c r="E675">
        <v>0</v>
      </c>
      <c r="F675">
        <v>0</v>
      </c>
    </row>
    <row r="676" spans="1:6" x14ac:dyDescent="0.25">
      <c r="A676" s="1">
        <v>44927</v>
      </c>
      <c r="B676" t="s">
        <v>11</v>
      </c>
      <c r="C676" t="s">
        <v>749</v>
      </c>
      <c r="D676" s="2">
        <v>15339654</v>
      </c>
      <c r="E676" s="2">
        <v>15312990.66</v>
      </c>
      <c r="F676" s="2">
        <v>144138.56</v>
      </c>
    </row>
    <row r="677" spans="1:6" x14ac:dyDescent="0.25">
      <c r="A677" s="1">
        <v>44927</v>
      </c>
      <c r="B677" t="s">
        <v>251</v>
      </c>
      <c r="C677" t="s">
        <v>750</v>
      </c>
      <c r="D677" s="2">
        <v>31255772.739999998</v>
      </c>
      <c r="E677" s="2">
        <v>6488832.9000000004</v>
      </c>
      <c r="F677" s="2">
        <v>5544953.6200000001</v>
      </c>
    </row>
    <row r="678" spans="1:6" x14ac:dyDescent="0.25">
      <c r="A678" s="1">
        <v>44927</v>
      </c>
      <c r="B678" t="s">
        <v>118</v>
      </c>
      <c r="C678" t="s">
        <v>751</v>
      </c>
      <c r="D678">
        <v>0</v>
      </c>
      <c r="E678">
        <v>0</v>
      </c>
      <c r="F678">
        <v>0</v>
      </c>
    </row>
    <row r="679" spans="1:6" x14ac:dyDescent="0.25">
      <c r="A679" s="1">
        <v>44927</v>
      </c>
      <c r="B679" t="s">
        <v>752</v>
      </c>
      <c r="C679" t="s">
        <v>753</v>
      </c>
      <c r="D679">
        <v>0</v>
      </c>
      <c r="E679">
        <v>0</v>
      </c>
      <c r="F679">
        <v>0</v>
      </c>
    </row>
    <row r="680" spans="1:6" x14ac:dyDescent="0.25">
      <c r="A680" s="1">
        <v>44927</v>
      </c>
      <c r="B680" t="s">
        <v>383</v>
      </c>
      <c r="C680" t="s">
        <v>754</v>
      </c>
      <c r="D680">
        <v>0</v>
      </c>
      <c r="E680">
        <v>0</v>
      </c>
      <c r="F680">
        <v>0</v>
      </c>
    </row>
    <row r="681" spans="1:6" x14ac:dyDescent="0.25">
      <c r="A681" s="1">
        <v>44927</v>
      </c>
      <c r="B681" t="s">
        <v>105</v>
      </c>
      <c r="C681" t="s">
        <v>755</v>
      </c>
      <c r="D681">
        <v>0</v>
      </c>
      <c r="E681">
        <v>0</v>
      </c>
      <c r="F681">
        <v>0</v>
      </c>
    </row>
    <row r="682" spans="1:6" x14ac:dyDescent="0.25">
      <c r="A682" s="1">
        <v>44927</v>
      </c>
      <c r="B682" t="s">
        <v>216</v>
      </c>
      <c r="C682" t="s">
        <v>756</v>
      </c>
      <c r="D682">
        <v>0</v>
      </c>
      <c r="E682">
        <v>0</v>
      </c>
      <c r="F682">
        <v>0</v>
      </c>
    </row>
    <row r="683" spans="1:6" x14ac:dyDescent="0.25">
      <c r="A683" s="1">
        <v>44927</v>
      </c>
      <c r="B683" t="s">
        <v>21</v>
      </c>
      <c r="C683" t="s">
        <v>757</v>
      </c>
      <c r="D683">
        <v>0</v>
      </c>
      <c r="E683">
        <v>0</v>
      </c>
      <c r="F683">
        <v>0</v>
      </c>
    </row>
    <row r="684" spans="1:6" x14ac:dyDescent="0.25">
      <c r="A684" s="1">
        <v>44927</v>
      </c>
      <c r="B684" t="s">
        <v>114</v>
      </c>
      <c r="C684" t="s">
        <v>758</v>
      </c>
      <c r="D684">
        <v>0</v>
      </c>
      <c r="E684">
        <v>0</v>
      </c>
      <c r="F684">
        <v>0</v>
      </c>
    </row>
    <row r="685" spans="1:6" x14ac:dyDescent="0.25">
      <c r="A685" s="1">
        <v>44927</v>
      </c>
      <c r="B685" t="s">
        <v>23</v>
      </c>
      <c r="C685" t="s">
        <v>759</v>
      </c>
      <c r="D685" s="2">
        <v>225368.59</v>
      </c>
      <c r="E685">
        <v>0</v>
      </c>
      <c r="F685">
        <v>0</v>
      </c>
    </row>
    <row r="686" spans="1:6" x14ac:dyDescent="0.25">
      <c r="A686" s="1">
        <v>44927</v>
      </c>
      <c r="B686" t="s">
        <v>23</v>
      </c>
      <c r="C686" t="s">
        <v>760</v>
      </c>
      <c r="D686" s="2">
        <v>19688000</v>
      </c>
      <c r="E686">
        <v>0</v>
      </c>
      <c r="F686">
        <v>0</v>
      </c>
    </row>
    <row r="687" spans="1:6" x14ac:dyDescent="0.25">
      <c r="A687" s="1">
        <v>44927</v>
      </c>
      <c r="B687" t="s">
        <v>23</v>
      </c>
      <c r="C687" t="s">
        <v>761</v>
      </c>
      <c r="D687" s="2">
        <v>7067941.4900000002</v>
      </c>
      <c r="E687" s="2">
        <v>358169.4</v>
      </c>
      <c r="F687" s="2">
        <v>322400</v>
      </c>
    </row>
    <row r="688" spans="1:6" x14ac:dyDescent="0.25">
      <c r="A688" s="1">
        <v>44927</v>
      </c>
      <c r="B688" t="s">
        <v>40</v>
      </c>
      <c r="C688" t="s">
        <v>762</v>
      </c>
      <c r="D688">
        <v>0</v>
      </c>
      <c r="E688">
        <v>0</v>
      </c>
      <c r="F688">
        <v>0</v>
      </c>
    </row>
    <row r="689" spans="1:6" x14ac:dyDescent="0.25">
      <c r="A689" s="1">
        <v>44927</v>
      </c>
      <c r="B689" t="s">
        <v>726</v>
      </c>
      <c r="C689" t="s">
        <v>763</v>
      </c>
      <c r="D689" s="2">
        <v>77897.710000000006</v>
      </c>
      <c r="E689" s="2">
        <v>27798.880000000001</v>
      </c>
      <c r="F689" s="2">
        <v>26944.68</v>
      </c>
    </row>
    <row r="690" spans="1:6" x14ac:dyDescent="0.25">
      <c r="A690" s="1">
        <v>44927</v>
      </c>
      <c r="B690" t="s">
        <v>114</v>
      </c>
      <c r="C690" t="s">
        <v>764</v>
      </c>
      <c r="D690" s="2">
        <v>7835000.8700000001</v>
      </c>
      <c r="E690">
        <v>0</v>
      </c>
      <c r="F690">
        <v>0</v>
      </c>
    </row>
    <row r="691" spans="1:6" x14ac:dyDescent="0.25">
      <c r="A691" s="1">
        <v>44927</v>
      </c>
      <c r="B691" t="s">
        <v>648</v>
      </c>
      <c r="C691" t="s">
        <v>765</v>
      </c>
      <c r="D691" s="2">
        <v>331544.38</v>
      </c>
      <c r="E691" s="2">
        <v>83577.8</v>
      </c>
      <c r="F691" s="2">
        <v>47302.47</v>
      </c>
    </row>
    <row r="692" spans="1:6" x14ac:dyDescent="0.25">
      <c r="A692" s="1">
        <v>44927</v>
      </c>
      <c r="B692" t="s">
        <v>40</v>
      </c>
      <c r="C692" t="s">
        <v>766</v>
      </c>
      <c r="D692" s="2">
        <v>1804325.92</v>
      </c>
      <c r="E692" s="2">
        <v>7154.83</v>
      </c>
      <c r="F692" s="2">
        <v>7154.83</v>
      </c>
    </row>
    <row r="693" spans="1:6" x14ac:dyDescent="0.25">
      <c r="A693" s="1">
        <v>44927</v>
      </c>
      <c r="B693" t="s">
        <v>50</v>
      </c>
      <c r="C693" t="s">
        <v>767</v>
      </c>
      <c r="D693" s="2">
        <v>25000</v>
      </c>
      <c r="E693">
        <v>0</v>
      </c>
      <c r="F693">
        <v>0</v>
      </c>
    </row>
    <row r="694" spans="1:6" x14ac:dyDescent="0.25">
      <c r="A694" s="1">
        <v>44927</v>
      </c>
      <c r="B694" t="s">
        <v>31</v>
      </c>
      <c r="C694" t="s">
        <v>768</v>
      </c>
      <c r="D694">
        <v>0</v>
      </c>
      <c r="E694">
        <v>0</v>
      </c>
      <c r="F694">
        <v>0</v>
      </c>
    </row>
    <row r="695" spans="1:6" x14ac:dyDescent="0.25">
      <c r="A695" s="1">
        <v>44927</v>
      </c>
      <c r="B695" t="s">
        <v>159</v>
      </c>
      <c r="C695" t="s">
        <v>34</v>
      </c>
      <c r="D695">
        <v>0</v>
      </c>
      <c r="E695">
        <v>0</v>
      </c>
      <c r="F695">
        <v>0</v>
      </c>
    </row>
    <row r="696" spans="1:6" x14ac:dyDescent="0.25">
      <c r="A696" s="1">
        <v>44927</v>
      </c>
      <c r="B696" t="s">
        <v>769</v>
      </c>
      <c r="C696" t="s">
        <v>770</v>
      </c>
      <c r="D696" s="2">
        <v>34006516.979999997</v>
      </c>
      <c r="E696" s="2">
        <v>3639605.13</v>
      </c>
      <c r="F696" s="2">
        <v>1768148.81</v>
      </c>
    </row>
    <row r="697" spans="1:6" x14ac:dyDescent="0.25">
      <c r="A697" s="1">
        <v>44927</v>
      </c>
      <c r="B697" t="s">
        <v>234</v>
      </c>
      <c r="C697" t="s">
        <v>771</v>
      </c>
      <c r="D697">
        <v>0</v>
      </c>
      <c r="E697">
        <v>0</v>
      </c>
      <c r="F697">
        <v>0</v>
      </c>
    </row>
    <row r="698" spans="1:6" x14ac:dyDescent="0.25">
      <c r="A698" s="1">
        <v>44927</v>
      </c>
      <c r="B698" t="s">
        <v>40</v>
      </c>
      <c r="C698" t="s">
        <v>772</v>
      </c>
      <c r="D698" s="2">
        <v>712931</v>
      </c>
      <c r="E698" s="2">
        <v>249050.6</v>
      </c>
      <c r="F698" s="2">
        <v>249050.6</v>
      </c>
    </row>
    <row r="699" spans="1:6" x14ac:dyDescent="0.25">
      <c r="A699" s="1">
        <v>44927</v>
      </c>
      <c r="B699" t="s">
        <v>773</v>
      </c>
      <c r="C699" t="s">
        <v>774</v>
      </c>
      <c r="D699">
        <v>0</v>
      </c>
      <c r="E699">
        <v>0</v>
      </c>
      <c r="F699">
        <v>0</v>
      </c>
    </row>
    <row r="700" spans="1:6" x14ac:dyDescent="0.25">
      <c r="A700" s="1">
        <v>44927</v>
      </c>
      <c r="B700" t="s">
        <v>21</v>
      </c>
      <c r="C700" t="s">
        <v>775</v>
      </c>
      <c r="D700">
        <v>0</v>
      </c>
      <c r="E700">
        <v>0</v>
      </c>
      <c r="F700">
        <v>0</v>
      </c>
    </row>
    <row r="701" spans="1:6" x14ac:dyDescent="0.25">
      <c r="A701" s="1">
        <v>44927</v>
      </c>
      <c r="B701" t="s">
        <v>23</v>
      </c>
      <c r="C701" t="s">
        <v>776</v>
      </c>
      <c r="D701" s="2">
        <v>20882.3</v>
      </c>
      <c r="E701">
        <v>0</v>
      </c>
      <c r="F701">
        <v>0</v>
      </c>
    </row>
    <row r="702" spans="1:6" x14ac:dyDescent="0.25">
      <c r="A702" s="1">
        <v>44927</v>
      </c>
      <c r="B702" t="s">
        <v>118</v>
      </c>
      <c r="C702" t="s">
        <v>754</v>
      </c>
      <c r="D702">
        <v>0</v>
      </c>
      <c r="E702">
        <v>0</v>
      </c>
      <c r="F702">
        <v>0</v>
      </c>
    </row>
    <row r="703" spans="1:6" x14ac:dyDescent="0.25">
      <c r="A703" s="1">
        <v>44927</v>
      </c>
      <c r="B703" t="s">
        <v>40</v>
      </c>
      <c r="C703" t="s">
        <v>777</v>
      </c>
      <c r="D703" s="2">
        <v>344401050</v>
      </c>
      <c r="E703" s="2">
        <v>31572613.239999998</v>
      </c>
      <c r="F703" s="2">
        <v>10874583.77</v>
      </c>
    </row>
    <row r="704" spans="1:6" x14ac:dyDescent="0.25">
      <c r="A704" s="1">
        <v>44927</v>
      </c>
      <c r="B704" t="s">
        <v>11</v>
      </c>
      <c r="C704" t="s">
        <v>778</v>
      </c>
      <c r="D704" s="2">
        <v>85283152</v>
      </c>
      <c r="E704" s="2">
        <v>84734502.510000005</v>
      </c>
      <c r="F704">
        <v>0</v>
      </c>
    </row>
    <row r="705" spans="1:6" x14ac:dyDescent="0.25">
      <c r="A705" s="1">
        <v>44927</v>
      </c>
      <c r="B705" t="s">
        <v>23</v>
      </c>
      <c r="C705" t="s">
        <v>779</v>
      </c>
      <c r="D705">
        <v>0</v>
      </c>
      <c r="E705">
        <v>0</v>
      </c>
      <c r="F705">
        <v>0</v>
      </c>
    </row>
    <row r="706" spans="1:6" x14ac:dyDescent="0.25">
      <c r="A706" s="1">
        <v>44927</v>
      </c>
      <c r="B706" t="s">
        <v>81</v>
      </c>
      <c r="C706" t="s">
        <v>167</v>
      </c>
      <c r="D706">
        <v>0</v>
      </c>
      <c r="E706">
        <v>0</v>
      </c>
      <c r="F706">
        <v>0</v>
      </c>
    </row>
    <row r="707" spans="1:6" x14ac:dyDescent="0.25">
      <c r="A707" s="1">
        <v>44927</v>
      </c>
      <c r="B707" t="s">
        <v>101</v>
      </c>
      <c r="C707" t="s">
        <v>780</v>
      </c>
      <c r="D707" s="2">
        <v>6657284.3099999996</v>
      </c>
      <c r="E707" s="2">
        <v>190266.87</v>
      </c>
      <c r="F707" s="2">
        <v>117904.39</v>
      </c>
    </row>
    <row r="708" spans="1:6" x14ac:dyDescent="0.25">
      <c r="A708" s="1">
        <v>44927</v>
      </c>
      <c r="B708" t="s">
        <v>216</v>
      </c>
      <c r="C708" t="s">
        <v>781</v>
      </c>
      <c r="D708">
        <v>0</v>
      </c>
      <c r="E708">
        <v>0</v>
      </c>
      <c r="F708">
        <v>0</v>
      </c>
    </row>
    <row r="709" spans="1:6" x14ac:dyDescent="0.25">
      <c r="A709" s="1">
        <v>44927</v>
      </c>
      <c r="B709" t="s">
        <v>17</v>
      </c>
      <c r="C709" t="s">
        <v>782</v>
      </c>
      <c r="D709">
        <v>0</v>
      </c>
      <c r="E709">
        <v>0</v>
      </c>
      <c r="F709">
        <v>0</v>
      </c>
    </row>
    <row r="710" spans="1:6" x14ac:dyDescent="0.25">
      <c r="A710" s="1">
        <v>44927</v>
      </c>
      <c r="B710" t="s">
        <v>27</v>
      </c>
      <c r="C710" t="s">
        <v>783</v>
      </c>
      <c r="D710">
        <v>0</v>
      </c>
      <c r="E710">
        <v>0</v>
      </c>
      <c r="F710">
        <v>0</v>
      </c>
    </row>
    <row r="711" spans="1:6" x14ac:dyDescent="0.25">
      <c r="A711" s="1">
        <v>44927</v>
      </c>
      <c r="B711" t="s">
        <v>81</v>
      </c>
      <c r="C711" t="s">
        <v>500</v>
      </c>
      <c r="D711">
        <v>0</v>
      </c>
      <c r="E711">
        <v>0</v>
      </c>
      <c r="F711">
        <v>0</v>
      </c>
    </row>
    <row r="712" spans="1:6" x14ac:dyDescent="0.25">
      <c r="A712" s="1">
        <v>44927</v>
      </c>
      <c r="B712" t="s">
        <v>37</v>
      </c>
      <c r="C712" t="s">
        <v>784</v>
      </c>
      <c r="D712" s="2">
        <v>1185424.23</v>
      </c>
      <c r="E712" s="2">
        <v>777686.57</v>
      </c>
      <c r="F712" s="2">
        <v>363504.81</v>
      </c>
    </row>
    <row r="713" spans="1:6" x14ac:dyDescent="0.25">
      <c r="A713" s="1">
        <v>44927</v>
      </c>
      <c r="B713" t="s">
        <v>545</v>
      </c>
      <c r="C713" t="s">
        <v>362</v>
      </c>
      <c r="D713" s="2">
        <v>2969162.91</v>
      </c>
      <c r="E713" s="2">
        <v>1868488.81</v>
      </c>
      <c r="F713" s="2">
        <v>573233.68000000005</v>
      </c>
    </row>
    <row r="714" spans="1:6" x14ac:dyDescent="0.25">
      <c r="A714" s="1">
        <v>44927</v>
      </c>
      <c r="B714" t="s">
        <v>154</v>
      </c>
      <c r="C714" t="s">
        <v>785</v>
      </c>
      <c r="D714" s="2">
        <v>4284067.9400000004</v>
      </c>
      <c r="E714" s="2">
        <v>15895.16</v>
      </c>
      <c r="F714" s="2">
        <v>15895.16</v>
      </c>
    </row>
    <row r="715" spans="1:6" x14ac:dyDescent="0.25">
      <c r="A715" s="1">
        <v>44927</v>
      </c>
      <c r="B715" t="s">
        <v>101</v>
      </c>
      <c r="C715" t="s">
        <v>786</v>
      </c>
      <c r="D715">
        <v>0</v>
      </c>
      <c r="E715">
        <v>0</v>
      </c>
      <c r="F715">
        <v>0</v>
      </c>
    </row>
    <row r="716" spans="1:6" x14ac:dyDescent="0.25">
      <c r="A716" s="1">
        <v>44927</v>
      </c>
      <c r="B716" t="s">
        <v>50</v>
      </c>
      <c r="C716" t="s">
        <v>787</v>
      </c>
      <c r="D716">
        <v>0</v>
      </c>
      <c r="E716">
        <v>0</v>
      </c>
      <c r="F716">
        <v>0</v>
      </c>
    </row>
    <row r="717" spans="1:6" x14ac:dyDescent="0.25">
      <c r="A717" s="1">
        <v>44927</v>
      </c>
      <c r="B717" t="s">
        <v>27</v>
      </c>
      <c r="C717" t="s">
        <v>788</v>
      </c>
      <c r="D717" s="2">
        <v>120000</v>
      </c>
      <c r="E717" s="2">
        <v>5508.1</v>
      </c>
      <c r="F717">
        <v>0</v>
      </c>
    </row>
    <row r="718" spans="1:6" x14ac:dyDescent="0.25">
      <c r="A718" s="1">
        <v>44927</v>
      </c>
      <c r="B718" t="s">
        <v>107</v>
      </c>
      <c r="C718" t="s">
        <v>615</v>
      </c>
      <c r="D718" s="2">
        <v>31840901.489999998</v>
      </c>
      <c r="E718" s="2">
        <v>6631170.1799999997</v>
      </c>
      <c r="F718" s="2">
        <v>1997243.35</v>
      </c>
    </row>
    <row r="719" spans="1:6" x14ac:dyDescent="0.25">
      <c r="A719" s="1">
        <v>44927</v>
      </c>
      <c r="B719" t="s">
        <v>726</v>
      </c>
      <c r="C719" t="s">
        <v>789</v>
      </c>
      <c r="D719" s="2">
        <v>54791.83</v>
      </c>
      <c r="E719" s="2">
        <v>14334.99</v>
      </c>
      <c r="F719" s="2">
        <v>10478.209999999999</v>
      </c>
    </row>
    <row r="720" spans="1:6" x14ac:dyDescent="0.25">
      <c r="A720" s="1">
        <v>44927</v>
      </c>
      <c r="B720" t="s">
        <v>21</v>
      </c>
      <c r="C720" t="s">
        <v>790</v>
      </c>
      <c r="D720" s="2">
        <v>4509937.42</v>
      </c>
      <c r="E720" s="2">
        <v>230527.34</v>
      </c>
      <c r="F720" s="2">
        <v>230117.09</v>
      </c>
    </row>
    <row r="721" spans="1:6" x14ac:dyDescent="0.25">
      <c r="A721" s="1">
        <v>44927</v>
      </c>
      <c r="B721" t="s">
        <v>13</v>
      </c>
      <c r="C721" t="s">
        <v>791</v>
      </c>
      <c r="D721" s="2">
        <v>368733411200</v>
      </c>
      <c r="E721" s="2">
        <v>63530267146.470001</v>
      </c>
      <c r="F721" s="2">
        <v>13721138850.35</v>
      </c>
    </row>
    <row r="722" spans="1:6" x14ac:dyDescent="0.25">
      <c r="A722" s="1">
        <v>44927</v>
      </c>
      <c r="B722" t="s">
        <v>143</v>
      </c>
      <c r="C722" t="s">
        <v>792</v>
      </c>
      <c r="D722" s="2">
        <v>278678863</v>
      </c>
      <c r="E722" s="2">
        <v>88000000</v>
      </c>
      <c r="F722" s="2">
        <v>88000000</v>
      </c>
    </row>
    <row r="723" spans="1:6" x14ac:dyDescent="0.25">
      <c r="A723" s="1">
        <v>44927</v>
      </c>
      <c r="B723" t="s">
        <v>50</v>
      </c>
      <c r="C723" t="s">
        <v>793</v>
      </c>
      <c r="D723" s="2">
        <v>2508337.65</v>
      </c>
      <c r="E723" s="2">
        <v>1246566.1499999999</v>
      </c>
      <c r="F723" s="2">
        <v>1215620.1299999999</v>
      </c>
    </row>
    <row r="724" spans="1:6" x14ac:dyDescent="0.25">
      <c r="A724" s="1">
        <v>44927</v>
      </c>
      <c r="B724" t="s">
        <v>23</v>
      </c>
      <c r="C724" t="s">
        <v>198</v>
      </c>
      <c r="D724" s="2">
        <v>67581.75</v>
      </c>
      <c r="E724">
        <v>0</v>
      </c>
      <c r="F724">
        <v>0</v>
      </c>
    </row>
    <row r="725" spans="1:6" x14ac:dyDescent="0.25">
      <c r="A725" s="1">
        <v>44927</v>
      </c>
      <c r="B725" t="s">
        <v>11</v>
      </c>
      <c r="C725" t="s">
        <v>794</v>
      </c>
      <c r="D725" s="2">
        <v>41798051.450000003</v>
      </c>
      <c r="E725" s="2">
        <v>41759283.979999997</v>
      </c>
      <c r="F725" s="2">
        <v>-19551.07</v>
      </c>
    </row>
    <row r="726" spans="1:6" x14ac:dyDescent="0.25">
      <c r="A726" s="1">
        <v>44927</v>
      </c>
      <c r="B726" t="s">
        <v>21</v>
      </c>
      <c r="C726" t="s">
        <v>795</v>
      </c>
      <c r="D726">
        <v>0</v>
      </c>
      <c r="E726">
        <v>0</v>
      </c>
      <c r="F726">
        <v>0</v>
      </c>
    </row>
    <row r="727" spans="1:6" x14ac:dyDescent="0.25">
      <c r="A727" s="1">
        <v>44927</v>
      </c>
      <c r="B727" t="s">
        <v>15</v>
      </c>
      <c r="C727" t="s">
        <v>796</v>
      </c>
      <c r="D727" s="2">
        <v>42615.12</v>
      </c>
      <c r="E727" s="2">
        <v>42615.12</v>
      </c>
      <c r="F727" s="2">
        <v>42615.12</v>
      </c>
    </row>
    <row r="728" spans="1:6" x14ac:dyDescent="0.25">
      <c r="A728" s="1">
        <v>44927</v>
      </c>
      <c r="B728" t="s">
        <v>21</v>
      </c>
      <c r="C728" t="s">
        <v>797</v>
      </c>
      <c r="D728">
        <v>0</v>
      </c>
      <c r="E728">
        <v>0</v>
      </c>
      <c r="F728">
        <v>0</v>
      </c>
    </row>
    <row r="729" spans="1:6" x14ac:dyDescent="0.25">
      <c r="A729" s="1">
        <v>44927</v>
      </c>
      <c r="B729" t="s">
        <v>29</v>
      </c>
      <c r="C729" t="s">
        <v>798</v>
      </c>
      <c r="D729">
        <v>0</v>
      </c>
      <c r="E729">
        <v>0</v>
      </c>
      <c r="F729">
        <v>0</v>
      </c>
    </row>
    <row r="730" spans="1:6" x14ac:dyDescent="0.25">
      <c r="A730" s="1">
        <v>44927</v>
      </c>
      <c r="B730" t="s">
        <v>17</v>
      </c>
      <c r="C730" t="s">
        <v>799</v>
      </c>
      <c r="D730" s="2">
        <v>72760.039999999994</v>
      </c>
      <c r="E730" s="2">
        <v>8808.0400000000009</v>
      </c>
      <c r="F730" s="2">
        <v>3118</v>
      </c>
    </row>
    <row r="731" spans="1:6" x14ac:dyDescent="0.25">
      <c r="A731" s="1">
        <v>44927</v>
      </c>
      <c r="B731" t="s">
        <v>23</v>
      </c>
      <c r="C731" t="s">
        <v>800</v>
      </c>
      <c r="D731" s="2">
        <v>68000</v>
      </c>
      <c r="E731" s="2">
        <v>35649.67</v>
      </c>
      <c r="F731" s="2">
        <v>35649.67</v>
      </c>
    </row>
    <row r="732" spans="1:6" x14ac:dyDescent="0.25">
      <c r="A732" s="1">
        <v>44927</v>
      </c>
      <c r="B732" t="s">
        <v>40</v>
      </c>
      <c r="C732" t="s">
        <v>801</v>
      </c>
      <c r="D732" s="2">
        <v>2390529.41</v>
      </c>
      <c r="E732" s="2">
        <v>818519.27</v>
      </c>
      <c r="F732" s="2">
        <v>776446.45</v>
      </c>
    </row>
    <row r="733" spans="1:6" x14ac:dyDescent="0.25">
      <c r="A733" s="1">
        <v>44927</v>
      </c>
      <c r="B733" t="s">
        <v>40</v>
      </c>
      <c r="C733" t="s">
        <v>802</v>
      </c>
      <c r="D733" s="2">
        <v>109094948.09</v>
      </c>
      <c r="E733" s="2">
        <v>108403201.45</v>
      </c>
      <c r="F733" s="2">
        <v>28848014.27</v>
      </c>
    </row>
    <row r="734" spans="1:6" x14ac:dyDescent="0.25">
      <c r="A734" s="1">
        <v>44927</v>
      </c>
      <c r="B734" t="s">
        <v>40</v>
      </c>
      <c r="C734" t="s">
        <v>803</v>
      </c>
      <c r="D734" s="2">
        <v>445776.34</v>
      </c>
      <c r="E734">
        <v>63.84</v>
      </c>
      <c r="F734">
        <v>0</v>
      </c>
    </row>
    <row r="735" spans="1:6" x14ac:dyDescent="0.25">
      <c r="A735" s="1">
        <v>44927</v>
      </c>
      <c r="B735" t="s">
        <v>29</v>
      </c>
      <c r="C735" t="s">
        <v>804</v>
      </c>
      <c r="D735" s="2">
        <v>548314.91</v>
      </c>
      <c r="E735" s="2">
        <v>22324.76</v>
      </c>
      <c r="F735" s="2">
        <v>9028.1</v>
      </c>
    </row>
    <row r="736" spans="1:6" x14ac:dyDescent="0.25">
      <c r="A736" s="1">
        <v>44927</v>
      </c>
      <c r="B736" t="s">
        <v>40</v>
      </c>
      <c r="C736" t="s">
        <v>805</v>
      </c>
      <c r="D736" s="2">
        <v>98775</v>
      </c>
      <c r="E736">
        <v>0</v>
      </c>
      <c r="F736">
        <v>0</v>
      </c>
    </row>
    <row r="737" spans="1:6" x14ac:dyDescent="0.25">
      <c r="A737" s="1">
        <v>44927</v>
      </c>
      <c r="B737" t="s">
        <v>196</v>
      </c>
      <c r="C737" t="s">
        <v>806</v>
      </c>
      <c r="D737">
        <v>0</v>
      </c>
      <c r="E737">
        <v>0</v>
      </c>
      <c r="F737">
        <v>0</v>
      </c>
    </row>
    <row r="738" spans="1:6" x14ac:dyDescent="0.25">
      <c r="A738" s="1">
        <v>44927</v>
      </c>
      <c r="B738" t="s">
        <v>23</v>
      </c>
      <c r="C738" t="s">
        <v>807</v>
      </c>
      <c r="D738" s="2">
        <v>401716.47</v>
      </c>
      <c r="E738">
        <v>0</v>
      </c>
      <c r="F738">
        <v>0</v>
      </c>
    </row>
    <row r="739" spans="1:6" x14ac:dyDescent="0.25">
      <c r="A739" s="1">
        <v>44927</v>
      </c>
      <c r="B739" t="s">
        <v>251</v>
      </c>
      <c r="C739" t="s">
        <v>808</v>
      </c>
      <c r="D739" s="2">
        <v>856386987.76999998</v>
      </c>
      <c r="E739" s="2">
        <v>37432644.75</v>
      </c>
      <c r="F739" s="2">
        <v>34150715.159999996</v>
      </c>
    </row>
    <row r="740" spans="1:6" x14ac:dyDescent="0.25">
      <c r="A740" s="1">
        <v>44927</v>
      </c>
      <c r="B740" t="s">
        <v>37</v>
      </c>
      <c r="C740" t="s">
        <v>809</v>
      </c>
      <c r="D740" s="2">
        <v>81101.149999999994</v>
      </c>
      <c r="E740" s="2">
        <v>9000</v>
      </c>
      <c r="F740">
        <v>0</v>
      </c>
    </row>
    <row r="741" spans="1:6" x14ac:dyDescent="0.25">
      <c r="A741" s="1">
        <v>44927</v>
      </c>
      <c r="B741" t="s">
        <v>68</v>
      </c>
      <c r="C741" t="s">
        <v>810</v>
      </c>
      <c r="D741" s="2">
        <v>1024676.41</v>
      </c>
      <c r="E741" s="2">
        <v>51564.78</v>
      </c>
      <c r="F741" s="2">
        <v>47009.3</v>
      </c>
    </row>
    <row r="742" spans="1:6" x14ac:dyDescent="0.25">
      <c r="A742" s="1">
        <v>44927</v>
      </c>
      <c r="B742" t="s">
        <v>27</v>
      </c>
      <c r="C742" t="s">
        <v>811</v>
      </c>
      <c r="D742">
        <v>0</v>
      </c>
      <c r="E742">
        <v>0</v>
      </c>
      <c r="F742">
        <v>0</v>
      </c>
    </row>
    <row r="743" spans="1:6" x14ac:dyDescent="0.25">
      <c r="A743" s="1">
        <v>44927</v>
      </c>
      <c r="B743" t="s">
        <v>187</v>
      </c>
      <c r="C743" t="s">
        <v>812</v>
      </c>
      <c r="D743" s="2">
        <v>856877.42</v>
      </c>
      <c r="E743" s="2">
        <v>232894.79</v>
      </c>
      <c r="F743" s="2">
        <v>227351.21</v>
      </c>
    </row>
    <row r="744" spans="1:6" x14ac:dyDescent="0.25">
      <c r="A744" s="1">
        <v>44927</v>
      </c>
      <c r="B744" t="s">
        <v>40</v>
      </c>
      <c r="C744" t="s">
        <v>813</v>
      </c>
      <c r="D744">
        <v>0</v>
      </c>
      <c r="E744">
        <v>0</v>
      </c>
      <c r="F744">
        <v>0</v>
      </c>
    </row>
    <row r="745" spans="1:6" x14ac:dyDescent="0.25">
      <c r="A745" s="1">
        <v>44927</v>
      </c>
      <c r="B745" t="s">
        <v>306</v>
      </c>
      <c r="C745" t="s">
        <v>814</v>
      </c>
      <c r="D745" s="2">
        <v>1607809.9</v>
      </c>
      <c r="E745" s="2">
        <v>290835</v>
      </c>
      <c r="F745">
        <v>0</v>
      </c>
    </row>
    <row r="746" spans="1:6" x14ac:dyDescent="0.25">
      <c r="A746" s="1">
        <v>44927</v>
      </c>
      <c r="B746" t="s">
        <v>40</v>
      </c>
      <c r="C746" t="s">
        <v>815</v>
      </c>
      <c r="D746" s="2">
        <v>89131.89</v>
      </c>
      <c r="E746" s="2">
        <v>11484.64</v>
      </c>
      <c r="F746" s="2">
        <v>11484.64</v>
      </c>
    </row>
    <row r="747" spans="1:6" x14ac:dyDescent="0.25">
      <c r="A747" s="1">
        <v>44927</v>
      </c>
      <c r="B747" t="s">
        <v>816</v>
      </c>
      <c r="C747" t="s">
        <v>817</v>
      </c>
      <c r="D747" s="2">
        <v>230222433.74000001</v>
      </c>
      <c r="E747" s="2">
        <v>161354132.36000001</v>
      </c>
      <c r="F747" s="2">
        <v>124308861.88</v>
      </c>
    </row>
    <row r="748" spans="1:6" x14ac:dyDescent="0.25">
      <c r="A748" s="1">
        <v>44927</v>
      </c>
      <c r="B748" t="s">
        <v>48</v>
      </c>
      <c r="C748" t="s">
        <v>818</v>
      </c>
      <c r="D748" s="2">
        <v>101701.64</v>
      </c>
      <c r="E748" s="2">
        <v>51708.97</v>
      </c>
      <c r="F748" s="2">
        <v>28158.71</v>
      </c>
    </row>
    <row r="749" spans="1:6" x14ac:dyDescent="0.25">
      <c r="A749" s="1">
        <v>44927</v>
      </c>
      <c r="B749" t="s">
        <v>92</v>
      </c>
      <c r="C749" t="s">
        <v>819</v>
      </c>
      <c r="D749" s="2">
        <v>52683.81</v>
      </c>
      <c r="E749" s="2">
        <v>52683.81</v>
      </c>
      <c r="F749" s="2">
        <v>52683.81</v>
      </c>
    </row>
    <row r="750" spans="1:6" x14ac:dyDescent="0.25">
      <c r="A750" s="1">
        <v>44927</v>
      </c>
      <c r="B750" t="s">
        <v>46</v>
      </c>
      <c r="C750" t="s">
        <v>820</v>
      </c>
      <c r="D750" s="2">
        <v>250000</v>
      </c>
      <c r="E750">
        <v>0</v>
      </c>
      <c r="F750">
        <v>0</v>
      </c>
    </row>
    <row r="751" spans="1:6" x14ac:dyDescent="0.25">
      <c r="A751" s="1">
        <v>44927</v>
      </c>
      <c r="B751" t="s">
        <v>821</v>
      </c>
      <c r="C751" t="s">
        <v>822</v>
      </c>
      <c r="D751">
        <v>0</v>
      </c>
      <c r="E751">
        <v>0</v>
      </c>
      <c r="F751">
        <v>0</v>
      </c>
    </row>
    <row r="752" spans="1:6" x14ac:dyDescent="0.25">
      <c r="A752" s="1">
        <v>44927</v>
      </c>
      <c r="B752" t="s">
        <v>619</v>
      </c>
      <c r="C752" t="s">
        <v>823</v>
      </c>
      <c r="D752" s="2">
        <v>635690.54</v>
      </c>
      <c r="E752" s="2">
        <v>38614.6</v>
      </c>
      <c r="F752" s="2">
        <v>38614.6</v>
      </c>
    </row>
    <row r="753" spans="1:6" x14ac:dyDescent="0.25">
      <c r="A753" s="1">
        <v>44927</v>
      </c>
      <c r="B753" t="s">
        <v>263</v>
      </c>
      <c r="C753" t="s">
        <v>824</v>
      </c>
      <c r="D753" s="2">
        <v>13824424.26</v>
      </c>
      <c r="E753" s="2">
        <v>837976.3</v>
      </c>
      <c r="F753" s="2">
        <v>762296.96</v>
      </c>
    </row>
    <row r="754" spans="1:6" x14ac:dyDescent="0.25">
      <c r="A754" s="1">
        <v>44927</v>
      </c>
      <c r="B754" t="s">
        <v>296</v>
      </c>
      <c r="C754" t="s">
        <v>230</v>
      </c>
      <c r="D754">
        <v>0</v>
      </c>
      <c r="E754">
        <v>0</v>
      </c>
      <c r="F754">
        <v>0</v>
      </c>
    </row>
    <row r="755" spans="1:6" x14ac:dyDescent="0.25">
      <c r="A755" s="1">
        <v>44927</v>
      </c>
      <c r="B755" t="s">
        <v>40</v>
      </c>
      <c r="C755" t="s">
        <v>825</v>
      </c>
      <c r="D755" s="2">
        <v>21902591.18</v>
      </c>
      <c r="E755" s="2">
        <v>1744.76</v>
      </c>
      <c r="F755" s="2">
        <v>1744.76</v>
      </c>
    </row>
    <row r="756" spans="1:6" x14ac:dyDescent="0.25">
      <c r="A756" s="1">
        <v>44927</v>
      </c>
      <c r="B756" t="s">
        <v>398</v>
      </c>
      <c r="C756" t="s">
        <v>826</v>
      </c>
      <c r="D756" s="2">
        <v>140000</v>
      </c>
      <c r="E756">
        <v>0</v>
      </c>
      <c r="F756">
        <v>0</v>
      </c>
    </row>
    <row r="757" spans="1:6" x14ac:dyDescent="0.25">
      <c r="A757" s="1">
        <v>44927</v>
      </c>
      <c r="B757" t="s">
        <v>132</v>
      </c>
      <c r="C757" t="s">
        <v>543</v>
      </c>
      <c r="D757" s="2">
        <v>7738750800.6499996</v>
      </c>
      <c r="E757" s="2">
        <v>3713220052.4200001</v>
      </c>
      <c r="F757" s="2">
        <v>3689892452.5</v>
      </c>
    </row>
    <row r="758" spans="1:6" x14ac:dyDescent="0.25">
      <c r="A758" s="1">
        <v>44927</v>
      </c>
      <c r="B758" t="s">
        <v>101</v>
      </c>
      <c r="C758" t="s">
        <v>827</v>
      </c>
      <c r="D758">
        <v>0</v>
      </c>
      <c r="E758">
        <v>0</v>
      </c>
      <c r="F758">
        <v>0</v>
      </c>
    </row>
    <row r="759" spans="1:6" x14ac:dyDescent="0.25">
      <c r="A759" s="1">
        <v>44927</v>
      </c>
      <c r="B759" t="s">
        <v>44</v>
      </c>
      <c r="C759" t="s">
        <v>828</v>
      </c>
      <c r="D759" s="2">
        <v>2596389.65</v>
      </c>
      <c r="E759" s="2">
        <v>42271.27</v>
      </c>
      <c r="F759" s="2">
        <v>26108.35</v>
      </c>
    </row>
    <row r="760" spans="1:6" x14ac:dyDescent="0.25">
      <c r="A760" s="1">
        <v>44927</v>
      </c>
      <c r="B760" t="s">
        <v>114</v>
      </c>
      <c r="C760" t="s">
        <v>829</v>
      </c>
      <c r="D760" s="2">
        <v>9008799.6999999993</v>
      </c>
      <c r="E760" s="2">
        <v>795456.71</v>
      </c>
      <c r="F760" s="2">
        <v>717793.87</v>
      </c>
    </row>
    <row r="761" spans="1:6" x14ac:dyDescent="0.25">
      <c r="A761" s="1">
        <v>44927</v>
      </c>
      <c r="B761" t="s">
        <v>187</v>
      </c>
      <c r="C761" t="s">
        <v>830</v>
      </c>
      <c r="D761" s="2">
        <v>576397.06999999995</v>
      </c>
      <c r="E761" s="2">
        <v>52559.28</v>
      </c>
      <c r="F761" s="2">
        <v>49323.59</v>
      </c>
    </row>
    <row r="762" spans="1:6" x14ac:dyDescent="0.25">
      <c r="A762" s="1">
        <v>44927</v>
      </c>
      <c r="B762" t="s">
        <v>831</v>
      </c>
      <c r="C762" t="s">
        <v>95</v>
      </c>
      <c r="D762">
        <v>0</v>
      </c>
      <c r="E762">
        <v>0</v>
      </c>
      <c r="F762">
        <v>0</v>
      </c>
    </row>
    <row r="763" spans="1:6" x14ac:dyDescent="0.25">
      <c r="A763" s="1">
        <v>44927</v>
      </c>
      <c r="B763" t="s">
        <v>206</v>
      </c>
      <c r="C763" t="s">
        <v>832</v>
      </c>
      <c r="D763" s="2">
        <v>364752248</v>
      </c>
      <c r="E763" s="2">
        <v>3910955.21</v>
      </c>
      <c r="F763" s="2">
        <v>3910955.21</v>
      </c>
    </row>
    <row r="764" spans="1:6" x14ac:dyDescent="0.25">
      <c r="A764" s="1">
        <v>44927</v>
      </c>
      <c r="B764" t="s">
        <v>31</v>
      </c>
      <c r="C764" t="s">
        <v>833</v>
      </c>
      <c r="D764" s="2">
        <v>4636.2</v>
      </c>
      <c r="E764" s="2">
        <v>4636.2</v>
      </c>
      <c r="F764">
        <v>0</v>
      </c>
    </row>
    <row r="765" spans="1:6" x14ac:dyDescent="0.25">
      <c r="A765" s="1">
        <v>44927</v>
      </c>
      <c r="B765" t="s">
        <v>65</v>
      </c>
      <c r="C765" t="s">
        <v>834</v>
      </c>
      <c r="D765" s="2">
        <v>2089919.04</v>
      </c>
      <c r="E765" s="2">
        <v>14123.4</v>
      </c>
      <c r="F765" s="2">
        <v>14123.4</v>
      </c>
    </row>
    <row r="766" spans="1:6" x14ac:dyDescent="0.25">
      <c r="A766" s="1">
        <v>44927</v>
      </c>
      <c r="B766" t="s">
        <v>27</v>
      </c>
      <c r="C766" t="s">
        <v>835</v>
      </c>
      <c r="D766" s="2">
        <v>315400</v>
      </c>
      <c r="E766" s="2">
        <v>306700</v>
      </c>
      <c r="F766" s="2">
        <v>306700</v>
      </c>
    </row>
    <row r="767" spans="1:6" x14ac:dyDescent="0.25">
      <c r="A767" s="1">
        <v>44927</v>
      </c>
      <c r="B767" t="s">
        <v>40</v>
      </c>
      <c r="C767" t="s">
        <v>836</v>
      </c>
      <c r="D767" s="2">
        <v>30660181.640000001</v>
      </c>
      <c r="E767" s="2">
        <v>33809.599999999999</v>
      </c>
      <c r="F767" s="2">
        <v>30503</v>
      </c>
    </row>
    <row r="768" spans="1:6" x14ac:dyDescent="0.25">
      <c r="A768" s="1">
        <v>44927</v>
      </c>
      <c r="B768" t="s">
        <v>726</v>
      </c>
      <c r="C768" t="s">
        <v>837</v>
      </c>
      <c r="D768" s="2">
        <v>5005486.41</v>
      </c>
      <c r="E768" s="2">
        <v>71322.44</v>
      </c>
      <c r="F768" s="2">
        <v>70352.570000000007</v>
      </c>
    </row>
    <row r="769" spans="1:6" x14ac:dyDescent="0.25">
      <c r="A769" s="1">
        <v>44927</v>
      </c>
      <c r="B769" t="s">
        <v>490</v>
      </c>
      <c r="C769" t="s">
        <v>267</v>
      </c>
      <c r="D769">
        <v>0</v>
      </c>
      <c r="E769">
        <v>0</v>
      </c>
      <c r="F769">
        <v>0</v>
      </c>
    </row>
    <row r="770" spans="1:6" x14ac:dyDescent="0.25">
      <c r="A770" s="1">
        <v>44927</v>
      </c>
      <c r="B770" t="s">
        <v>44</v>
      </c>
      <c r="C770" t="s">
        <v>838</v>
      </c>
      <c r="D770" s="2">
        <v>6525373.0300000003</v>
      </c>
      <c r="E770" s="2">
        <v>37946.32</v>
      </c>
      <c r="F770" s="2">
        <v>29415.37</v>
      </c>
    </row>
    <row r="771" spans="1:6" x14ac:dyDescent="0.25">
      <c r="A771" s="1">
        <v>44927</v>
      </c>
      <c r="B771" t="s">
        <v>405</v>
      </c>
      <c r="C771" t="s">
        <v>839</v>
      </c>
      <c r="D771">
        <v>0</v>
      </c>
      <c r="E771">
        <v>0</v>
      </c>
      <c r="F771">
        <v>0</v>
      </c>
    </row>
    <row r="772" spans="1:6" x14ac:dyDescent="0.25">
      <c r="A772" s="1">
        <v>44927</v>
      </c>
      <c r="B772" t="s">
        <v>37</v>
      </c>
      <c r="C772" t="s">
        <v>840</v>
      </c>
      <c r="D772" s="2">
        <v>2306.3000000000002</v>
      </c>
      <c r="E772">
        <v>0</v>
      </c>
      <c r="F772">
        <v>0</v>
      </c>
    </row>
    <row r="773" spans="1:6" x14ac:dyDescent="0.25">
      <c r="A773" s="1">
        <v>44927</v>
      </c>
      <c r="B773" t="s">
        <v>306</v>
      </c>
      <c r="C773" t="s">
        <v>841</v>
      </c>
      <c r="D773" s="2">
        <v>3172261.47</v>
      </c>
      <c r="E773" s="2">
        <v>9013.4</v>
      </c>
      <c r="F773" s="2">
        <v>6422.02</v>
      </c>
    </row>
    <row r="774" spans="1:6" x14ac:dyDescent="0.25">
      <c r="A774" s="1">
        <v>44927</v>
      </c>
      <c r="B774" t="s">
        <v>842</v>
      </c>
      <c r="C774" t="s">
        <v>843</v>
      </c>
      <c r="D774" s="2">
        <v>6193701.9000000004</v>
      </c>
      <c r="E774" s="2">
        <v>335326.84999999998</v>
      </c>
      <c r="F774" s="2">
        <v>189129.51</v>
      </c>
    </row>
    <row r="775" spans="1:6" x14ac:dyDescent="0.25">
      <c r="A775" s="1">
        <v>44927</v>
      </c>
      <c r="B775" t="s">
        <v>648</v>
      </c>
      <c r="C775" t="s">
        <v>844</v>
      </c>
      <c r="D775" s="2">
        <v>8411.8700000000008</v>
      </c>
      <c r="E775" s="2">
        <v>6582.68</v>
      </c>
      <c r="F775" s="2">
        <v>6343.46</v>
      </c>
    </row>
    <row r="776" spans="1:6" x14ac:dyDescent="0.25">
      <c r="A776" s="1">
        <v>44927</v>
      </c>
      <c r="B776" t="s">
        <v>23</v>
      </c>
      <c r="C776" t="s">
        <v>845</v>
      </c>
      <c r="D776" s="2">
        <v>986440.16</v>
      </c>
      <c r="E776" s="2">
        <v>42227.65</v>
      </c>
      <c r="F776" s="2">
        <v>6267.4</v>
      </c>
    </row>
    <row r="777" spans="1:6" x14ac:dyDescent="0.25">
      <c r="A777" s="1">
        <v>44927</v>
      </c>
      <c r="B777" t="s">
        <v>44</v>
      </c>
      <c r="C777" t="s">
        <v>846</v>
      </c>
      <c r="D777" s="2">
        <v>24656</v>
      </c>
      <c r="E777" s="2">
        <v>7061.01</v>
      </c>
      <c r="F777">
        <v>0</v>
      </c>
    </row>
    <row r="778" spans="1:6" x14ac:dyDescent="0.25">
      <c r="A778" s="1">
        <v>44927</v>
      </c>
      <c r="B778" t="s">
        <v>75</v>
      </c>
      <c r="C778" t="s">
        <v>847</v>
      </c>
      <c r="D778">
        <v>0</v>
      </c>
      <c r="E778">
        <v>0</v>
      </c>
      <c r="F778">
        <v>0</v>
      </c>
    </row>
    <row r="779" spans="1:6" x14ac:dyDescent="0.25">
      <c r="A779" s="1">
        <v>44927</v>
      </c>
      <c r="B779" t="s">
        <v>619</v>
      </c>
      <c r="C779" t="s">
        <v>848</v>
      </c>
      <c r="D779" s="2">
        <v>115549.75999999999</v>
      </c>
      <c r="E779" s="2">
        <v>54090.13</v>
      </c>
      <c r="F779" s="2">
        <v>40743.11</v>
      </c>
    </row>
    <row r="780" spans="1:6" x14ac:dyDescent="0.25">
      <c r="A780" s="1">
        <v>44927</v>
      </c>
      <c r="B780" t="s">
        <v>101</v>
      </c>
      <c r="C780" t="s">
        <v>849</v>
      </c>
      <c r="D780" s="2">
        <v>80500</v>
      </c>
      <c r="E780" s="2">
        <v>26761.13</v>
      </c>
      <c r="F780" s="2">
        <v>26761.13</v>
      </c>
    </row>
    <row r="781" spans="1:6" x14ac:dyDescent="0.25">
      <c r="A781" s="1">
        <v>44927</v>
      </c>
      <c r="B781" t="s">
        <v>282</v>
      </c>
      <c r="C781" t="s">
        <v>571</v>
      </c>
      <c r="D781" s="2">
        <v>799925.54</v>
      </c>
      <c r="E781">
        <v>0</v>
      </c>
      <c r="F781">
        <v>0</v>
      </c>
    </row>
    <row r="782" spans="1:6" x14ac:dyDescent="0.25">
      <c r="A782" s="1">
        <v>44927</v>
      </c>
      <c r="B782" t="s">
        <v>40</v>
      </c>
      <c r="C782" t="s">
        <v>850</v>
      </c>
      <c r="D782" s="2">
        <v>71726.53</v>
      </c>
      <c r="E782">
        <v>0</v>
      </c>
      <c r="F782">
        <v>0</v>
      </c>
    </row>
    <row r="783" spans="1:6" x14ac:dyDescent="0.25">
      <c r="A783" s="1">
        <v>44927</v>
      </c>
      <c r="B783" t="s">
        <v>37</v>
      </c>
      <c r="C783" t="s">
        <v>851</v>
      </c>
      <c r="D783" s="2">
        <v>7661478.2000000002</v>
      </c>
      <c r="E783" s="2">
        <v>7331961.8600000003</v>
      </c>
      <c r="F783" s="2">
        <v>1258588.8</v>
      </c>
    </row>
    <row r="784" spans="1:6" x14ac:dyDescent="0.25">
      <c r="A784" s="1">
        <v>44927</v>
      </c>
      <c r="B784" t="s">
        <v>46</v>
      </c>
      <c r="C784" t="s">
        <v>852</v>
      </c>
      <c r="D784" s="2">
        <v>160800</v>
      </c>
      <c r="E784" s="2">
        <v>9538.4699999999993</v>
      </c>
      <c r="F784" s="2">
        <v>8719.0499999999993</v>
      </c>
    </row>
    <row r="785" spans="1:6" x14ac:dyDescent="0.25">
      <c r="A785" s="1">
        <v>44927</v>
      </c>
      <c r="B785" t="s">
        <v>476</v>
      </c>
      <c r="C785" t="s">
        <v>853</v>
      </c>
      <c r="D785" s="2">
        <v>3002044.08</v>
      </c>
      <c r="E785" s="2">
        <v>285052.28000000003</v>
      </c>
      <c r="F785" s="2">
        <v>236558.91</v>
      </c>
    </row>
    <row r="786" spans="1:6" x14ac:dyDescent="0.25">
      <c r="A786" s="1">
        <v>44927</v>
      </c>
      <c r="B786" t="s">
        <v>23</v>
      </c>
      <c r="C786" t="s">
        <v>854</v>
      </c>
      <c r="D786" s="2">
        <v>2697485.75</v>
      </c>
      <c r="E786" s="2">
        <v>50518.13</v>
      </c>
      <c r="F786" s="2">
        <v>2353.35</v>
      </c>
    </row>
    <row r="787" spans="1:6" x14ac:dyDescent="0.25">
      <c r="A787" s="1">
        <v>44927</v>
      </c>
      <c r="B787" t="s">
        <v>31</v>
      </c>
      <c r="C787" t="s">
        <v>855</v>
      </c>
      <c r="D787" s="2">
        <v>123000</v>
      </c>
      <c r="E787" s="2">
        <v>1249.95</v>
      </c>
      <c r="F787">
        <v>0</v>
      </c>
    </row>
    <row r="788" spans="1:6" x14ac:dyDescent="0.25">
      <c r="A788" s="1">
        <v>44927</v>
      </c>
      <c r="B788" t="s">
        <v>460</v>
      </c>
      <c r="C788" t="s">
        <v>856</v>
      </c>
      <c r="D788" s="2">
        <v>3635350.58</v>
      </c>
      <c r="E788" s="2">
        <v>872618.99</v>
      </c>
      <c r="F788" s="2">
        <v>503018.13</v>
      </c>
    </row>
    <row r="789" spans="1:6" x14ac:dyDescent="0.25">
      <c r="A789" s="1">
        <v>44927</v>
      </c>
      <c r="B789" t="s">
        <v>40</v>
      </c>
      <c r="C789" t="s">
        <v>857</v>
      </c>
      <c r="D789" s="2">
        <v>20614225533.990002</v>
      </c>
      <c r="E789" s="2">
        <v>1935991513.5699999</v>
      </c>
      <c r="F789" s="2">
        <v>1020559.36</v>
      </c>
    </row>
    <row r="790" spans="1:6" x14ac:dyDescent="0.25">
      <c r="A790" s="1">
        <v>44927</v>
      </c>
      <c r="B790" t="s">
        <v>143</v>
      </c>
      <c r="C790" t="s">
        <v>858</v>
      </c>
      <c r="D790" s="2">
        <v>266982150.38999999</v>
      </c>
      <c r="E790" s="2">
        <v>126142970.34999999</v>
      </c>
      <c r="F790" s="2">
        <v>28139987.73</v>
      </c>
    </row>
    <row r="791" spans="1:6" x14ac:dyDescent="0.25">
      <c r="A791" s="1">
        <v>44927</v>
      </c>
      <c r="B791" t="s">
        <v>40</v>
      </c>
      <c r="C791" t="s">
        <v>859</v>
      </c>
      <c r="D791">
        <v>0</v>
      </c>
      <c r="E791">
        <v>0</v>
      </c>
      <c r="F791">
        <v>0</v>
      </c>
    </row>
    <row r="792" spans="1:6" x14ac:dyDescent="0.25">
      <c r="A792" s="1">
        <v>44927</v>
      </c>
      <c r="B792" t="s">
        <v>92</v>
      </c>
      <c r="C792" t="s">
        <v>860</v>
      </c>
      <c r="D792" s="2">
        <v>3023552</v>
      </c>
      <c r="E792" s="2">
        <v>2638131.9700000002</v>
      </c>
      <c r="F792" s="2">
        <v>2546112.29</v>
      </c>
    </row>
    <row r="793" spans="1:6" x14ac:dyDescent="0.25">
      <c r="A793" s="1">
        <v>44927</v>
      </c>
      <c r="B793" t="s">
        <v>101</v>
      </c>
      <c r="C793" t="s">
        <v>861</v>
      </c>
      <c r="D793">
        <v>0</v>
      </c>
      <c r="E793">
        <v>0</v>
      </c>
      <c r="F793">
        <v>0</v>
      </c>
    </row>
    <row r="794" spans="1:6" x14ac:dyDescent="0.25">
      <c r="A794" s="1">
        <v>44927</v>
      </c>
      <c r="B794" t="s">
        <v>92</v>
      </c>
      <c r="C794" t="s">
        <v>862</v>
      </c>
      <c r="D794" s="2">
        <v>565615.26</v>
      </c>
      <c r="E794" s="2">
        <v>203587.74</v>
      </c>
      <c r="F794" s="2">
        <v>203587.74</v>
      </c>
    </row>
    <row r="795" spans="1:6" x14ac:dyDescent="0.25">
      <c r="A795" s="1">
        <v>44927</v>
      </c>
      <c r="B795" t="s">
        <v>185</v>
      </c>
      <c r="C795" t="s">
        <v>863</v>
      </c>
      <c r="D795" s="2">
        <v>712109600.02999997</v>
      </c>
      <c r="E795">
        <v>0</v>
      </c>
      <c r="F795">
        <v>0</v>
      </c>
    </row>
    <row r="796" spans="1:6" x14ac:dyDescent="0.25">
      <c r="A796" s="1">
        <v>44927</v>
      </c>
      <c r="B796" t="s">
        <v>23</v>
      </c>
      <c r="C796" t="s">
        <v>864</v>
      </c>
      <c r="D796" s="2">
        <v>297024.45</v>
      </c>
      <c r="E796" s="2">
        <v>73506.460000000006</v>
      </c>
      <c r="F796" s="2">
        <v>55108.45</v>
      </c>
    </row>
    <row r="797" spans="1:6" x14ac:dyDescent="0.25">
      <c r="A797" s="1">
        <v>44927</v>
      </c>
      <c r="B797" t="s">
        <v>25</v>
      </c>
      <c r="C797" t="s">
        <v>865</v>
      </c>
      <c r="D797" s="2">
        <v>278989</v>
      </c>
      <c r="E797" s="2">
        <v>17428.54</v>
      </c>
      <c r="F797" s="2">
        <v>13116.99</v>
      </c>
    </row>
    <row r="798" spans="1:6" x14ac:dyDescent="0.25">
      <c r="A798" s="1">
        <v>44927</v>
      </c>
      <c r="B798" t="s">
        <v>682</v>
      </c>
      <c r="C798" t="s">
        <v>866</v>
      </c>
      <c r="D798">
        <v>0</v>
      </c>
      <c r="E798">
        <v>0</v>
      </c>
      <c r="F798">
        <v>0</v>
      </c>
    </row>
    <row r="799" spans="1:6" x14ac:dyDescent="0.25">
      <c r="A799" s="1">
        <v>44927</v>
      </c>
      <c r="B799" t="s">
        <v>23</v>
      </c>
      <c r="C799" t="s">
        <v>867</v>
      </c>
      <c r="D799" s="2">
        <v>254186.45</v>
      </c>
      <c r="E799" s="2">
        <v>35579.769999999997</v>
      </c>
      <c r="F799" s="2">
        <v>35579.769999999997</v>
      </c>
    </row>
    <row r="800" spans="1:6" x14ac:dyDescent="0.25">
      <c r="A800" s="1">
        <v>44927</v>
      </c>
      <c r="B800" t="s">
        <v>13</v>
      </c>
      <c r="C800" t="s">
        <v>868</v>
      </c>
      <c r="D800" s="2">
        <v>1152347.8600000001</v>
      </c>
      <c r="E800" s="2">
        <v>8986</v>
      </c>
      <c r="F800" s="2">
        <v>8986</v>
      </c>
    </row>
    <row r="801" spans="1:6" x14ac:dyDescent="0.25">
      <c r="A801" s="1">
        <v>44927</v>
      </c>
      <c r="B801" t="s">
        <v>23</v>
      </c>
      <c r="C801" t="s">
        <v>869</v>
      </c>
      <c r="D801" s="2">
        <v>733996.3</v>
      </c>
      <c r="E801" s="2">
        <v>133185.54999999999</v>
      </c>
      <c r="F801" s="2">
        <v>130584.45</v>
      </c>
    </row>
    <row r="802" spans="1:6" x14ac:dyDescent="0.25">
      <c r="A802" s="1">
        <v>44927</v>
      </c>
      <c r="B802" t="s">
        <v>816</v>
      </c>
      <c r="C802" t="s">
        <v>870</v>
      </c>
      <c r="D802" s="2">
        <v>5394577.6799999997</v>
      </c>
      <c r="E802" s="2">
        <v>651871.49</v>
      </c>
      <c r="F802" s="2">
        <v>161990.24</v>
      </c>
    </row>
    <row r="803" spans="1:6" x14ac:dyDescent="0.25">
      <c r="A803" s="1">
        <v>44927</v>
      </c>
      <c r="B803" t="s">
        <v>726</v>
      </c>
      <c r="C803" t="s">
        <v>871</v>
      </c>
      <c r="D803" s="2">
        <v>133693.25</v>
      </c>
      <c r="E803" s="2">
        <v>80116.710000000006</v>
      </c>
      <c r="F803" s="2">
        <v>71100.87</v>
      </c>
    </row>
    <row r="804" spans="1:6" x14ac:dyDescent="0.25">
      <c r="A804" s="1">
        <v>44927</v>
      </c>
      <c r="B804" t="s">
        <v>44</v>
      </c>
      <c r="C804" t="s">
        <v>872</v>
      </c>
      <c r="D804" s="2">
        <v>7000</v>
      </c>
      <c r="E804">
        <v>253</v>
      </c>
      <c r="F804">
        <v>253</v>
      </c>
    </row>
    <row r="805" spans="1:6" x14ac:dyDescent="0.25">
      <c r="A805" s="1">
        <v>44927</v>
      </c>
      <c r="B805" t="s">
        <v>40</v>
      </c>
      <c r="C805" t="s">
        <v>873</v>
      </c>
      <c r="D805" s="2">
        <v>38241574565.099998</v>
      </c>
      <c r="E805" s="2">
        <v>1912078728.25</v>
      </c>
      <c r="F805" s="2">
        <v>1912078728.25</v>
      </c>
    </row>
    <row r="806" spans="1:6" x14ac:dyDescent="0.25">
      <c r="A806" s="1">
        <v>44927</v>
      </c>
      <c r="B806" t="s">
        <v>23</v>
      </c>
      <c r="C806" t="s">
        <v>874</v>
      </c>
      <c r="D806" s="2">
        <v>283558.55</v>
      </c>
      <c r="E806" s="2">
        <v>17116.490000000002</v>
      </c>
      <c r="F806" s="2">
        <v>2960.07</v>
      </c>
    </row>
    <row r="807" spans="1:6" x14ac:dyDescent="0.25">
      <c r="A807" s="1">
        <v>44927</v>
      </c>
      <c r="B807" t="s">
        <v>118</v>
      </c>
      <c r="C807" t="s">
        <v>62</v>
      </c>
      <c r="D807" s="2">
        <v>464693.58</v>
      </c>
      <c r="E807">
        <v>0</v>
      </c>
      <c r="F807">
        <v>0</v>
      </c>
    </row>
    <row r="808" spans="1:6" x14ac:dyDescent="0.25">
      <c r="A808" s="1">
        <v>44927</v>
      </c>
      <c r="B808" t="s">
        <v>107</v>
      </c>
      <c r="C808" t="s">
        <v>262</v>
      </c>
      <c r="D808" s="2">
        <v>27575.08</v>
      </c>
      <c r="E808">
        <v>0</v>
      </c>
      <c r="F808">
        <v>0</v>
      </c>
    </row>
    <row r="809" spans="1:6" x14ac:dyDescent="0.25">
      <c r="A809" s="1">
        <v>44927</v>
      </c>
      <c r="B809" t="s">
        <v>490</v>
      </c>
      <c r="C809" t="s">
        <v>875</v>
      </c>
      <c r="D809" s="2">
        <v>7508405.1500000004</v>
      </c>
      <c r="E809" s="2">
        <v>143482.34</v>
      </c>
      <c r="F809" s="2">
        <v>86969.14</v>
      </c>
    </row>
    <row r="810" spans="1:6" x14ac:dyDescent="0.25">
      <c r="A810" s="1">
        <v>44927</v>
      </c>
      <c r="B810" t="s">
        <v>726</v>
      </c>
      <c r="C810" t="s">
        <v>876</v>
      </c>
      <c r="D810" s="2">
        <v>20209.09</v>
      </c>
      <c r="E810" s="2">
        <v>5818.08</v>
      </c>
      <c r="F810" s="2">
        <v>5392.46</v>
      </c>
    </row>
    <row r="811" spans="1:6" x14ac:dyDescent="0.25">
      <c r="A811" s="1">
        <v>44927</v>
      </c>
      <c r="B811" t="s">
        <v>17</v>
      </c>
      <c r="C811" t="s">
        <v>877</v>
      </c>
      <c r="D811" s="2">
        <v>1654804.17</v>
      </c>
      <c r="E811" s="2">
        <v>1654804.17</v>
      </c>
      <c r="F811" s="2">
        <v>1654804.17</v>
      </c>
    </row>
    <row r="812" spans="1:6" x14ac:dyDescent="0.25">
      <c r="A812" s="1">
        <v>44927</v>
      </c>
      <c r="B812" t="s">
        <v>206</v>
      </c>
      <c r="C812" t="s">
        <v>878</v>
      </c>
      <c r="D812" s="2">
        <v>1648150.39</v>
      </c>
      <c r="E812" s="2">
        <v>546640.41</v>
      </c>
      <c r="F812" s="2">
        <v>462513.54</v>
      </c>
    </row>
    <row r="813" spans="1:6" x14ac:dyDescent="0.25">
      <c r="A813" s="1">
        <v>44927</v>
      </c>
      <c r="B813" t="s">
        <v>23</v>
      </c>
      <c r="C813" t="s">
        <v>879</v>
      </c>
      <c r="D813" s="2">
        <v>2889</v>
      </c>
      <c r="E813">
        <v>0</v>
      </c>
      <c r="F813">
        <v>0</v>
      </c>
    </row>
    <row r="814" spans="1:6" x14ac:dyDescent="0.25">
      <c r="A814" s="1">
        <v>44927</v>
      </c>
      <c r="B814" t="s">
        <v>490</v>
      </c>
      <c r="C814" t="s">
        <v>880</v>
      </c>
      <c r="D814">
        <v>0</v>
      </c>
      <c r="E814">
        <v>0</v>
      </c>
      <c r="F814">
        <v>0</v>
      </c>
    </row>
    <row r="815" spans="1:6" x14ac:dyDescent="0.25">
      <c r="A815" s="1">
        <v>44927</v>
      </c>
      <c r="B815" t="s">
        <v>101</v>
      </c>
      <c r="C815" t="s">
        <v>203</v>
      </c>
      <c r="D815">
        <v>0</v>
      </c>
      <c r="E815">
        <v>0</v>
      </c>
      <c r="F815">
        <v>0</v>
      </c>
    </row>
    <row r="816" spans="1:6" x14ac:dyDescent="0.25">
      <c r="A816" s="1">
        <v>44927</v>
      </c>
      <c r="B816" t="s">
        <v>306</v>
      </c>
      <c r="C816" t="s">
        <v>403</v>
      </c>
      <c r="D816">
        <v>0</v>
      </c>
      <c r="E816">
        <v>0</v>
      </c>
      <c r="F816">
        <v>0</v>
      </c>
    </row>
    <row r="817" spans="1:6" x14ac:dyDescent="0.25">
      <c r="A817" s="1">
        <v>44927</v>
      </c>
      <c r="B817" t="s">
        <v>9</v>
      </c>
      <c r="C817" t="s">
        <v>881</v>
      </c>
      <c r="D817">
        <v>0</v>
      </c>
      <c r="E817">
        <v>0</v>
      </c>
      <c r="F817">
        <v>0</v>
      </c>
    </row>
    <row r="818" spans="1:6" x14ac:dyDescent="0.25">
      <c r="A818" s="1">
        <v>44927</v>
      </c>
      <c r="B818" t="s">
        <v>114</v>
      </c>
      <c r="C818" t="s">
        <v>882</v>
      </c>
      <c r="D818">
        <v>0</v>
      </c>
      <c r="E818">
        <v>0</v>
      </c>
      <c r="F818">
        <v>0</v>
      </c>
    </row>
    <row r="819" spans="1:6" x14ac:dyDescent="0.25">
      <c r="A819" s="1">
        <v>44927</v>
      </c>
      <c r="B819" t="s">
        <v>65</v>
      </c>
      <c r="C819" t="s">
        <v>883</v>
      </c>
      <c r="D819" s="2">
        <v>8444474.6799999997</v>
      </c>
      <c r="E819" s="2">
        <v>34237.08</v>
      </c>
      <c r="F819" s="2">
        <v>34237.08</v>
      </c>
    </row>
    <row r="820" spans="1:6" x14ac:dyDescent="0.25">
      <c r="A820" s="1">
        <v>44927</v>
      </c>
      <c r="B820" t="s">
        <v>37</v>
      </c>
      <c r="C820" t="s">
        <v>884</v>
      </c>
      <c r="D820" s="2">
        <v>332116.13</v>
      </c>
      <c r="E820" s="2">
        <v>149636.79</v>
      </c>
      <c r="F820" s="2">
        <v>130166.79</v>
      </c>
    </row>
    <row r="821" spans="1:6" x14ac:dyDescent="0.25">
      <c r="A821" s="1">
        <v>44927</v>
      </c>
      <c r="B821" t="s">
        <v>118</v>
      </c>
      <c r="C821" t="s">
        <v>885</v>
      </c>
      <c r="D821">
        <v>0</v>
      </c>
      <c r="E821">
        <v>0</v>
      </c>
      <c r="F821">
        <v>0</v>
      </c>
    </row>
    <row r="822" spans="1:6" x14ac:dyDescent="0.25">
      <c r="A822" s="1">
        <v>44927</v>
      </c>
      <c r="B822" t="s">
        <v>9</v>
      </c>
      <c r="C822" t="s">
        <v>598</v>
      </c>
      <c r="D822" s="2">
        <v>56776.34</v>
      </c>
      <c r="E822" s="2">
        <v>8146.64</v>
      </c>
      <c r="F822">
        <v>885.09</v>
      </c>
    </row>
    <row r="823" spans="1:6" x14ac:dyDescent="0.25">
      <c r="A823" s="1">
        <v>44927</v>
      </c>
      <c r="B823" t="s">
        <v>23</v>
      </c>
      <c r="C823" t="s">
        <v>886</v>
      </c>
      <c r="D823" s="2">
        <v>6157555.4199999999</v>
      </c>
      <c r="E823" s="2">
        <v>407009.39</v>
      </c>
      <c r="F823" s="2">
        <v>393305.34</v>
      </c>
    </row>
    <row r="824" spans="1:6" x14ac:dyDescent="0.25">
      <c r="A824" s="1">
        <v>44927</v>
      </c>
      <c r="B824" t="s">
        <v>216</v>
      </c>
      <c r="C824" t="s">
        <v>887</v>
      </c>
      <c r="D824" s="2">
        <v>539928.97</v>
      </c>
      <c r="E824" s="2">
        <v>83066.899999999994</v>
      </c>
      <c r="F824" s="2">
        <v>10900</v>
      </c>
    </row>
    <row r="825" spans="1:6" x14ac:dyDescent="0.25">
      <c r="A825" s="1">
        <v>44927</v>
      </c>
      <c r="B825" t="s">
        <v>40</v>
      </c>
      <c r="C825" t="s">
        <v>888</v>
      </c>
      <c r="D825" s="2">
        <v>6068458.8899999997</v>
      </c>
      <c r="E825" s="2">
        <v>1486046.01</v>
      </c>
      <c r="F825" s="2">
        <v>1440437.51</v>
      </c>
    </row>
    <row r="826" spans="1:6" x14ac:dyDescent="0.25">
      <c r="A826" s="1">
        <v>44927</v>
      </c>
      <c r="B826" t="s">
        <v>23</v>
      </c>
      <c r="C826" t="s">
        <v>889</v>
      </c>
      <c r="D826" s="2">
        <v>3513347.73</v>
      </c>
      <c r="E826" s="2">
        <v>69564.990000000005</v>
      </c>
      <c r="F826">
        <v>600</v>
      </c>
    </row>
    <row r="827" spans="1:6" x14ac:dyDescent="0.25">
      <c r="A827" s="1">
        <v>44927</v>
      </c>
      <c r="B827" t="s">
        <v>81</v>
      </c>
      <c r="C827" t="s">
        <v>731</v>
      </c>
      <c r="D827">
        <v>0</v>
      </c>
      <c r="E827">
        <v>0</v>
      </c>
      <c r="F827">
        <v>0</v>
      </c>
    </row>
    <row r="828" spans="1:6" x14ac:dyDescent="0.25">
      <c r="A828" s="1">
        <v>44927</v>
      </c>
      <c r="B828" t="s">
        <v>107</v>
      </c>
      <c r="C828" t="s">
        <v>197</v>
      </c>
      <c r="D828" s="2">
        <v>14626384.08</v>
      </c>
      <c r="E828" s="2">
        <v>797905.04</v>
      </c>
      <c r="F828" s="2">
        <v>18922</v>
      </c>
    </row>
    <row r="829" spans="1:6" x14ac:dyDescent="0.25">
      <c r="A829" s="1">
        <v>44927</v>
      </c>
      <c r="B829" t="s">
        <v>107</v>
      </c>
      <c r="C829" t="s">
        <v>890</v>
      </c>
      <c r="D829" s="2">
        <v>6596028.29</v>
      </c>
      <c r="E829" s="2">
        <v>174219.83</v>
      </c>
      <c r="F829" s="2">
        <v>12500.94</v>
      </c>
    </row>
    <row r="830" spans="1:6" x14ac:dyDescent="0.25">
      <c r="A830" s="1">
        <v>44927</v>
      </c>
      <c r="B830" t="s">
        <v>23</v>
      </c>
      <c r="C830" t="s">
        <v>891</v>
      </c>
      <c r="D830" s="2">
        <v>1833839</v>
      </c>
      <c r="E830">
        <v>0</v>
      </c>
      <c r="F830">
        <v>0</v>
      </c>
    </row>
    <row r="831" spans="1:6" x14ac:dyDescent="0.25">
      <c r="A831" s="1">
        <v>44927</v>
      </c>
      <c r="B831" t="s">
        <v>518</v>
      </c>
      <c r="C831" t="s">
        <v>892</v>
      </c>
      <c r="D831" s="2">
        <v>16312.69</v>
      </c>
      <c r="E831" s="2">
        <v>16312.69</v>
      </c>
      <c r="F831" s="2">
        <v>15136.39</v>
      </c>
    </row>
    <row r="832" spans="1:6" x14ac:dyDescent="0.25">
      <c r="A832" s="1">
        <v>44927</v>
      </c>
      <c r="B832" t="s">
        <v>42</v>
      </c>
      <c r="C832" t="s">
        <v>893</v>
      </c>
      <c r="D832" s="2">
        <v>74500000</v>
      </c>
      <c r="E832">
        <v>0</v>
      </c>
      <c r="F832">
        <v>0</v>
      </c>
    </row>
    <row r="833" spans="1:6" x14ac:dyDescent="0.25">
      <c r="A833" s="1">
        <v>44927</v>
      </c>
      <c r="B833" t="s">
        <v>107</v>
      </c>
      <c r="C833" t="s">
        <v>501</v>
      </c>
      <c r="D833" s="2">
        <v>98572495.909999996</v>
      </c>
      <c r="E833" s="2">
        <v>16370544.58</v>
      </c>
      <c r="F833" s="2">
        <v>11409214.58</v>
      </c>
    </row>
    <row r="834" spans="1:6" x14ac:dyDescent="0.25">
      <c r="A834" s="1">
        <v>44927</v>
      </c>
      <c r="B834" t="s">
        <v>42</v>
      </c>
      <c r="C834" t="s">
        <v>894</v>
      </c>
      <c r="D834" s="2">
        <v>1051394485.86</v>
      </c>
      <c r="E834" s="2">
        <v>75248564.260000005</v>
      </c>
      <c r="F834" s="2">
        <v>1239483.75</v>
      </c>
    </row>
    <row r="835" spans="1:6" x14ac:dyDescent="0.25">
      <c r="A835" s="1">
        <v>44927</v>
      </c>
      <c r="B835" t="s">
        <v>90</v>
      </c>
      <c r="C835" t="s">
        <v>895</v>
      </c>
      <c r="D835" s="2">
        <v>34371.97</v>
      </c>
      <c r="E835">
        <v>0</v>
      </c>
      <c r="F835">
        <v>0</v>
      </c>
    </row>
    <row r="836" spans="1:6" x14ac:dyDescent="0.25">
      <c r="A836" s="1">
        <v>44927</v>
      </c>
      <c r="B836" t="s">
        <v>216</v>
      </c>
      <c r="C836" t="s">
        <v>563</v>
      </c>
      <c r="D836" s="2">
        <v>13929597.67</v>
      </c>
      <c r="E836" s="2">
        <v>1975091.96</v>
      </c>
      <c r="F836" s="2">
        <v>381681.32</v>
      </c>
    </row>
    <row r="837" spans="1:6" x14ac:dyDescent="0.25">
      <c r="A837" s="1">
        <v>44927</v>
      </c>
      <c r="B837" t="s">
        <v>23</v>
      </c>
      <c r="C837" t="s">
        <v>896</v>
      </c>
      <c r="D837" s="2">
        <v>1144735.69</v>
      </c>
      <c r="E837">
        <v>0</v>
      </c>
      <c r="F837">
        <v>0</v>
      </c>
    </row>
    <row r="838" spans="1:6" x14ac:dyDescent="0.25">
      <c r="A838" s="1">
        <v>44927</v>
      </c>
      <c r="B838" t="s">
        <v>196</v>
      </c>
      <c r="C838" t="s">
        <v>897</v>
      </c>
      <c r="D838">
        <v>0</v>
      </c>
      <c r="E838">
        <v>0</v>
      </c>
      <c r="F838">
        <v>0</v>
      </c>
    </row>
    <row r="839" spans="1:6" x14ac:dyDescent="0.25">
      <c r="A839" s="1">
        <v>44927</v>
      </c>
      <c r="B839" t="s">
        <v>216</v>
      </c>
      <c r="C839" t="s">
        <v>638</v>
      </c>
      <c r="D839">
        <v>0</v>
      </c>
      <c r="E839">
        <v>0</v>
      </c>
      <c r="F839">
        <v>0</v>
      </c>
    </row>
    <row r="840" spans="1:6" x14ac:dyDescent="0.25">
      <c r="A840" s="1">
        <v>44927</v>
      </c>
      <c r="B840" t="s">
        <v>40</v>
      </c>
      <c r="C840" t="s">
        <v>898</v>
      </c>
      <c r="D840" s="2">
        <v>55487251.579999998</v>
      </c>
      <c r="E840" s="2">
        <v>37509147.939999998</v>
      </c>
      <c r="F840" s="2">
        <v>32162435.18</v>
      </c>
    </row>
    <row r="841" spans="1:6" x14ac:dyDescent="0.25">
      <c r="A841" s="1">
        <v>44927</v>
      </c>
      <c r="B841" t="s">
        <v>216</v>
      </c>
      <c r="C841" t="s">
        <v>806</v>
      </c>
      <c r="D841" s="2">
        <v>706740.1</v>
      </c>
      <c r="E841" s="2">
        <v>135170.57999999999</v>
      </c>
      <c r="F841" s="2">
        <v>12344.7</v>
      </c>
    </row>
    <row r="842" spans="1:6" x14ac:dyDescent="0.25">
      <c r="A842" s="1">
        <v>44927</v>
      </c>
      <c r="B842" t="s">
        <v>98</v>
      </c>
      <c r="C842" t="s">
        <v>899</v>
      </c>
      <c r="D842">
        <v>0</v>
      </c>
      <c r="E842">
        <v>0</v>
      </c>
      <c r="F842">
        <v>0</v>
      </c>
    </row>
    <row r="843" spans="1:6" x14ac:dyDescent="0.25">
      <c r="A843" s="1">
        <v>44927</v>
      </c>
      <c r="B843" t="s">
        <v>278</v>
      </c>
      <c r="C843" t="s">
        <v>900</v>
      </c>
      <c r="D843" s="2">
        <v>153920870</v>
      </c>
      <c r="E843" s="2">
        <v>100097.24</v>
      </c>
      <c r="F843" s="2">
        <v>51571.03</v>
      </c>
    </row>
    <row r="844" spans="1:6" x14ac:dyDescent="0.25">
      <c r="A844" s="1">
        <v>44927</v>
      </c>
      <c r="B844" t="s">
        <v>23</v>
      </c>
      <c r="C844" t="s">
        <v>901</v>
      </c>
      <c r="D844" s="2">
        <v>2684660.23</v>
      </c>
      <c r="E844" s="2">
        <v>52021.919999999998</v>
      </c>
      <c r="F844" s="2">
        <v>17563.72</v>
      </c>
    </row>
    <row r="845" spans="1:6" x14ac:dyDescent="0.25">
      <c r="A845" s="1">
        <v>44927</v>
      </c>
      <c r="B845" t="s">
        <v>27</v>
      </c>
      <c r="C845" t="s">
        <v>902</v>
      </c>
      <c r="D845" s="2">
        <v>146867.76999999999</v>
      </c>
      <c r="E845" s="2">
        <v>32440.12</v>
      </c>
      <c r="F845" s="2">
        <v>29639.62</v>
      </c>
    </row>
    <row r="846" spans="1:6" x14ac:dyDescent="0.25">
      <c r="A846" s="1">
        <v>44927</v>
      </c>
      <c r="B846" t="s">
        <v>107</v>
      </c>
      <c r="C846" t="s">
        <v>897</v>
      </c>
      <c r="D846" s="2">
        <v>282985312.18000001</v>
      </c>
      <c r="E846" s="2">
        <v>114063742.01000001</v>
      </c>
      <c r="F846" s="2">
        <v>46735976.210000001</v>
      </c>
    </row>
    <row r="847" spans="1:6" x14ac:dyDescent="0.25">
      <c r="A847" s="1">
        <v>44927</v>
      </c>
      <c r="B847" t="s">
        <v>92</v>
      </c>
      <c r="C847" t="s">
        <v>903</v>
      </c>
      <c r="D847" s="2">
        <v>301261.03000000003</v>
      </c>
      <c r="E847" s="2">
        <v>250207.02</v>
      </c>
      <c r="F847" s="2">
        <v>249824.82</v>
      </c>
    </row>
    <row r="848" spans="1:6" x14ac:dyDescent="0.25">
      <c r="A848" s="1">
        <v>44927</v>
      </c>
      <c r="B848" t="s">
        <v>476</v>
      </c>
      <c r="C848" t="s">
        <v>904</v>
      </c>
      <c r="D848" s="2">
        <v>1264279.8600000001</v>
      </c>
      <c r="E848" s="2">
        <v>44076.49</v>
      </c>
      <c r="F848" s="2">
        <v>37442.07</v>
      </c>
    </row>
    <row r="849" spans="1:6" x14ac:dyDescent="0.25">
      <c r="A849" s="1">
        <v>44927</v>
      </c>
      <c r="B849" t="s">
        <v>23</v>
      </c>
      <c r="C849" t="s">
        <v>905</v>
      </c>
      <c r="D849" s="2">
        <v>730073.21</v>
      </c>
      <c r="E849" s="2">
        <v>178104.36</v>
      </c>
      <c r="F849" s="2">
        <v>178104.36</v>
      </c>
    </row>
    <row r="850" spans="1:6" x14ac:dyDescent="0.25">
      <c r="A850" s="1">
        <v>44927</v>
      </c>
      <c r="B850" t="s">
        <v>518</v>
      </c>
      <c r="C850" t="s">
        <v>906</v>
      </c>
      <c r="D850">
        <v>0</v>
      </c>
      <c r="E850">
        <v>0</v>
      </c>
      <c r="F850">
        <v>0</v>
      </c>
    </row>
    <row r="851" spans="1:6" x14ac:dyDescent="0.25">
      <c r="A851" s="1">
        <v>44927</v>
      </c>
      <c r="B851" t="s">
        <v>40</v>
      </c>
      <c r="C851" t="s">
        <v>907</v>
      </c>
      <c r="D851" s="2">
        <v>15243.2</v>
      </c>
      <c r="E851">
        <v>0</v>
      </c>
      <c r="F851">
        <v>0</v>
      </c>
    </row>
    <row r="852" spans="1:6" x14ac:dyDescent="0.25">
      <c r="A852" s="1">
        <v>44927</v>
      </c>
      <c r="B852" t="s">
        <v>545</v>
      </c>
      <c r="C852" t="s">
        <v>908</v>
      </c>
      <c r="D852">
        <v>0</v>
      </c>
      <c r="E852">
        <v>0</v>
      </c>
      <c r="F852">
        <v>0</v>
      </c>
    </row>
    <row r="853" spans="1:6" x14ac:dyDescent="0.25">
      <c r="A853" s="1">
        <v>44927</v>
      </c>
      <c r="B853" t="s">
        <v>92</v>
      </c>
      <c r="C853" t="s">
        <v>909</v>
      </c>
      <c r="D853" s="2">
        <v>48540646.030000001</v>
      </c>
      <c r="E853" s="2">
        <v>39679498.979999997</v>
      </c>
      <c r="F853" s="2">
        <v>37829568.399999999</v>
      </c>
    </row>
    <row r="854" spans="1:6" x14ac:dyDescent="0.25">
      <c r="A854" s="1">
        <v>44927</v>
      </c>
      <c r="B854" t="s">
        <v>40</v>
      </c>
      <c r="C854" t="s">
        <v>910</v>
      </c>
      <c r="D854" s="2">
        <v>66972179959.949997</v>
      </c>
      <c r="E854" s="2">
        <v>7416412292.5100002</v>
      </c>
      <c r="F854" s="2">
        <v>1929654223.0599999</v>
      </c>
    </row>
    <row r="855" spans="1:6" x14ac:dyDescent="0.25">
      <c r="A855" s="1">
        <v>44927</v>
      </c>
      <c r="B855" t="s">
        <v>118</v>
      </c>
      <c r="C855" t="s">
        <v>911</v>
      </c>
      <c r="D855">
        <v>0</v>
      </c>
      <c r="E855">
        <v>0</v>
      </c>
      <c r="F855">
        <v>0</v>
      </c>
    </row>
    <row r="856" spans="1:6" x14ac:dyDescent="0.25">
      <c r="A856" s="1">
        <v>44927</v>
      </c>
      <c r="B856" t="s">
        <v>107</v>
      </c>
      <c r="C856" t="s">
        <v>912</v>
      </c>
      <c r="D856" s="2">
        <v>77061822.969999999</v>
      </c>
      <c r="E856" s="2">
        <v>24389008.73</v>
      </c>
      <c r="F856" s="2">
        <v>2273978.7599999998</v>
      </c>
    </row>
    <row r="857" spans="1:6" x14ac:dyDescent="0.25">
      <c r="A857" s="1">
        <v>44927</v>
      </c>
      <c r="B857" t="s">
        <v>114</v>
      </c>
      <c r="C857" t="s">
        <v>913</v>
      </c>
      <c r="D857" s="2">
        <v>30467282.780000001</v>
      </c>
      <c r="E857" s="2">
        <v>8821337.9700000007</v>
      </c>
      <c r="F857" s="2">
        <v>6103861.3300000001</v>
      </c>
    </row>
    <row r="858" spans="1:6" x14ac:dyDescent="0.25">
      <c r="A858" s="1">
        <v>44927</v>
      </c>
      <c r="B858" t="s">
        <v>648</v>
      </c>
      <c r="C858" t="s">
        <v>914</v>
      </c>
      <c r="D858" s="2">
        <v>73036497.700000003</v>
      </c>
      <c r="E858" s="2">
        <v>23074633.48</v>
      </c>
      <c r="F858" s="2">
        <v>19522606.530000001</v>
      </c>
    </row>
    <row r="859" spans="1:6" x14ac:dyDescent="0.25">
      <c r="A859" s="1">
        <v>44927</v>
      </c>
      <c r="B859" t="s">
        <v>23</v>
      </c>
      <c r="C859" t="s">
        <v>915</v>
      </c>
      <c r="D859" s="2">
        <v>16809168.489999998</v>
      </c>
      <c r="E859" s="2">
        <v>1599387.25</v>
      </c>
      <c r="F859" s="2">
        <v>1350983.48</v>
      </c>
    </row>
    <row r="860" spans="1:6" x14ac:dyDescent="0.25">
      <c r="A860" s="1">
        <v>44927</v>
      </c>
      <c r="B860" t="s">
        <v>40</v>
      </c>
      <c r="C860" t="s">
        <v>692</v>
      </c>
      <c r="D860">
        <v>0</v>
      </c>
      <c r="E860">
        <v>0</v>
      </c>
      <c r="F860">
        <v>0</v>
      </c>
    </row>
    <row r="861" spans="1:6" x14ac:dyDescent="0.25">
      <c r="A861" s="1">
        <v>44927</v>
      </c>
      <c r="B861" t="s">
        <v>40</v>
      </c>
      <c r="C861" t="s">
        <v>95</v>
      </c>
      <c r="D861" s="2">
        <v>779005410.83000004</v>
      </c>
      <c r="E861" s="2">
        <v>70105171.760000005</v>
      </c>
      <c r="F861" s="2">
        <v>42877720.240000002</v>
      </c>
    </row>
    <row r="862" spans="1:6" x14ac:dyDescent="0.25">
      <c r="A862" s="1">
        <v>44927</v>
      </c>
      <c r="B862" t="s">
        <v>40</v>
      </c>
      <c r="C862" t="s">
        <v>749</v>
      </c>
      <c r="D862" s="2">
        <v>12245209077.33</v>
      </c>
      <c r="E862" s="2">
        <v>1147766485.3900001</v>
      </c>
      <c r="F862" s="2">
        <v>1124603092.79</v>
      </c>
    </row>
    <row r="863" spans="1:6" x14ac:dyDescent="0.25">
      <c r="A863" s="1">
        <v>44927</v>
      </c>
      <c r="B863" t="s">
        <v>23</v>
      </c>
      <c r="C863" t="s">
        <v>916</v>
      </c>
      <c r="D863" s="2">
        <v>141597582.87</v>
      </c>
      <c r="E863" s="2">
        <v>50795133.939999998</v>
      </c>
      <c r="F863" s="2">
        <v>16577706</v>
      </c>
    </row>
    <row r="864" spans="1:6" x14ac:dyDescent="0.25">
      <c r="A864" s="1">
        <v>44927</v>
      </c>
      <c r="B864" t="s">
        <v>40</v>
      </c>
      <c r="C864" t="s">
        <v>177</v>
      </c>
      <c r="D864" s="2">
        <v>1641380740.6700001</v>
      </c>
      <c r="E864" s="2">
        <v>179408614.08000001</v>
      </c>
      <c r="F864" s="2">
        <v>25833420.260000002</v>
      </c>
    </row>
    <row r="865" spans="1:6" x14ac:dyDescent="0.25">
      <c r="A865" s="1">
        <v>44927</v>
      </c>
      <c r="B865" t="s">
        <v>619</v>
      </c>
      <c r="C865" t="s">
        <v>917</v>
      </c>
      <c r="D865" s="2">
        <v>2181033.91</v>
      </c>
      <c r="E865" s="2">
        <v>419385.52</v>
      </c>
      <c r="F865" s="2">
        <v>314399.82</v>
      </c>
    </row>
    <row r="866" spans="1:6" x14ac:dyDescent="0.25">
      <c r="A866" s="1">
        <v>44927</v>
      </c>
      <c r="B866" t="s">
        <v>726</v>
      </c>
      <c r="C866" t="s">
        <v>918</v>
      </c>
      <c r="D866" s="2">
        <v>70428.36</v>
      </c>
      <c r="E866">
        <v>220</v>
      </c>
      <c r="F866">
        <v>220</v>
      </c>
    </row>
    <row r="867" spans="1:6" x14ac:dyDescent="0.25">
      <c r="A867" s="1">
        <v>44927</v>
      </c>
      <c r="B867" t="s">
        <v>40</v>
      </c>
      <c r="C867" t="s">
        <v>919</v>
      </c>
      <c r="D867" s="2">
        <v>52629761748.660004</v>
      </c>
      <c r="E867" s="2">
        <v>5584809482.4499998</v>
      </c>
      <c r="F867" s="2">
        <v>759903376.29999995</v>
      </c>
    </row>
    <row r="868" spans="1:6" x14ac:dyDescent="0.25">
      <c r="A868" s="1">
        <v>44927</v>
      </c>
      <c r="B868" t="s">
        <v>422</v>
      </c>
      <c r="C868" t="s">
        <v>920</v>
      </c>
      <c r="D868" s="2">
        <v>11964.52</v>
      </c>
      <c r="E868" s="2">
        <v>11964.52</v>
      </c>
      <c r="F868" s="2">
        <v>11964.52</v>
      </c>
    </row>
    <row r="869" spans="1:6" x14ac:dyDescent="0.25">
      <c r="A869" s="1">
        <v>44927</v>
      </c>
      <c r="B869" t="s">
        <v>107</v>
      </c>
      <c r="C869" t="s">
        <v>921</v>
      </c>
      <c r="D869" s="2">
        <v>68466193.480000004</v>
      </c>
      <c r="E869" s="2">
        <v>65420784.810000002</v>
      </c>
      <c r="F869" s="2">
        <v>788257.76</v>
      </c>
    </row>
    <row r="870" spans="1:6" x14ac:dyDescent="0.25">
      <c r="A870" s="1">
        <v>44927</v>
      </c>
      <c r="B870" t="s">
        <v>105</v>
      </c>
      <c r="C870" t="s">
        <v>922</v>
      </c>
      <c r="D870">
        <v>0</v>
      </c>
      <c r="E870">
        <v>0</v>
      </c>
      <c r="F870">
        <v>0</v>
      </c>
    </row>
    <row r="871" spans="1:6" x14ac:dyDescent="0.25">
      <c r="A871" s="1">
        <v>44927</v>
      </c>
      <c r="B871" t="s">
        <v>23</v>
      </c>
      <c r="C871" t="s">
        <v>56</v>
      </c>
      <c r="D871" s="2">
        <v>8715954.3499999996</v>
      </c>
      <c r="E871" s="2">
        <v>6470.78</v>
      </c>
      <c r="F871" s="2">
        <v>1343.55</v>
      </c>
    </row>
    <row r="872" spans="1:6" x14ac:dyDescent="0.25">
      <c r="A872" s="1">
        <v>44927</v>
      </c>
      <c r="B872" t="s">
        <v>40</v>
      </c>
      <c r="C872" t="s">
        <v>923</v>
      </c>
      <c r="D872" s="2">
        <v>2526576.11</v>
      </c>
      <c r="E872" s="2">
        <v>10762.77</v>
      </c>
      <c r="F872">
        <v>28.13</v>
      </c>
    </row>
    <row r="873" spans="1:6" x14ac:dyDescent="0.25">
      <c r="A873" s="1">
        <v>44927</v>
      </c>
      <c r="B873" t="s">
        <v>40</v>
      </c>
      <c r="C873" t="s">
        <v>78</v>
      </c>
      <c r="D873" s="2">
        <v>3272157.49</v>
      </c>
      <c r="E873" s="2">
        <v>297646.7</v>
      </c>
      <c r="F873" s="2">
        <v>81407.56</v>
      </c>
    </row>
    <row r="874" spans="1:6" x14ac:dyDescent="0.25">
      <c r="A874" s="1">
        <v>44927</v>
      </c>
      <c r="B874" t="s">
        <v>40</v>
      </c>
      <c r="C874" t="s">
        <v>924</v>
      </c>
      <c r="D874" s="2">
        <v>4729798957.04</v>
      </c>
      <c r="E874" s="2">
        <v>539529380.58000004</v>
      </c>
      <c r="F874" s="2">
        <v>101372056.44</v>
      </c>
    </row>
    <row r="875" spans="1:6" x14ac:dyDescent="0.25">
      <c r="A875" s="1">
        <v>44927</v>
      </c>
      <c r="B875" t="s">
        <v>216</v>
      </c>
      <c r="C875" t="s">
        <v>468</v>
      </c>
      <c r="D875" s="2">
        <v>131538899.98999999</v>
      </c>
      <c r="E875" s="2">
        <v>20275109.09</v>
      </c>
      <c r="F875" s="2">
        <v>7312072.2800000003</v>
      </c>
    </row>
    <row r="876" spans="1:6" x14ac:dyDescent="0.25">
      <c r="A876" s="1">
        <v>44927</v>
      </c>
      <c r="B876" t="s">
        <v>31</v>
      </c>
      <c r="C876" t="s">
        <v>925</v>
      </c>
      <c r="D876" s="2">
        <v>802000</v>
      </c>
      <c r="E876">
        <v>0</v>
      </c>
      <c r="F876">
        <v>0</v>
      </c>
    </row>
    <row r="877" spans="1:6" x14ac:dyDescent="0.25">
      <c r="A877" s="1">
        <v>44927</v>
      </c>
      <c r="B877" t="s">
        <v>107</v>
      </c>
      <c r="C877" t="s">
        <v>926</v>
      </c>
      <c r="D877" s="2">
        <v>12029813.82</v>
      </c>
      <c r="E877" s="2">
        <v>3501087.59</v>
      </c>
      <c r="F877" s="2">
        <v>404457.67</v>
      </c>
    </row>
    <row r="878" spans="1:6" x14ac:dyDescent="0.25">
      <c r="A878" s="1">
        <v>44958</v>
      </c>
      <c r="B878" t="s">
        <v>120</v>
      </c>
      <c r="C878" t="s">
        <v>927</v>
      </c>
      <c r="D878">
        <v>0</v>
      </c>
      <c r="E878">
        <v>0</v>
      </c>
      <c r="F878">
        <v>0</v>
      </c>
    </row>
    <row r="879" spans="1:6" x14ac:dyDescent="0.25">
      <c r="A879" s="1">
        <v>44958</v>
      </c>
      <c r="B879" t="s">
        <v>55</v>
      </c>
      <c r="C879" t="s">
        <v>708</v>
      </c>
      <c r="D879">
        <v>0</v>
      </c>
      <c r="E879">
        <v>0</v>
      </c>
      <c r="F879">
        <v>0</v>
      </c>
    </row>
    <row r="880" spans="1:6" x14ac:dyDescent="0.25">
      <c r="A880" s="1">
        <v>44958</v>
      </c>
      <c r="B880" t="s">
        <v>27</v>
      </c>
      <c r="C880" t="s">
        <v>28</v>
      </c>
      <c r="D880" s="2">
        <v>3301432.97</v>
      </c>
      <c r="E880" s="2">
        <v>3809423.23</v>
      </c>
      <c r="F880" s="2">
        <v>1818300.38</v>
      </c>
    </row>
    <row r="881" spans="1:6" x14ac:dyDescent="0.25">
      <c r="A881" s="1">
        <v>44958</v>
      </c>
      <c r="B881" t="s">
        <v>21</v>
      </c>
      <c r="C881" t="s">
        <v>330</v>
      </c>
      <c r="D881" s="2">
        <v>2427924</v>
      </c>
      <c r="E881">
        <v>0</v>
      </c>
      <c r="F881">
        <v>0</v>
      </c>
    </row>
    <row r="882" spans="1:6" x14ac:dyDescent="0.25">
      <c r="A882" s="1">
        <v>44958</v>
      </c>
      <c r="B882" t="s">
        <v>29</v>
      </c>
      <c r="C882" t="s">
        <v>52</v>
      </c>
      <c r="D882">
        <v>0</v>
      </c>
      <c r="E882">
        <v>0</v>
      </c>
      <c r="F882">
        <v>0</v>
      </c>
    </row>
    <row r="883" spans="1:6" x14ac:dyDescent="0.25">
      <c r="A883" s="1">
        <v>44958</v>
      </c>
      <c r="B883" t="s">
        <v>159</v>
      </c>
      <c r="C883" t="s">
        <v>928</v>
      </c>
      <c r="D883">
        <v>0</v>
      </c>
      <c r="E883">
        <v>0</v>
      </c>
      <c r="F883">
        <v>0</v>
      </c>
    </row>
    <row r="884" spans="1:6" x14ac:dyDescent="0.25">
      <c r="A884" s="1">
        <v>44958</v>
      </c>
      <c r="B884" t="s">
        <v>929</v>
      </c>
      <c r="C884" t="s">
        <v>678</v>
      </c>
      <c r="D884">
        <v>0</v>
      </c>
      <c r="E884">
        <v>0</v>
      </c>
      <c r="F884">
        <v>0</v>
      </c>
    </row>
    <row r="885" spans="1:6" x14ac:dyDescent="0.25">
      <c r="A885" s="1">
        <v>44958</v>
      </c>
      <c r="B885" t="s">
        <v>81</v>
      </c>
      <c r="C885" t="s">
        <v>358</v>
      </c>
      <c r="D885">
        <v>0</v>
      </c>
      <c r="E885">
        <v>0</v>
      </c>
      <c r="F885">
        <v>0</v>
      </c>
    </row>
    <row r="886" spans="1:6" x14ac:dyDescent="0.25">
      <c r="A886" s="1">
        <v>44958</v>
      </c>
      <c r="B886" t="s">
        <v>282</v>
      </c>
      <c r="C886" t="s">
        <v>283</v>
      </c>
      <c r="D886">
        <v>0</v>
      </c>
      <c r="E886">
        <v>0</v>
      </c>
      <c r="F886">
        <v>0</v>
      </c>
    </row>
    <row r="887" spans="1:6" x14ac:dyDescent="0.25">
      <c r="A887" s="1">
        <v>44958</v>
      </c>
      <c r="B887" t="s">
        <v>42</v>
      </c>
      <c r="C887" t="s">
        <v>166</v>
      </c>
      <c r="D887">
        <v>0</v>
      </c>
      <c r="E887">
        <v>0</v>
      </c>
      <c r="F887">
        <v>0</v>
      </c>
    </row>
    <row r="888" spans="1:6" x14ac:dyDescent="0.25">
      <c r="A888" s="1">
        <v>44958</v>
      </c>
      <c r="B888" t="s">
        <v>17</v>
      </c>
      <c r="C888" t="s">
        <v>930</v>
      </c>
      <c r="D888">
        <v>0</v>
      </c>
      <c r="E888">
        <v>0</v>
      </c>
      <c r="F888">
        <v>0</v>
      </c>
    </row>
    <row r="889" spans="1:6" x14ac:dyDescent="0.25">
      <c r="A889" s="1">
        <v>44958</v>
      </c>
      <c r="B889" t="s">
        <v>40</v>
      </c>
      <c r="C889" t="s">
        <v>931</v>
      </c>
      <c r="D889" s="2">
        <v>2071514.69</v>
      </c>
      <c r="E889" s="2">
        <v>162659.18</v>
      </c>
      <c r="F889" s="2">
        <v>157867.64000000001</v>
      </c>
    </row>
    <row r="890" spans="1:6" x14ac:dyDescent="0.25">
      <c r="A890" s="1">
        <v>44958</v>
      </c>
      <c r="B890" t="s">
        <v>40</v>
      </c>
      <c r="C890" t="s">
        <v>148</v>
      </c>
      <c r="D890" s="2">
        <v>2534000</v>
      </c>
      <c r="E890" s="2">
        <v>1004071.13</v>
      </c>
      <c r="F890" s="2">
        <v>968928.65</v>
      </c>
    </row>
    <row r="891" spans="1:6" x14ac:dyDescent="0.25">
      <c r="A891" s="1">
        <v>44958</v>
      </c>
      <c r="B891" t="s">
        <v>344</v>
      </c>
      <c r="C891" t="s">
        <v>568</v>
      </c>
      <c r="D891">
        <v>1.01</v>
      </c>
      <c r="E891">
        <v>0</v>
      </c>
      <c r="F891">
        <v>0</v>
      </c>
    </row>
    <row r="892" spans="1:6" x14ac:dyDescent="0.25">
      <c r="A892" s="1">
        <v>44958</v>
      </c>
      <c r="B892" t="s">
        <v>154</v>
      </c>
      <c r="C892" t="s">
        <v>467</v>
      </c>
      <c r="D892">
        <v>0</v>
      </c>
      <c r="E892">
        <v>0</v>
      </c>
      <c r="F892">
        <v>0</v>
      </c>
    </row>
    <row r="893" spans="1:6" x14ac:dyDescent="0.25">
      <c r="A893" s="1">
        <v>44958</v>
      </c>
      <c r="B893" t="s">
        <v>37</v>
      </c>
      <c r="C893" t="s">
        <v>38</v>
      </c>
      <c r="D893">
        <v>0</v>
      </c>
      <c r="E893" s="2">
        <v>188717122.47</v>
      </c>
      <c r="F893" s="2">
        <v>188717122.47</v>
      </c>
    </row>
    <row r="894" spans="1:6" x14ac:dyDescent="0.25">
      <c r="A894" s="1">
        <v>44958</v>
      </c>
      <c r="B894" t="s">
        <v>40</v>
      </c>
      <c r="C894" t="s">
        <v>873</v>
      </c>
      <c r="D894">
        <v>0</v>
      </c>
      <c r="E894" s="2">
        <v>2103286601.0799999</v>
      </c>
      <c r="F894" s="2">
        <v>2103286601.0799999</v>
      </c>
    </row>
    <row r="895" spans="1:6" x14ac:dyDescent="0.25">
      <c r="A895" s="1">
        <v>44958</v>
      </c>
      <c r="B895" t="s">
        <v>105</v>
      </c>
      <c r="C895" t="s">
        <v>310</v>
      </c>
      <c r="D895">
        <v>0</v>
      </c>
      <c r="E895">
        <v>0</v>
      </c>
      <c r="F895">
        <v>0</v>
      </c>
    </row>
    <row r="896" spans="1:6" x14ac:dyDescent="0.25">
      <c r="A896" s="1">
        <v>44958</v>
      </c>
      <c r="B896" t="s">
        <v>740</v>
      </c>
      <c r="C896" t="s">
        <v>741</v>
      </c>
      <c r="D896">
        <v>0</v>
      </c>
      <c r="E896">
        <v>0</v>
      </c>
      <c r="F896">
        <v>0</v>
      </c>
    </row>
    <row r="897" spans="1:6" x14ac:dyDescent="0.25">
      <c r="A897" s="1">
        <v>44958</v>
      </c>
      <c r="B897" t="s">
        <v>11</v>
      </c>
      <c r="C897" t="s">
        <v>231</v>
      </c>
      <c r="D897" s="2">
        <v>5304389595.1899996</v>
      </c>
      <c r="E897" s="2">
        <v>5304389595.1899996</v>
      </c>
      <c r="F897" s="2">
        <v>5304389595.1899996</v>
      </c>
    </row>
    <row r="898" spans="1:6" x14ac:dyDescent="0.25">
      <c r="A898" s="1">
        <v>44958</v>
      </c>
      <c r="B898" t="s">
        <v>932</v>
      </c>
      <c r="C898" t="s">
        <v>685</v>
      </c>
      <c r="D898">
        <v>0</v>
      </c>
      <c r="E898">
        <v>0</v>
      </c>
      <c r="F898">
        <v>0</v>
      </c>
    </row>
    <row r="899" spans="1:6" x14ac:dyDescent="0.25">
      <c r="A899" s="1">
        <v>44958</v>
      </c>
      <c r="B899" t="s">
        <v>35</v>
      </c>
      <c r="C899" t="s">
        <v>36</v>
      </c>
      <c r="D899">
        <v>0</v>
      </c>
      <c r="E899">
        <v>0</v>
      </c>
      <c r="F899">
        <v>0</v>
      </c>
    </row>
    <row r="900" spans="1:6" x14ac:dyDescent="0.25">
      <c r="A900" s="1">
        <v>44958</v>
      </c>
      <c r="B900" t="s">
        <v>933</v>
      </c>
      <c r="C900" t="s">
        <v>934</v>
      </c>
      <c r="D900">
        <v>0</v>
      </c>
      <c r="E900">
        <v>0</v>
      </c>
      <c r="F900">
        <v>0</v>
      </c>
    </row>
    <row r="901" spans="1:6" x14ac:dyDescent="0.25">
      <c r="A901" s="1">
        <v>44958</v>
      </c>
      <c r="B901" t="s">
        <v>23</v>
      </c>
      <c r="C901" t="s">
        <v>554</v>
      </c>
      <c r="D901">
        <v>0</v>
      </c>
      <c r="E901">
        <v>0</v>
      </c>
      <c r="F901">
        <v>0</v>
      </c>
    </row>
    <row r="902" spans="1:6" x14ac:dyDescent="0.25">
      <c r="A902" s="1">
        <v>44958</v>
      </c>
      <c r="B902" t="s">
        <v>460</v>
      </c>
      <c r="C902" t="s">
        <v>856</v>
      </c>
      <c r="D902" s="2">
        <v>6331690.0599999996</v>
      </c>
      <c r="E902" s="2">
        <v>3021895.81</v>
      </c>
      <c r="F902" s="2">
        <v>2633087.92</v>
      </c>
    </row>
    <row r="903" spans="1:6" x14ac:dyDescent="0.25">
      <c r="A903" s="1">
        <v>44958</v>
      </c>
      <c r="B903" t="s">
        <v>29</v>
      </c>
      <c r="C903" t="s">
        <v>30</v>
      </c>
      <c r="D903">
        <v>0</v>
      </c>
      <c r="E903">
        <v>0</v>
      </c>
      <c r="F903">
        <v>0</v>
      </c>
    </row>
    <row r="904" spans="1:6" x14ac:dyDescent="0.25">
      <c r="A904" s="1">
        <v>44958</v>
      </c>
      <c r="B904" t="s">
        <v>196</v>
      </c>
      <c r="C904" t="s">
        <v>880</v>
      </c>
      <c r="D904">
        <v>0</v>
      </c>
      <c r="E904">
        <v>0</v>
      </c>
      <c r="F904">
        <v>0</v>
      </c>
    </row>
    <row r="905" spans="1:6" x14ac:dyDescent="0.25">
      <c r="A905" s="1">
        <v>44958</v>
      </c>
      <c r="B905" t="s">
        <v>40</v>
      </c>
      <c r="C905" t="s">
        <v>859</v>
      </c>
      <c r="D905">
        <v>0</v>
      </c>
      <c r="E905">
        <v>0</v>
      </c>
      <c r="F905">
        <v>0</v>
      </c>
    </row>
    <row r="906" spans="1:6" x14ac:dyDescent="0.25">
      <c r="A906" s="1">
        <v>44958</v>
      </c>
      <c r="B906" t="s">
        <v>103</v>
      </c>
      <c r="C906" t="s">
        <v>453</v>
      </c>
      <c r="D906">
        <v>0</v>
      </c>
      <c r="E906">
        <v>0</v>
      </c>
      <c r="F906">
        <v>0</v>
      </c>
    </row>
    <row r="907" spans="1:6" x14ac:dyDescent="0.25">
      <c r="A907" s="1">
        <v>44958</v>
      </c>
      <c r="B907" t="s">
        <v>162</v>
      </c>
      <c r="C907" t="s">
        <v>163</v>
      </c>
      <c r="D907">
        <v>0</v>
      </c>
      <c r="E907">
        <v>0</v>
      </c>
      <c r="F907">
        <v>0</v>
      </c>
    </row>
    <row r="908" spans="1:6" x14ac:dyDescent="0.25">
      <c r="A908" s="1">
        <v>44958</v>
      </c>
      <c r="B908" t="s">
        <v>17</v>
      </c>
      <c r="C908" t="s">
        <v>877</v>
      </c>
      <c r="D908" s="2">
        <v>295488.71999999997</v>
      </c>
      <c r="E908" s="2">
        <v>295488.71999999997</v>
      </c>
      <c r="F908" s="2">
        <v>295488.71999999997</v>
      </c>
    </row>
    <row r="909" spans="1:6" x14ac:dyDescent="0.25">
      <c r="A909" s="1">
        <v>44958</v>
      </c>
      <c r="B909" t="s">
        <v>17</v>
      </c>
      <c r="C909" t="s">
        <v>935</v>
      </c>
      <c r="D909">
        <v>0</v>
      </c>
      <c r="E909">
        <v>0</v>
      </c>
      <c r="F909">
        <v>0</v>
      </c>
    </row>
    <row r="910" spans="1:6" x14ac:dyDescent="0.25">
      <c r="A910" s="1">
        <v>44958</v>
      </c>
      <c r="B910" t="s">
        <v>44</v>
      </c>
      <c r="C910" t="s">
        <v>240</v>
      </c>
      <c r="D910" s="2">
        <v>62924.480000000003</v>
      </c>
      <c r="E910" s="2">
        <v>971953.79</v>
      </c>
      <c r="F910" s="2">
        <v>73682.27</v>
      </c>
    </row>
    <row r="911" spans="1:6" x14ac:dyDescent="0.25">
      <c r="A911" s="1">
        <v>44958</v>
      </c>
      <c r="B911" t="s">
        <v>518</v>
      </c>
      <c r="C911" t="s">
        <v>936</v>
      </c>
      <c r="D911">
        <v>0</v>
      </c>
      <c r="E911">
        <v>0</v>
      </c>
      <c r="F911">
        <v>0</v>
      </c>
    </row>
    <row r="912" spans="1:6" x14ac:dyDescent="0.25">
      <c r="A912" s="1">
        <v>44958</v>
      </c>
      <c r="B912" t="s">
        <v>118</v>
      </c>
      <c r="C912" t="s">
        <v>911</v>
      </c>
      <c r="D912">
        <v>0</v>
      </c>
      <c r="E912">
        <v>0</v>
      </c>
      <c r="F912">
        <v>0</v>
      </c>
    </row>
    <row r="913" spans="1:6" x14ac:dyDescent="0.25">
      <c r="A913" s="1">
        <v>44958</v>
      </c>
      <c r="B913" t="s">
        <v>234</v>
      </c>
      <c r="C913" t="s">
        <v>235</v>
      </c>
      <c r="D913" s="2">
        <v>30893.22</v>
      </c>
      <c r="E913" s="2">
        <v>11183.78</v>
      </c>
      <c r="F913" s="2">
        <v>24434.880000000001</v>
      </c>
    </row>
    <row r="914" spans="1:6" x14ac:dyDescent="0.25">
      <c r="A914" s="1">
        <v>44958</v>
      </c>
      <c r="B914" t="s">
        <v>21</v>
      </c>
      <c r="C914" t="s">
        <v>937</v>
      </c>
      <c r="D914">
        <v>0</v>
      </c>
      <c r="E914">
        <v>0</v>
      </c>
      <c r="F914">
        <v>0</v>
      </c>
    </row>
    <row r="915" spans="1:6" x14ac:dyDescent="0.25">
      <c r="A915" s="1">
        <v>44958</v>
      </c>
      <c r="B915" t="s">
        <v>90</v>
      </c>
      <c r="C915" t="s">
        <v>244</v>
      </c>
      <c r="D915">
        <v>0</v>
      </c>
      <c r="E915">
        <v>0</v>
      </c>
      <c r="F915">
        <v>0</v>
      </c>
    </row>
    <row r="916" spans="1:6" x14ac:dyDescent="0.25">
      <c r="A916" s="1">
        <v>44958</v>
      </c>
      <c r="B916" t="s">
        <v>21</v>
      </c>
      <c r="C916" t="s">
        <v>595</v>
      </c>
      <c r="D916">
        <v>0</v>
      </c>
      <c r="E916">
        <v>0</v>
      </c>
      <c r="F916">
        <v>0</v>
      </c>
    </row>
    <row r="917" spans="1:6" x14ac:dyDescent="0.25">
      <c r="A917" s="1">
        <v>44958</v>
      </c>
      <c r="B917" t="s">
        <v>185</v>
      </c>
      <c r="C917" t="s">
        <v>186</v>
      </c>
      <c r="D917" s="2">
        <v>167122655.52000001</v>
      </c>
      <c r="E917" s="2">
        <v>35142.800000000003</v>
      </c>
      <c r="F917" s="2">
        <v>35142.800000000003</v>
      </c>
    </row>
    <row r="918" spans="1:6" x14ac:dyDescent="0.25">
      <c r="A918" s="1">
        <v>44958</v>
      </c>
      <c r="B918" t="s">
        <v>50</v>
      </c>
      <c r="C918" t="s">
        <v>938</v>
      </c>
      <c r="D918">
        <v>0</v>
      </c>
      <c r="E918">
        <v>0</v>
      </c>
      <c r="F918">
        <v>0</v>
      </c>
    </row>
    <row r="919" spans="1:6" x14ac:dyDescent="0.25">
      <c r="A919" s="1">
        <v>44958</v>
      </c>
      <c r="B919" t="s">
        <v>53</v>
      </c>
      <c r="C919" t="s">
        <v>739</v>
      </c>
      <c r="D919">
        <v>0</v>
      </c>
      <c r="E919" s="2">
        <v>234237990.28999999</v>
      </c>
      <c r="F919" s="2">
        <v>234237990.28999999</v>
      </c>
    </row>
    <row r="920" spans="1:6" x14ac:dyDescent="0.25">
      <c r="A920" s="1">
        <v>44958</v>
      </c>
      <c r="B920" t="s">
        <v>263</v>
      </c>
      <c r="C920" t="s">
        <v>741</v>
      </c>
      <c r="D920" s="2">
        <v>49132.98</v>
      </c>
      <c r="E920">
        <v>0</v>
      </c>
      <c r="F920">
        <v>0</v>
      </c>
    </row>
    <row r="921" spans="1:6" x14ac:dyDescent="0.25">
      <c r="A921" s="1">
        <v>44958</v>
      </c>
      <c r="B921" t="s">
        <v>11</v>
      </c>
      <c r="C921" t="s">
        <v>391</v>
      </c>
      <c r="D921">
        <v>0</v>
      </c>
      <c r="E921" s="2">
        <v>28982392.550000001</v>
      </c>
      <c r="F921" s="2">
        <v>28982392.550000001</v>
      </c>
    </row>
    <row r="922" spans="1:6" x14ac:dyDescent="0.25">
      <c r="A922" s="1">
        <v>44958</v>
      </c>
      <c r="B922" t="s">
        <v>21</v>
      </c>
      <c r="C922" t="s">
        <v>939</v>
      </c>
      <c r="D922" s="2">
        <v>6380356</v>
      </c>
      <c r="E922">
        <v>0</v>
      </c>
      <c r="F922">
        <v>0</v>
      </c>
    </row>
    <row r="923" spans="1:6" x14ac:dyDescent="0.25">
      <c r="A923" s="1">
        <v>44958</v>
      </c>
      <c r="B923" t="s">
        <v>17</v>
      </c>
      <c r="C923" t="s">
        <v>477</v>
      </c>
      <c r="D923">
        <v>0</v>
      </c>
      <c r="E923">
        <v>0</v>
      </c>
      <c r="F923">
        <v>0</v>
      </c>
    </row>
    <row r="924" spans="1:6" x14ac:dyDescent="0.25">
      <c r="A924" s="1">
        <v>44958</v>
      </c>
      <c r="B924" t="s">
        <v>96</v>
      </c>
      <c r="C924" t="s">
        <v>320</v>
      </c>
      <c r="D924">
        <v>0</v>
      </c>
      <c r="E924">
        <v>0</v>
      </c>
      <c r="F924">
        <v>0</v>
      </c>
    </row>
    <row r="925" spans="1:6" x14ac:dyDescent="0.25">
      <c r="A925" s="1">
        <v>44958</v>
      </c>
      <c r="B925" t="s">
        <v>118</v>
      </c>
      <c r="C925" t="s">
        <v>940</v>
      </c>
      <c r="D925">
        <v>0</v>
      </c>
      <c r="E925">
        <v>0</v>
      </c>
      <c r="F925">
        <v>0</v>
      </c>
    </row>
    <row r="926" spans="1:6" x14ac:dyDescent="0.25">
      <c r="A926" s="1">
        <v>44958</v>
      </c>
      <c r="B926" t="s">
        <v>42</v>
      </c>
      <c r="C926" t="s">
        <v>893</v>
      </c>
      <c r="D926" s="2">
        <v>282205000</v>
      </c>
      <c r="E926">
        <v>0</v>
      </c>
      <c r="F926">
        <v>0</v>
      </c>
    </row>
    <row r="927" spans="1:6" x14ac:dyDescent="0.25">
      <c r="A927" s="1">
        <v>44958</v>
      </c>
      <c r="B927" t="s">
        <v>278</v>
      </c>
      <c r="C927" t="s">
        <v>572</v>
      </c>
      <c r="D927">
        <v>0</v>
      </c>
      <c r="E927">
        <v>0</v>
      </c>
      <c r="F927">
        <v>0</v>
      </c>
    </row>
    <row r="928" spans="1:6" x14ac:dyDescent="0.25">
      <c r="A928" s="1">
        <v>44958</v>
      </c>
      <c r="B928" t="s">
        <v>143</v>
      </c>
      <c r="C928" t="s">
        <v>507</v>
      </c>
      <c r="D928" s="2">
        <v>651007812</v>
      </c>
      <c r="E928" s="2">
        <v>651007812</v>
      </c>
      <c r="F928" s="2">
        <v>651007812</v>
      </c>
    </row>
    <row r="929" spans="1:6" x14ac:dyDescent="0.25">
      <c r="A929" s="1">
        <v>44958</v>
      </c>
      <c r="B929" t="s">
        <v>21</v>
      </c>
      <c r="C929" t="s">
        <v>276</v>
      </c>
      <c r="D929" s="2">
        <v>3571733.2</v>
      </c>
      <c r="E929">
        <v>0</v>
      </c>
      <c r="F929">
        <v>0</v>
      </c>
    </row>
    <row r="930" spans="1:6" x14ac:dyDescent="0.25">
      <c r="A930" s="1">
        <v>44958</v>
      </c>
      <c r="B930" t="s">
        <v>196</v>
      </c>
      <c r="C930" t="s">
        <v>781</v>
      </c>
      <c r="D930">
        <v>0</v>
      </c>
      <c r="E930">
        <v>0</v>
      </c>
      <c r="F930">
        <v>0</v>
      </c>
    </row>
    <row r="931" spans="1:6" x14ac:dyDescent="0.25">
      <c r="A931" s="1">
        <v>44958</v>
      </c>
      <c r="B931" t="s">
        <v>114</v>
      </c>
      <c r="C931" t="s">
        <v>758</v>
      </c>
      <c r="D931" s="2">
        <v>756200</v>
      </c>
      <c r="E931" s="2">
        <v>52600</v>
      </c>
      <c r="F931" s="2">
        <v>52600</v>
      </c>
    </row>
    <row r="932" spans="1:6" x14ac:dyDescent="0.25">
      <c r="A932" s="1">
        <v>44958</v>
      </c>
      <c r="B932" t="s">
        <v>44</v>
      </c>
      <c r="C932" t="s">
        <v>386</v>
      </c>
      <c r="D932" s="2">
        <v>-147222</v>
      </c>
      <c r="E932">
        <v>0</v>
      </c>
      <c r="F932">
        <v>0</v>
      </c>
    </row>
    <row r="933" spans="1:6" x14ac:dyDescent="0.25">
      <c r="A933" s="1">
        <v>44958</v>
      </c>
      <c r="B933" t="s">
        <v>17</v>
      </c>
      <c r="C933" t="s">
        <v>432</v>
      </c>
      <c r="D933" s="2">
        <v>12369677</v>
      </c>
      <c r="E933" s="2">
        <v>12312677</v>
      </c>
      <c r="F933" s="2">
        <v>4420749.76</v>
      </c>
    </row>
    <row r="934" spans="1:6" x14ac:dyDescent="0.25">
      <c r="A934" s="1">
        <v>44958</v>
      </c>
      <c r="B934" t="s">
        <v>21</v>
      </c>
      <c r="C934" t="s">
        <v>941</v>
      </c>
      <c r="D934" s="2">
        <v>4742920</v>
      </c>
      <c r="E934">
        <v>0</v>
      </c>
      <c r="F934">
        <v>0</v>
      </c>
    </row>
    <row r="935" spans="1:6" x14ac:dyDescent="0.25">
      <c r="A935" s="1">
        <v>44958</v>
      </c>
      <c r="B935" t="s">
        <v>37</v>
      </c>
      <c r="C935" t="s">
        <v>349</v>
      </c>
      <c r="D935" s="2">
        <v>256000</v>
      </c>
      <c r="E935" s="2">
        <v>2064876.94</v>
      </c>
      <c r="F935" s="2">
        <v>2064876.94</v>
      </c>
    </row>
    <row r="936" spans="1:6" x14ac:dyDescent="0.25">
      <c r="A936" s="1">
        <v>44958</v>
      </c>
      <c r="B936" t="s">
        <v>40</v>
      </c>
      <c r="C936" t="s">
        <v>129</v>
      </c>
      <c r="D936">
        <v>0</v>
      </c>
      <c r="E936">
        <v>0</v>
      </c>
      <c r="F936">
        <v>0</v>
      </c>
    </row>
    <row r="937" spans="1:6" x14ac:dyDescent="0.25">
      <c r="A937" s="1">
        <v>44958</v>
      </c>
      <c r="B937" t="s">
        <v>23</v>
      </c>
      <c r="C937" t="s">
        <v>117</v>
      </c>
      <c r="D937" s="2">
        <v>219344</v>
      </c>
      <c r="E937" s="2">
        <v>9435.94</v>
      </c>
      <c r="F937" s="2">
        <v>2348.14</v>
      </c>
    </row>
    <row r="938" spans="1:6" x14ac:dyDescent="0.25">
      <c r="A938" s="1">
        <v>44958</v>
      </c>
      <c r="B938" t="s">
        <v>103</v>
      </c>
      <c r="C938" t="s">
        <v>104</v>
      </c>
      <c r="D938" s="2">
        <v>-91385000</v>
      </c>
      <c r="E938" s="2">
        <v>120000000</v>
      </c>
      <c r="F938" s="2">
        <v>120000000</v>
      </c>
    </row>
    <row r="939" spans="1:6" x14ac:dyDescent="0.25">
      <c r="A939" s="1">
        <v>44958</v>
      </c>
      <c r="B939" t="s">
        <v>21</v>
      </c>
      <c r="C939" t="s">
        <v>942</v>
      </c>
      <c r="D939" s="2">
        <v>545787</v>
      </c>
      <c r="E939">
        <v>0</v>
      </c>
      <c r="F939">
        <v>0</v>
      </c>
    </row>
    <row r="940" spans="1:6" x14ac:dyDescent="0.25">
      <c r="A940" s="1">
        <v>44958</v>
      </c>
      <c r="B940" t="s">
        <v>120</v>
      </c>
      <c r="C940" t="s">
        <v>943</v>
      </c>
      <c r="D940">
        <v>0</v>
      </c>
      <c r="E940">
        <v>0</v>
      </c>
      <c r="F940">
        <v>0</v>
      </c>
    </row>
    <row r="941" spans="1:6" x14ac:dyDescent="0.25">
      <c r="A941" s="1">
        <v>44958</v>
      </c>
      <c r="B941" t="s">
        <v>63</v>
      </c>
      <c r="C941" t="s">
        <v>944</v>
      </c>
      <c r="D941">
        <v>0</v>
      </c>
      <c r="E941">
        <v>0</v>
      </c>
      <c r="F941">
        <v>0</v>
      </c>
    </row>
    <row r="942" spans="1:6" x14ac:dyDescent="0.25">
      <c r="A942" s="1">
        <v>44958</v>
      </c>
      <c r="B942" t="s">
        <v>21</v>
      </c>
      <c r="C942" t="s">
        <v>301</v>
      </c>
      <c r="D942" s="2">
        <v>359261.21</v>
      </c>
      <c r="E942" s="2">
        <v>359261.21</v>
      </c>
      <c r="F942" s="2">
        <v>359261.21</v>
      </c>
    </row>
    <row r="943" spans="1:6" x14ac:dyDescent="0.25">
      <c r="A943" s="1">
        <v>44958</v>
      </c>
      <c r="B943" t="s">
        <v>114</v>
      </c>
      <c r="C943" t="s">
        <v>945</v>
      </c>
      <c r="D943" s="2">
        <v>365553.49</v>
      </c>
      <c r="E943">
        <v>0</v>
      </c>
      <c r="F943">
        <v>0</v>
      </c>
    </row>
    <row r="944" spans="1:6" x14ac:dyDescent="0.25">
      <c r="A944" s="1">
        <v>44958</v>
      </c>
      <c r="B944" t="s">
        <v>21</v>
      </c>
      <c r="C944" t="s">
        <v>516</v>
      </c>
      <c r="D944">
        <v>0</v>
      </c>
      <c r="E944">
        <v>0</v>
      </c>
      <c r="F944">
        <v>0</v>
      </c>
    </row>
    <row r="945" spans="1:6" x14ac:dyDescent="0.25">
      <c r="A945" s="1">
        <v>44958</v>
      </c>
      <c r="B945" t="s">
        <v>422</v>
      </c>
      <c r="C945" t="s">
        <v>423</v>
      </c>
      <c r="D945">
        <v>0</v>
      </c>
      <c r="E945">
        <v>0</v>
      </c>
      <c r="F945">
        <v>0</v>
      </c>
    </row>
    <row r="946" spans="1:6" x14ac:dyDescent="0.25">
      <c r="A946" s="1">
        <v>44958</v>
      </c>
      <c r="B946" t="s">
        <v>40</v>
      </c>
      <c r="C946" t="s">
        <v>541</v>
      </c>
      <c r="D946" s="2">
        <v>16986.599999999999</v>
      </c>
      <c r="E946" s="2">
        <v>216305.04</v>
      </c>
      <c r="F946" s="2">
        <v>216305.04</v>
      </c>
    </row>
    <row r="947" spans="1:6" x14ac:dyDescent="0.25">
      <c r="A947" s="1">
        <v>44958</v>
      </c>
      <c r="B947" t="s">
        <v>81</v>
      </c>
      <c r="C947" t="s">
        <v>167</v>
      </c>
      <c r="D947">
        <v>0</v>
      </c>
      <c r="E947">
        <v>0</v>
      </c>
      <c r="F947">
        <v>0</v>
      </c>
    </row>
    <row r="948" spans="1:6" x14ac:dyDescent="0.25">
      <c r="A948" s="1">
        <v>44958</v>
      </c>
      <c r="B948" t="s">
        <v>154</v>
      </c>
      <c r="C948" t="s">
        <v>946</v>
      </c>
      <c r="D948">
        <v>0</v>
      </c>
      <c r="E948">
        <v>0</v>
      </c>
      <c r="F948">
        <v>0</v>
      </c>
    </row>
    <row r="949" spans="1:6" x14ac:dyDescent="0.25">
      <c r="A949" s="1">
        <v>44958</v>
      </c>
      <c r="B949" t="s">
        <v>90</v>
      </c>
      <c r="C949" t="s">
        <v>91</v>
      </c>
      <c r="D949">
        <v>0</v>
      </c>
      <c r="E949">
        <v>0</v>
      </c>
      <c r="F949">
        <v>0</v>
      </c>
    </row>
    <row r="950" spans="1:6" x14ac:dyDescent="0.25">
      <c r="A950" s="1">
        <v>44958</v>
      </c>
      <c r="B950" t="s">
        <v>9</v>
      </c>
      <c r="C950" t="s">
        <v>947</v>
      </c>
      <c r="D950">
        <v>0</v>
      </c>
      <c r="E950">
        <v>0</v>
      </c>
      <c r="F950">
        <v>0</v>
      </c>
    </row>
    <row r="951" spans="1:6" x14ac:dyDescent="0.25">
      <c r="A951" s="1">
        <v>44958</v>
      </c>
      <c r="B951" t="s">
        <v>46</v>
      </c>
      <c r="C951" t="s">
        <v>86</v>
      </c>
      <c r="D951" s="2">
        <v>455225.72</v>
      </c>
      <c r="E951" s="2">
        <v>943510.99</v>
      </c>
      <c r="F951" s="2">
        <v>220772.47</v>
      </c>
    </row>
    <row r="952" spans="1:6" x14ac:dyDescent="0.25">
      <c r="A952" s="1">
        <v>44958</v>
      </c>
      <c r="B952" t="s">
        <v>11</v>
      </c>
      <c r="C952" t="s">
        <v>195</v>
      </c>
      <c r="D952" s="2">
        <v>164204193.69999999</v>
      </c>
      <c r="E952" s="2">
        <v>164242459.81999999</v>
      </c>
      <c r="F952" s="2">
        <v>160773217.46000001</v>
      </c>
    </row>
    <row r="953" spans="1:6" x14ac:dyDescent="0.25">
      <c r="A953" s="1">
        <v>44958</v>
      </c>
      <c r="B953" t="s">
        <v>37</v>
      </c>
      <c r="C953" t="s">
        <v>151</v>
      </c>
      <c r="D953">
        <v>0</v>
      </c>
      <c r="E953" s="2">
        <v>460103.1</v>
      </c>
      <c r="F953" s="2">
        <v>460103.1</v>
      </c>
    </row>
    <row r="954" spans="1:6" x14ac:dyDescent="0.25">
      <c r="A954" s="1">
        <v>44958</v>
      </c>
      <c r="B954" t="s">
        <v>458</v>
      </c>
      <c r="C954" t="s">
        <v>798</v>
      </c>
      <c r="D954">
        <v>0</v>
      </c>
      <c r="E954">
        <v>0</v>
      </c>
      <c r="F954">
        <v>0</v>
      </c>
    </row>
    <row r="955" spans="1:6" x14ac:dyDescent="0.25">
      <c r="A955" s="1">
        <v>44958</v>
      </c>
      <c r="B955" t="s">
        <v>92</v>
      </c>
      <c r="C955" t="s">
        <v>862</v>
      </c>
      <c r="D955" s="2">
        <v>1274024.1000000001</v>
      </c>
      <c r="E955" s="2">
        <v>359663.11</v>
      </c>
      <c r="F955" s="2">
        <v>359663.11</v>
      </c>
    </row>
    <row r="956" spans="1:6" x14ac:dyDescent="0.25">
      <c r="A956" s="1">
        <v>44958</v>
      </c>
      <c r="B956" t="s">
        <v>441</v>
      </c>
      <c r="C956" t="s">
        <v>649</v>
      </c>
      <c r="D956">
        <v>0</v>
      </c>
      <c r="E956">
        <v>0</v>
      </c>
      <c r="F956">
        <v>0</v>
      </c>
    </row>
    <row r="957" spans="1:6" x14ac:dyDescent="0.25">
      <c r="A957" s="1">
        <v>44958</v>
      </c>
      <c r="B957" t="s">
        <v>15</v>
      </c>
      <c r="C957" t="s">
        <v>948</v>
      </c>
      <c r="D957">
        <v>0</v>
      </c>
      <c r="E957">
        <v>0</v>
      </c>
      <c r="F957">
        <v>0</v>
      </c>
    </row>
    <row r="958" spans="1:6" x14ac:dyDescent="0.25">
      <c r="A958" s="1">
        <v>44958</v>
      </c>
      <c r="B958" t="s">
        <v>344</v>
      </c>
      <c r="C958" t="s">
        <v>672</v>
      </c>
      <c r="D958">
        <v>0</v>
      </c>
      <c r="E958">
        <v>0</v>
      </c>
      <c r="F958">
        <v>0</v>
      </c>
    </row>
    <row r="959" spans="1:6" x14ac:dyDescent="0.25">
      <c r="A959" s="1">
        <v>44958</v>
      </c>
      <c r="B959" t="s">
        <v>21</v>
      </c>
      <c r="C959" t="s">
        <v>949</v>
      </c>
      <c r="D959" s="2">
        <v>1000000</v>
      </c>
      <c r="E959">
        <v>0</v>
      </c>
      <c r="F959">
        <v>0</v>
      </c>
    </row>
    <row r="960" spans="1:6" x14ac:dyDescent="0.25">
      <c r="A960" s="1">
        <v>44958</v>
      </c>
      <c r="B960" t="s">
        <v>476</v>
      </c>
      <c r="C960" t="s">
        <v>950</v>
      </c>
      <c r="D960">
        <v>0</v>
      </c>
      <c r="E960">
        <v>0</v>
      </c>
      <c r="F960">
        <v>0</v>
      </c>
    </row>
    <row r="961" spans="1:6" x14ac:dyDescent="0.25">
      <c r="A961" s="1">
        <v>44958</v>
      </c>
      <c r="B961" t="s">
        <v>40</v>
      </c>
      <c r="C961" t="s">
        <v>695</v>
      </c>
      <c r="D961" s="2">
        <v>842748</v>
      </c>
      <c r="E961">
        <v>0</v>
      </c>
      <c r="F961">
        <v>0</v>
      </c>
    </row>
    <row r="962" spans="1:6" x14ac:dyDescent="0.25">
      <c r="A962" s="1">
        <v>44958</v>
      </c>
      <c r="B962" t="s">
        <v>15</v>
      </c>
      <c r="C962" t="s">
        <v>99</v>
      </c>
      <c r="D962">
        <v>0</v>
      </c>
      <c r="E962">
        <v>0</v>
      </c>
      <c r="F962">
        <v>0</v>
      </c>
    </row>
    <row r="963" spans="1:6" x14ac:dyDescent="0.25">
      <c r="A963" s="1">
        <v>44958</v>
      </c>
      <c r="B963" t="s">
        <v>143</v>
      </c>
      <c r="C963" t="s">
        <v>144</v>
      </c>
      <c r="D963" s="2">
        <v>2091500</v>
      </c>
      <c r="E963" s="2">
        <v>2091500</v>
      </c>
      <c r="F963" s="2">
        <v>2091500</v>
      </c>
    </row>
    <row r="964" spans="1:6" x14ac:dyDescent="0.25">
      <c r="A964" s="1">
        <v>44958</v>
      </c>
      <c r="B964" t="s">
        <v>193</v>
      </c>
      <c r="C964" t="s">
        <v>194</v>
      </c>
      <c r="D964" s="2">
        <v>1574831486.52</v>
      </c>
      <c r="E964" s="2">
        <v>1574831486.52</v>
      </c>
      <c r="F964" s="2">
        <v>1574831486.52</v>
      </c>
    </row>
    <row r="965" spans="1:6" x14ac:dyDescent="0.25">
      <c r="A965" s="1">
        <v>44958</v>
      </c>
      <c r="B965" t="s">
        <v>114</v>
      </c>
      <c r="C965" t="s">
        <v>578</v>
      </c>
      <c r="D965" s="2">
        <v>10941028.9</v>
      </c>
      <c r="E965" s="2">
        <v>21914589.899999999</v>
      </c>
      <c r="F965" s="2">
        <v>21877542.25</v>
      </c>
    </row>
    <row r="966" spans="1:6" x14ac:dyDescent="0.25">
      <c r="A966" s="1">
        <v>44958</v>
      </c>
      <c r="B966" t="s">
        <v>23</v>
      </c>
      <c r="C966" t="s">
        <v>24</v>
      </c>
      <c r="D966">
        <v>0</v>
      </c>
      <c r="E966">
        <v>0</v>
      </c>
      <c r="F966">
        <v>0</v>
      </c>
    </row>
    <row r="967" spans="1:6" x14ac:dyDescent="0.25">
      <c r="A967" s="1">
        <v>44958</v>
      </c>
      <c r="B967" t="s">
        <v>187</v>
      </c>
      <c r="C967" t="s">
        <v>188</v>
      </c>
      <c r="D967" s="2">
        <v>35584.89</v>
      </c>
      <c r="E967" s="2">
        <v>562865.30000000005</v>
      </c>
      <c r="F967" s="2">
        <v>72776.31</v>
      </c>
    </row>
    <row r="968" spans="1:6" x14ac:dyDescent="0.25">
      <c r="A968" s="1">
        <v>44958</v>
      </c>
      <c r="B968" t="s">
        <v>98</v>
      </c>
      <c r="C968" t="s">
        <v>948</v>
      </c>
      <c r="D968">
        <v>0</v>
      </c>
      <c r="E968">
        <v>0</v>
      </c>
      <c r="F968">
        <v>0</v>
      </c>
    </row>
    <row r="969" spans="1:6" x14ac:dyDescent="0.25">
      <c r="A969" s="1">
        <v>44958</v>
      </c>
      <c r="B969" t="s">
        <v>44</v>
      </c>
      <c r="C969" t="s">
        <v>846</v>
      </c>
      <c r="D969" s="2">
        <v>-5097.41</v>
      </c>
      <c r="E969">
        <v>0</v>
      </c>
      <c r="F969" s="2">
        <v>7061.01</v>
      </c>
    </row>
    <row r="970" spans="1:6" x14ac:dyDescent="0.25">
      <c r="A970" s="1">
        <v>44958</v>
      </c>
      <c r="B970" t="s">
        <v>120</v>
      </c>
      <c r="C970" t="s">
        <v>121</v>
      </c>
      <c r="D970" s="2">
        <v>57398.19</v>
      </c>
      <c r="E970">
        <v>0</v>
      </c>
      <c r="F970">
        <v>0</v>
      </c>
    </row>
    <row r="971" spans="1:6" x14ac:dyDescent="0.25">
      <c r="A971" s="1">
        <v>44958</v>
      </c>
      <c r="B971" t="s">
        <v>118</v>
      </c>
      <c r="C971" t="s">
        <v>298</v>
      </c>
      <c r="D971" s="2">
        <v>66119.399999999994</v>
      </c>
      <c r="E971" s="2">
        <v>4147.92</v>
      </c>
      <c r="F971">
        <v>0</v>
      </c>
    </row>
    <row r="972" spans="1:6" x14ac:dyDescent="0.25">
      <c r="A972" s="1">
        <v>44958</v>
      </c>
      <c r="B972" t="s">
        <v>17</v>
      </c>
      <c r="C972" t="s">
        <v>951</v>
      </c>
      <c r="D972" s="2">
        <v>199525.18</v>
      </c>
      <c r="E972" s="2">
        <v>199525.18</v>
      </c>
      <c r="F972" s="2">
        <v>199525.18</v>
      </c>
    </row>
    <row r="973" spans="1:6" x14ac:dyDescent="0.25">
      <c r="A973" s="1">
        <v>44958</v>
      </c>
      <c r="B973" t="s">
        <v>42</v>
      </c>
      <c r="C973" t="s">
        <v>952</v>
      </c>
      <c r="D973" s="2">
        <v>6984901.4500000002</v>
      </c>
      <c r="E973" s="2">
        <v>6984901.4500000002</v>
      </c>
      <c r="F973" s="2">
        <v>6984901.4500000002</v>
      </c>
    </row>
    <row r="974" spans="1:6" x14ac:dyDescent="0.25">
      <c r="A974" s="1">
        <v>44958</v>
      </c>
      <c r="B974" t="s">
        <v>154</v>
      </c>
      <c r="C974" t="s">
        <v>161</v>
      </c>
      <c r="D974" s="2">
        <v>4662086.32</v>
      </c>
      <c r="E974" s="2">
        <v>483297.56</v>
      </c>
      <c r="F974" s="2">
        <v>97812.94</v>
      </c>
    </row>
    <row r="975" spans="1:6" x14ac:dyDescent="0.25">
      <c r="A975" s="1">
        <v>44958</v>
      </c>
      <c r="B975" t="s">
        <v>17</v>
      </c>
      <c r="C975" t="s">
        <v>67</v>
      </c>
      <c r="D975">
        <v>0</v>
      </c>
      <c r="E975">
        <v>0</v>
      </c>
      <c r="F975" s="2">
        <v>5245129</v>
      </c>
    </row>
    <row r="976" spans="1:6" x14ac:dyDescent="0.25">
      <c r="A976" s="1">
        <v>44958</v>
      </c>
      <c r="B976" t="s">
        <v>31</v>
      </c>
      <c r="C976" t="s">
        <v>357</v>
      </c>
      <c r="D976">
        <v>0</v>
      </c>
      <c r="E976">
        <v>0</v>
      </c>
      <c r="F976">
        <v>0</v>
      </c>
    </row>
    <row r="977" spans="1:6" x14ac:dyDescent="0.25">
      <c r="A977" s="1">
        <v>44958</v>
      </c>
      <c r="B977" t="s">
        <v>405</v>
      </c>
      <c r="C977" t="s">
        <v>953</v>
      </c>
      <c r="D977">
        <v>0</v>
      </c>
      <c r="E977">
        <v>0</v>
      </c>
      <c r="F977">
        <v>0</v>
      </c>
    </row>
    <row r="978" spans="1:6" x14ac:dyDescent="0.25">
      <c r="A978" s="1">
        <v>44958</v>
      </c>
      <c r="B978" t="s">
        <v>53</v>
      </c>
      <c r="C978" t="s">
        <v>237</v>
      </c>
      <c r="D978">
        <v>0</v>
      </c>
      <c r="E978" s="2">
        <v>5369529.6600000001</v>
      </c>
      <c r="F978" s="2">
        <v>5369529.6600000001</v>
      </c>
    </row>
    <row r="979" spans="1:6" x14ac:dyDescent="0.25">
      <c r="A979" s="1">
        <v>44958</v>
      </c>
      <c r="B979" t="s">
        <v>694</v>
      </c>
      <c r="C979" t="s">
        <v>486</v>
      </c>
      <c r="D979">
        <v>0</v>
      </c>
      <c r="E979">
        <v>0</v>
      </c>
      <c r="F979">
        <v>0</v>
      </c>
    </row>
    <row r="980" spans="1:6" x14ac:dyDescent="0.25">
      <c r="A980" s="1">
        <v>44958</v>
      </c>
      <c r="B980" t="s">
        <v>25</v>
      </c>
      <c r="C980" t="s">
        <v>257</v>
      </c>
      <c r="D980">
        <v>0</v>
      </c>
      <c r="E980">
        <v>0</v>
      </c>
      <c r="F980">
        <v>0</v>
      </c>
    </row>
    <row r="981" spans="1:6" x14ac:dyDescent="0.25">
      <c r="A981" s="1">
        <v>44958</v>
      </c>
      <c r="B981" t="s">
        <v>132</v>
      </c>
      <c r="C981" t="s">
        <v>285</v>
      </c>
      <c r="D981" s="2">
        <v>9849606.4499999993</v>
      </c>
      <c r="E981" s="2">
        <v>4259274.66</v>
      </c>
      <c r="F981" s="2">
        <v>2292173.9700000002</v>
      </c>
    </row>
    <row r="982" spans="1:6" x14ac:dyDescent="0.25">
      <c r="A982" s="1">
        <v>44958</v>
      </c>
      <c r="B982" t="s">
        <v>11</v>
      </c>
      <c r="C982" t="s">
        <v>484</v>
      </c>
      <c r="D982">
        <v>0</v>
      </c>
      <c r="E982" s="2">
        <v>5502874.3200000003</v>
      </c>
      <c r="F982" s="2">
        <v>5502874.3200000003</v>
      </c>
    </row>
    <row r="983" spans="1:6" x14ac:dyDescent="0.25">
      <c r="A983" s="1">
        <v>44958</v>
      </c>
      <c r="B983" t="s">
        <v>21</v>
      </c>
      <c r="C983" t="s">
        <v>433</v>
      </c>
      <c r="D983">
        <v>0</v>
      </c>
      <c r="E983">
        <v>0</v>
      </c>
      <c r="F983">
        <v>0</v>
      </c>
    </row>
    <row r="984" spans="1:6" x14ac:dyDescent="0.25">
      <c r="A984" s="1">
        <v>44958</v>
      </c>
      <c r="B984" t="s">
        <v>682</v>
      </c>
      <c r="C984" t="s">
        <v>683</v>
      </c>
      <c r="D984" s="2">
        <v>506057.03</v>
      </c>
      <c r="E984" s="2">
        <v>84821.43</v>
      </c>
      <c r="F984" s="2">
        <v>81947.289999999994</v>
      </c>
    </row>
    <row r="985" spans="1:6" x14ac:dyDescent="0.25">
      <c r="A985" s="1">
        <v>44958</v>
      </c>
      <c r="B985" t="s">
        <v>23</v>
      </c>
      <c r="C985" t="s">
        <v>436</v>
      </c>
      <c r="D985">
        <v>0</v>
      </c>
      <c r="E985">
        <v>0</v>
      </c>
      <c r="F985">
        <v>0</v>
      </c>
    </row>
    <row r="986" spans="1:6" x14ac:dyDescent="0.25">
      <c r="A986" s="1">
        <v>44958</v>
      </c>
      <c r="B986" t="s">
        <v>79</v>
      </c>
      <c r="C986" t="s">
        <v>572</v>
      </c>
      <c r="D986">
        <v>0</v>
      </c>
      <c r="E986">
        <v>0</v>
      </c>
      <c r="F986">
        <v>0</v>
      </c>
    </row>
    <row r="987" spans="1:6" x14ac:dyDescent="0.25">
      <c r="A987" s="1">
        <v>44958</v>
      </c>
      <c r="B987" t="s">
        <v>40</v>
      </c>
      <c r="C987" t="s">
        <v>581</v>
      </c>
      <c r="D987">
        <v>0</v>
      </c>
      <c r="E987" s="2">
        <v>38707622.729999997</v>
      </c>
      <c r="F987" s="2">
        <v>38833502.729999997</v>
      </c>
    </row>
    <row r="988" spans="1:6" x14ac:dyDescent="0.25">
      <c r="A988" s="1">
        <v>44958</v>
      </c>
      <c r="B988" t="s">
        <v>40</v>
      </c>
      <c r="C988" t="s">
        <v>440</v>
      </c>
      <c r="D988" s="2">
        <v>99705.2</v>
      </c>
      <c r="E988" s="2">
        <v>136838.21</v>
      </c>
      <c r="F988" s="2">
        <v>125209.86</v>
      </c>
    </row>
    <row r="989" spans="1:6" x14ac:dyDescent="0.25">
      <c r="A989" s="1">
        <v>44958</v>
      </c>
      <c r="B989" t="s">
        <v>17</v>
      </c>
      <c r="C989" t="s">
        <v>954</v>
      </c>
      <c r="D989">
        <v>0</v>
      </c>
      <c r="E989">
        <v>0</v>
      </c>
      <c r="F989">
        <v>0</v>
      </c>
    </row>
    <row r="990" spans="1:6" x14ac:dyDescent="0.25">
      <c r="A990" s="1">
        <v>44958</v>
      </c>
      <c r="B990" t="s">
        <v>23</v>
      </c>
      <c r="C990" t="s">
        <v>394</v>
      </c>
      <c r="D990">
        <v>0</v>
      </c>
      <c r="E990">
        <v>0</v>
      </c>
      <c r="F990">
        <v>0</v>
      </c>
    </row>
    <row r="991" spans="1:6" x14ac:dyDescent="0.25">
      <c r="A991" s="1">
        <v>44958</v>
      </c>
      <c r="B991" t="s">
        <v>37</v>
      </c>
      <c r="C991" t="s">
        <v>955</v>
      </c>
      <c r="D991">
        <v>0</v>
      </c>
      <c r="E991">
        <v>0</v>
      </c>
      <c r="F991">
        <v>0</v>
      </c>
    </row>
    <row r="992" spans="1:6" x14ac:dyDescent="0.25">
      <c r="A992" s="1">
        <v>44958</v>
      </c>
      <c r="B992" t="s">
        <v>92</v>
      </c>
      <c r="C992" t="s">
        <v>488</v>
      </c>
      <c r="D992" s="2">
        <v>22263.59</v>
      </c>
      <c r="E992" s="2">
        <v>93458.4</v>
      </c>
      <c r="F992" s="2">
        <v>93458.4</v>
      </c>
    </row>
    <row r="993" spans="1:6" x14ac:dyDescent="0.25">
      <c r="A993" s="1">
        <v>44958</v>
      </c>
      <c r="B993" t="s">
        <v>98</v>
      </c>
      <c r="C993" t="s">
        <v>956</v>
      </c>
      <c r="D993">
        <v>0</v>
      </c>
      <c r="E993">
        <v>0</v>
      </c>
      <c r="F993">
        <v>0</v>
      </c>
    </row>
    <row r="994" spans="1:6" x14ac:dyDescent="0.25">
      <c r="A994" s="1">
        <v>44958</v>
      </c>
      <c r="B994" t="s">
        <v>306</v>
      </c>
      <c r="C994" t="s">
        <v>414</v>
      </c>
      <c r="D994">
        <v>0</v>
      </c>
      <c r="E994" s="2">
        <v>46280.86</v>
      </c>
      <c r="F994" s="2">
        <v>46280.86</v>
      </c>
    </row>
    <row r="995" spans="1:6" x14ac:dyDescent="0.25">
      <c r="A995" s="1">
        <v>44958</v>
      </c>
      <c r="B995" t="s">
        <v>118</v>
      </c>
      <c r="C995" t="s">
        <v>957</v>
      </c>
      <c r="D995">
        <v>0</v>
      </c>
      <c r="E995">
        <v>0</v>
      </c>
      <c r="F995">
        <v>0</v>
      </c>
    </row>
    <row r="996" spans="1:6" x14ac:dyDescent="0.25">
      <c r="A996" s="1">
        <v>44958</v>
      </c>
      <c r="B996" t="s">
        <v>21</v>
      </c>
      <c r="C996" t="s">
        <v>958</v>
      </c>
      <c r="D996">
        <v>0</v>
      </c>
      <c r="E996">
        <v>0</v>
      </c>
      <c r="F996">
        <v>0</v>
      </c>
    </row>
    <row r="997" spans="1:6" x14ac:dyDescent="0.25">
      <c r="A997" s="1">
        <v>44958</v>
      </c>
      <c r="B997" t="s">
        <v>234</v>
      </c>
      <c r="C997" t="s">
        <v>959</v>
      </c>
      <c r="D997">
        <v>0</v>
      </c>
      <c r="E997">
        <v>0</v>
      </c>
      <c r="F997">
        <v>0</v>
      </c>
    </row>
    <row r="998" spans="1:6" x14ac:dyDescent="0.25">
      <c r="A998" s="1">
        <v>44958</v>
      </c>
      <c r="B998" t="s">
        <v>46</v>
      </c>
      <c r="C998" t="s">
        <v>674</v>
      </c>
      <c r="D998" s="2">
        <v>12760019.67</v>
      </c>
      <c r="E998">
        <v>0</v>
      </c>
      <c r="F998">
        <v>0</v>
      </c>
    </row>
    <row r="999" spans="1:6" x14ac:dyDescent="0.25">
      <c r="A999" s="1">
        <v>44958</v>
      </c>
      <c r="B999" t="s">
        <v>98</v>
      </c>
      <c r="C999" t="s">
        <v>960</v>
      </c>
      <c r="D999">
        <v>0</v>
      </c>
      <c r="E999">
        <v>0</v>
      </c>
      <c r="F999">
        <v>0</v>
      </c>
    </row>
    <row r="1000" spans="1:6" x14ac:dyDescent="0.25">
      <c r="A1000" s="1">
        <v>44958</v>
      </c>
      <c r="B1000" t="s">
        <v>125</v>
      </c>
      <c r="C1000" t="s">
        <v>126</v>
      </c>
      <c r="D1000" s="2">
        <v>78624.289999999994</v>
      </c>
      <c r="E1000" s="2">
        <v>95097.33</v>
      </c>
      <c r="F1000" s="2">
        <v>95097.33</v>
      </c>
    </row>
    <row r="1001" spans="1:6" x14ac:dyDescent="0.25">
      <c r="A1001" s="1">
        <v>44958</v>
      </c>
      <c r="B1001" t="s">
        <v>726</v>
      </c>
      <c r="C1001" t="s">
        <v>961</v>
      </c>
      <c r="D1001">
        <v>0</v>
      </c>
      <c r="E1001">
        <v>0</v>
      </c>
      <c r="F1001">
        <v>0</v>
      </c>
    </row>
    <row r="1002" spans="1:6" x14ac:dyDescent="0.25">
      <c r="A1002" s="1">
        <v>44958</v>
      </c>
      <c r="B1002" t="s">
        <v>21</v>
      </c>
      <c r="C1002" t="s">
        <v>463</v>
      </c>
      <c r="D1002" s="2">
        <v>63086.75</v>
      </c>
      <c r="E1002">
        <v>0</v>
      </c>
      <c r="F1002">
        <v>0</v>
      </c>
    </row>
    <row r="1003" spans="1:6" x14ac:dyDescent="0.25">
      <c r="A1003" s="1">
        <v>44958</v>
      </c>
      <c r="B1003" t="s">
        <v>234</v>
      </c>
      <c r="C1003" t="s">
        <v>962</v>
      </c>
      <c r="D1003">
        <v>0</v>
      </c>
      <c r="E1003">
        <v>0</v>
      </c>
      <c r="F1003">
        <v>0</v>
      </c>
    </row>
    <row r="1004" spans="1:6" x14ac:dyDescent="0.25">
      <c r="A1004" s="1">
        <v>44958</v>
      </c>
      <c r="B1004" t="s">
        <v>402</v>
      </c>
      <c r="C1004" t="s">
        <v>403</v>
      </c>
      <c r="D1004">
        <v>0</v>
      </c>
      <c r="E1004">
        <v>0</v>
      </c>
      <c r="F1004">
        <v>0</v>
      </c>
    </row>
    <row r="1005" spans="1:6" x14ac:dyDescent="0.25">
      <c r="A1005" s="1">
        <v>44958</v>
      </c>
      <c r="B1005" t="s">
        <v>40</v>
      </c>
      <c r="C1005" t="s">
        <v>555</v>
      </c>
      <c r="D1005" s="2">
        <v>24685794.710000001</v>
      </c>
      <c r="E1005">
        <v>0</v>
      </c>
      <c r="F1005">
        <v>0</v>
      </c>
    </row>
    <row r="1006" spans="1:6" x14ac:dyDescent="0.25">
      <c r="A1006" s="1">
        <v>44958</v>
      </c>
      <c r="B1006" t="s">
        <v>40</v>
      </c>
      <c r="C1006" t="s">
        <v>41</v>
      </c>
      <c r="D1006" s="2">
        <v>5560483.7000000002</v>
      </c>
      <c r="E1006" s="2">
        <v>392823.99</v>
      </c>
      <c r="F1006" s="2">
        <v>392823.99</v>
      </c>
    </row>
    <row r="1007" spans="1:6" x14ac:dyDescent="0.25">
      <c r="A1007" s="1">
        <v>44958</v>
      </c>
      <c r="B1007" t="s">
        <v>42</v>
      </c>
      <c r="C1007" t="s">
        <v>400</v>
      </c>
      <c r="D1007">
        <v>0</v>
      </c>
      <c r="E1007" s="2">
        <v>223705945</v>
      </c>
      <c r="F1007" s="2">
        <v>223705945</v>
      </c>
    </row>
    <row r="1008" spans="1:6" x14ac:dyDescent="0.25">
      <c r="A1008" s="1">
        <v>44958</v>
      </c>
      <c r="B1008" t="s">
        <v>21</v>
      </c>
      <c r="C1008" t="s">
        <v>963</v>
      </c>
      <c r="D1008">
        <v>0</v>
      </c>
      <c r="E1008">
        <v>0</v>
      </c>
      <c r="F1008">
        <v>0</v>
      </c>
    </row>
    <row r="1009" spans="1:6" x14ac:dyDescent="0.25">
      <c r="A1009" s="1">
        <v>44958</v>
      </c>
      <c r="B1009" t="s">
        <v>37</v>
      </c>
      <c r="C1009" t="s">
        <v>583</v>
      </c>
      <c r="D1009">
        <v>0</v>
      </c>
      <c r="E1009">
        <v>-1.74</v>
      </c>
      <c r="F1009" s="2">
        <v>2435.6999999999998</v>
      </c>
    </row>
    <row r="1010" spans="1:6" x14ac:dyDescent="0.25">
      <c r="A1010" s="1">
        <v>44958</v>
      </c>
      <c r="B1010" t="s">
        <v>11</v>
      </c>
      <c r="C1010" t="s">
        <v>749</v>
      </c>
      <c r="D1010" s="2">
        <v>14940843.58</v>
      </c>
      <c r="E1010" s="2">
        <v>14840763.33</v>
      </c>
      <c r="F1010" s="2">
        <v>15068771.85</v>
      </c>
    </row>
    <row r="1011" spans="1:6" x14ac:dyDescent="0.25">
      <c r="A1011" s="1">
        <v>44958</v>
      </c>
      <c r="B1011" t="s">
        <v>46</v>
      </c>
      <c r="C1011" t="s">
        <v>152</v>
      </c>
      <c r="D1011" s="2">
        <v>880291.27</v>
      </c>
      <c r="E1011" s="2">
        <v>76241.149999999994</v>
      </c>
      <c r="F1011" s="2">
        <v>75986.12</v>
      </c>
    </row>
    <row r="1012" spans="1:6" x14ac:dyDescent="0.25">
      <c r="A1012" s="1">
        <v>44958</v>
      </c>
      <c r="B1012" t="s">
        <v>648</v>
      </c>
      <c r="C1012" t="s">
        <v>442</v>
      </c>
      <c r="D1012">
        <v>0</v>
      </c>
      <c r="E1012">
        <v>0</v>
      </c>
      <c r="F1012">
        <v>0</v>
      </c>
    </row>
    <row r="1013" spans="1:6" x14ac:dyDescent="0.25">
      <c r="A1013" s="1">
        <v>44958</v>
      </c>
      <c r="B1013" t="s">
        <v>15</v>
      </c>
      <c r="C1013" t="s">
        <v>964</v>
      </c>
      <c r="D1013">
        <v>0</v>
      </c>
      <c r="E1013">
        <v>0</v>
      </c>
      <c r="F1013">
        <v>0</v>
      </c>
    </row>
    <row r="1014" spans="1:6" x14ac:dyDescent="0.25">
      <c r="A1014" s="1">
        <v>44958</v>
      </c>
      <c r="B1014" t="s">
        <v>21</v>
      </c>
      <c r="C1014" t="s">
        <v>562</v>
      </c>
      <c r="D1014" s="2">
        <v>1203800</v>
      </c>
      <c r="E1014">
        <v>0</v>
      </c>
      <c r="F1014">
        <v>0</v>
      </c>
    </row>
    <row r="1015" spans="1:6" x14ac:dyDescent="0.25">
      <c r="A1015" s="1">
        <v>44958</v>
      </c>
      <c r="B1015" t="s">
        <v>21</v>
      </c>
      <c r="C1015" t="s">
        <v>353</v>
      </c>
      <c r="D1015" s="2">
        <v>750000</v>
      </c>
      <c r="E1015">
        <v>0</v>
      </c>
      <c r="F1015">
        <v>0</v>
      </c>
    </row>
    <row r="1016" spans="1:6" x14ac:dyDescent="0.25">
      <c r="A1016" s="1">
        <v>44958</v>
      </c>
      <c r="B1016" t="s">
        <v>234</v>
      </c>
      <c r="C1016" t="s">
        <v>299</v>
      </c>
      <c r="D1016" s="2">
        <v>4087135459.6399999</v>
      </c>
      <c r="E1016" s="2">
        <v>4087135459.6399999</v>
      </c>
      <c r="F1016" s="2">
        <v>4087135459.6399999</v>
      </c>
    </row>
    <row r="1017" spans="1:6" x14ac:dyDescent="0.25">
      <c r="A1017" s="1">
        <v>44958</v>
      </c>
      <c r="B1017" t="s">
        <v>306</v>
      </c>
      <c r="C1017" t="s">
        <v>307</v>
      </c>
      <c r="D1017" s="2">
        <v>2064384.54</v>
      </c>
      <c r="E1017" s="2">
        <v>1930996.2</v>
      </c>
      <c r="F1017" s="2">
        <v>1830582.98</v>
      </c>
    </row>
    <row r="1018" spans="1:6" x14ac:dyDescent="0.25">
      <c r="A1018" s="1">
        <v>44958</v>
      </c>
      <c r="B1018" t="s">
        <v>31</v>
      </c>
      <c r="C1018" t="s">
        <v>290</v>
      </c>
      <c r="D1018">
        <v>0</v>
      </c>
      <c r="E1018">
        <v>0</v>
      </c>
      <c r="F1018">
        <v>0</v>
      </c>
    </row>
    <row r="1019" spans="1:6" x14ac:dyDescent="0.25">
      <c r="A1019" s="1">
        <v>44958</v>
      </c>
      <c r="B1019" t="s">
        <v>11</v>
      </c>
      <c r="C1019" t="s">
        <v>321</v>
      </c>
      <c r="D1019" s="2">
        <v>18579589470</v>
      </c>
      <c r="E1019" s="2">
        <v>1418774130.6600001</v>
      </c>
      <c r="F1019" s="2">
        <v>1418774130.6600001</v>
      </c>
    </row>
    <row r="1020" spans="1:6" x14ac:dyDescent="0.25">
      <c r="A1020" s="1">
        <v>44958</v>
      </c>
      <c r="B1020" t="s">
        <v>90</v>
      </c>
      <c r="C1020" t="s">
        <v>326</v>
      </c>
      <c r="D1020" s="2">
        <v>915423.22</v>
      </c>
      <c r="E1020" s="2">
        <v>15621.42</v>
      </c>
      <c r="F1020" s="2">
        <v>15621.42</v>
      </c>
    </row>
    <row r="1021" spans="1:6" x14ac:dyDescent="0.25">
      <c r="A1021" s="1">
        <v>44958</v>
      </c>
      <c r="B1021" t="s">
        <v>21</v>
      </c>
      <c r="C1021" t="s">
        <v>559</v>
      </c>
      <c r="D1021">
        <v>0</v>
      </c>
      <c r="E1021">
        <v>0</v>
      </c>
      <c r="F1021">
        <v>0</v>
      </c>
    </row>
    <row r="1022" spans="1:6" x14ac:dyDescent="0.25">
      <c r="A1022" s="1">
        <v>44958</v>
      </c>
      <c r="B1022" t="s">
        <v>234</v>
      </c>
      <c r="C1022" t="s">
        <v>452</v>
      </c>
      <c r="D1022">
        <v>0</v>
      </c>
      <c r="E1022">
        <v>0</v>
      </c>
      <c r="F1022">
        <v>0</v>
      </c>
    </row>
    <row r="1023" spans="1:6" x14ac:dyDescent="0.25">
      <c r="A1023" s="1">
        <v>44958</v>
      </c>
      <c r="B1023" t="s">
        <v>21</v>
      </c>
      <c r="C1023" t="s">
        <v>497</v>
      </c>
      <c r="D1023" s="2">
        <v>3076324</v>
      </c>
      <c r="E1023" s="2">
        <v>446664.34</v>
      </c>
      <c r="F1023" s="2">
        <v>446664.34</v>
      </c>
    </row>
    <row r="1024" spans="1:6" x14ac:dyDescent="0.25">
      <c r="A1024" s="1">
        <v>44958</v>
      </c>
      <c r="B1024" t="s">
        <v>55</v>
      </c>
      <c r="C1024" t="s">
        <v>203</v>
      </c>
      <c r="D1024">
        <v>0</v>
      </c>
      <c r="E1024">
        <v>0</v>
      </c>
      <c r="F1024">
        <v>0</v>
      </c>
    </row>
    <row r="1025" spans="1:6" x14ac:dyDescent="0.25">
      <c r="A1025" s="1">
        <v>44958</v>
      </c>
      <c r="B1025" t="s">
        <v>458</v>
      </c>
      <c r="C1025" t="s">
        <v>30</v>
      </c>
      <c r="D1025">
        <v>0</v>
      </c>
      <c r="E1025">
        <v>0</v>
      </c>
      <c r="F1025">
        <v>0</v>
      </c>
    </row>
    <row r="1026" spans="1:6" x14ac:dyDescent="0.25">
      <c r="A1026" s="1">
        <v>44958</v>
      </c>
      <c r="B1026" t="s">
        <v>21</v>
      </c>
      <c r="C1026" t="s">
        <v>643</v>
      </c>
      <c r="D1026" s="2">
        <v>2200000</v>
      </c>
      <c r="E1026">
        <v>0</v>
      </c>
      <c r="F1026">
        <v>0</v>
      </c>
    </row>
    <row r="1027" spans="1:6" x14ac:dyDescent="0.25">
      <c r="A1027" s="1">
        <v>44958</v>
      </c>
      <c r="B1027" t="s">
        <v>185</v>
      </c>
      <c r="C1027" t="s">
        <v>863</v>
      </c>
      <c r="D1027" s="2">
        <v>110692770.79000001</v>
      </c>
      <c r="E1027" s="2">
        <v>46199197.759999998</v>
      </c>
      <c r="F1027" s="2">
        <v>46199197.759999998</v>
      </c>
    </row>
    <row r="1028" spans="1:6" x14ac:dyDescent="0.25">
      <c r="A1028" s="1">
        <v>44958</v>
      </c>
      <c r="B1028" t="s">
        <v>216</v>
      </c>
      <c r="C1028" t="s">
        <v>217</v>
      </c>
      <c r="D1028">
        <v>0</v>
      </c>
      <c r="E1028">
        <v>0</v>
      </c>
      <c r="F1028">
        <v>0</v>
      </c>
    </row>
    <row r="1029" spans="1:6" x14ac:dyDescent="0.25">
      <c r="A1029" s="1">
        <v>44958</v>
      </c>
      <c r="B1029" t="s">
        <v>821</v>
      </c>
      <c r="C1029" t="s">
        <v>965</v>
      </c>
      <c r="D1029">
        <v>0</v>
      </c>
      <c r="E1029">
        <v>0</v>
      </c>
      <c r="F1029">
        <v>0</v>
      </c>
    </row>
    <row r="1030" spans="1:6" x14ac:dyDescent="0.25">
      <c r="A1030" s="1">
        <v>44958</v>
      </c>
      <c r="B1030" t="s">
        <v>966</v>
      </c>
      <c r="C1030" t="s">
        <v>656</v>
      </c>
      <c r="D1030">
        <v>0</v>
      </c>
      <c r="E1030">
        <v>0</v>
      </c>
      <c r="F1030">
        <v>0</v>
      </c>
    </row>
    <row r="1031" spans="1:6" x14ac:dyDescent="0.25">
      <c r="A1031" s="1">
        <v>44958</v>
      </c>
      <c r="B1031" t="s">
        <v>234</v>
      </c>
      <c r="C1031" t="s">
        <v>284</v>
      </c>
      <c r="D1031" s="2">
        <v>3452891674</v>
      </c>
      <c r="E1031" s="2">
        <v>3452891674</v>
      </c>
      <c r="F1031" s="2">
        <v>3452891674</v>
      </c>
    </row>
    <row r="1032" spans="1:6" x14ac:dyDescent="0.25">
      <c r="A1032" s="1">
        <v>44958</v>
      </c>
      <c r="B1032" t="s">
        <v>23</v>
      </c>
      <c r="C1032" t="s">
        <v>657</v>
      </c>
      <c r="D1032">
        <v>0</v>
      </c>
      <c r="E1032">
        <v>0</v>
      </c>
      <c r="F1032">
        <v>0</v>
      </c>
    </row>
    <row r="1033" spans="1:6" x14ac:dyDescent="0.25">
      <c r="A1033" s="1">
        <v>44958</v>
      </c>
      <c r="B1033" t="s">
        <v>21</v>
      </c>
      <c r="C1033" t="s">
        <v>967</v>
      </c>
      <c r="D1033" s="2">
        <v>1700000</v>
      </c>
      <c r="E1033">
        <v>0</v>
      </c>
      <c r="F1033">
        <v>0</v>
      </c>
    </row>
    <row r="1034" spans="1:6" x14ac:dyDescent="0.25">
      <c r="A1034" s="1">
        <v>44958</v>
      </c>
      <c r="B1034" t="s">
        <v>185</v>
      </c>
      <c r="C1034" t="s">
        <v>968</v>
      </c>
      <c r="D1034" s="2">
        <v>25864754</v>
      </c>
      <c r="E1034" s="2">
        <v>14286262</v>
      </c>
      <c r="F1034" s="2">
        <v>14286262</v>
      </c>
    </row>
    <row r="1035" spans="1:6" x14ac:dyDescent="0.25">
      <c r="A1035" s="1">
        <v>44958</v>
      </c>
      <c r="B1035" t="s">
        <v>278</v>
      </c>
      <c r="C1035" t="s">
        <v>900</v>
      </c>
      <c r="D1035">
        <v>0</v>
      </c>
      <c r="E1035" s="2">
        <v>112017.8</v>
      </c>
      <c r="F1035" s="2">
        <v>100224.14</v>
      </c>
    </row>
    <row r="1036" spans="1:6" x14ac:dyDescent="0.25">
      <c r="A1036" s="1">
        <v>44958</v>
      </c>
      <c r="B1036" t="s">
        <v>21</v>
      </c>
      <c r="C1036" t="s">
        <v>642</v>
      </c>
      <c r="D1036" s="2">
        <v>200304</v>
      </c>
      <c r="E1036">
        <v>0</v>
      </c>
      <c r="F1036">
        <v>0</v>
      </c>
    </row>
    <row r="1037" spans="1:6" x14ac:dyDescent="0.25">
      <c r="A1037" s="1">
        <v>44958</v>
      </c>
      <c r="B1037" t="s">
        <v>98</v>
      </c>
      <c r="C1037" t="s">
        <v>413</v>
      </c>
      <c r="D1037">
        <v>0</v>
      </c>
      <c r="E1037">
        <v>0</v>
      </c>
      <c r="F1037">
        <v>0</v>
      </c>
    </row>
    <row r="1038" spans="1:6" x14ac:dyDescent="0.25">
      <c r="A1038" s="1">
        <v>44958</v>
      </c>
      <c r="B1038" t="s">
        <v>25</v>
      </c>
      <c r="C1038" t="s">
        <v>609</v>
      </c>
      <c r="D1038">
        <v>0</v>
      </c>
      <c r="E1038">
        <v>0</v>
      </c>
      <c r="F1038">
        <v>0</v>
      </c>
    </row>
    <row r="1039" spans="1:6" x14ac:dyDescent="0.25">
      <c r="A1039" s="1">
        <v>44958</v>
      </c>
      <c r="B1039" t="s">
        <v>162</v>
      </c>
      <c r="C1039" t="s">
        <v>421</v>
      </c>
      <c r="D1039" s="2">
        <v>571653.01</v>
      </c>
      <c r="E1039" s="2">
        <v>102540.86</v>
      </c>
      <c r="F1039" s="2">
        <v>38378.47</v>
      </c>
    </row>
    <row r="1040" spans="1:6" x14ac:dyDescent="0.25">
      <c r="A1040" s="1">
        <v>44958</v>
      </c>
      <c r="B1040" t="s">
        <v>460</v>
      </c>
      <c r="C1040" t="s">
        <v>746</v>
      </c>
      <c r="D1040" s="2">
        <v>352982.68</v>
      </c>
      <c r="E1040" s="2">
        <v>273402.42</v>
      </c>
      <c r="F1040" s="2">
        <v>80452.88</v>
      </c>
    </row>
    <row r="1041" spans="1:6" x14ac:dyDescent="0.25">
      <c r="A1041" s="1">
        <v>44958</v>
      </c>
      <c r="B1041" t="s">
        <v>21</v>
      </c>
      <c r="C1041" t="s">
        <v>431</v>
      </c>
      <c r="D1041" s="2">
        <v>6638888</v>
      </c>
      <c r="E1041">
        <v>0</v>
      </c>
      <c r="F1041">
        <v>0</v>
      </c>
    </row>
    <row r="1042" spans="1:6" x14ac:dyDescent="0.25">
      <c r="A1042" s="1">
        <v>44958</v>
      </c>
      <c r="B1042" t="s">
        <v>278</v>
      </c>
      <c r="C1042" t="s">
        <v>481</v>
      </c>
      <c r="D1042" s="2">
        <v>112695985.78</v>
      </c>
      <c r="E1042" s="2">
        <v>112695985.78</v>
      </c>
      <c r="F1042" s="2">
        <v>112695985.78</v>
      </c>
    </row>
    <row r="1043" spans="1:6" x14ac:dyDescent="0.25">
      <c r="A1043" s="1">
        <v>44958</v>
      </c>
      <c r="B1043" t="s">
        <v>549</v>
      </c>
      <c r="C1043" t="s">
        <v>825</v>
      </c>
      <c r="D1043">
        <v>0</v>
      </c>
      <c r="E1043">
        <v>0</v>
      </c>
      <c r="F1043">
        <v>0</v>
      </c>
    </row>
    <row r="1044" spans="1:6" x14ac:dyDescent="0.25">
      <c r="A1044" s="1">
        <v>44958</v>
      </c>
      <c r="B1044" t="s">
        <v>11</v>
      </c>
      <c r="C1044" t="s">
        <v>744</v>
      </c>
      <c r="D1044" s="2">
        <v>57767057.909999996</v>
      </c>
      <c r="E1044" s="2">
        <v>57765388.719999999</v>
      </c>
      <c r="F1044" s="2">
        <v>54300290.619999997</v>
      </c>
    </row>
    <row r="1045" spans="1:6" x14ac:dyDescent="0.25">
      <c r="A1045" s="1">
        <v>44958</v>
      </c>
      <c r="B1045" t="s">
        <v>103</v>
      </c>
      <c r="C1045" t="s">
        <v>259</v>
      </c>
      <c r="D1045" s="2">
        <v>-10568.83</v>
      </c>
      <c r="E1045" s="2">
        <v>-8695.67</v>
      </c>
      <c r="F1045">
        <v>0</v>
      </c>
    </row>
    <row r="1046" spans="1:6" x14ac:dyDescent="0.25">
      <c r="A1046" s="1">
        <v>44958</v>
      </c>
      <c r="B1046" t="s">
        <v>11</v>
      </c>
      <c r="C1046" t="s">
        <v>12</v>
      </c>
      <c r="D1046">
        <v>0</v>
      </c>
      <c r="E1046" s="2">
        <v>7899887091.5200005</v>
      </c>
      <c r="F1046" s="2">
        <v>7899887091.5200005</v>
      </c>
    </row>
    <row r="1047" spans="1:6" x14ac:dyDescent="0.25">
      <c r="A1047" s="1">
        <v>44958</v>
      </c>
      <c r="B1047" t="s">
        <v>11</v>
      </c>
      <c r="C1047" t="s">
        <v>116</v>
      </c>
      <c r="D1047">
        <v>0</v>
      </c>
      <c r="E1047" s="2">
        <v>15287271282.889999</v>
      </c>
      <c r="F1047" s="2">
        <v>15287271282.889999</v>
      </c>
    </row>
    <row r="1048" spans="1:6" x14ac:dyDescent="0.25">
      <c r="A1048" s="1">
        <v>44958</v>
      </c>
      <c r="B1048" t="s">
        <v>185</v>
      </c>
      <c r="C1048" t="s">
        <v>316</v>
      </c>
      <c r="D1048" s="2">
        <v>66424286.090000004</v>
      </c>
      <c r="E1048" s="2">
        <v>7068004.7199999997</v>
      </c>
      <c r="F1048" s="2">
        <v>18639382.670000002</v>
      </c>
    </row>
    <row r="1049" spans="1:6" x14ac:dyDescent="0.25">
      <c r="A1049" s="1">
        <v>44958</v>
      </c>
      <c r="B1049" t="s">
        <v>19</v>
      </c>
      <c r="C1049" t="s">
        <v>733</v>
      </c>
      <c r="D1049" s="2">
        <v>399123.92</v>
      </c>
      <c r="E1049">
        <v>784.85</v>
      </c>
      <c r="F1049">
        <v>819.47</v>
      </c>
    </row>
    <row r="1050" spans="1:6" x14ac:dyDescent="0.25">
      <c r="A1050" s="1">
        <v>44958</v>
      </c>
      <c r="B1050" t="s">
        <v>50</v>
      </c>
      <c r="C1050" t="s">
        <v>787</v>
      </c>
      <c r="D1050" s="2">
        <v>3000000</v>
      </c>
      <c r="E1050">
        <v>0</v>
      </c>
      <c r="F1050">
        <v>0</v>
      </c>
    </row>
    <row r="1051" spans="1:6" x14ac:dyDescent="0.25">
      <c r="A1051" s="1">
        <v>44958</v>
      </c>
      <c r="B1051" t="s">
        <v>37</v>
      </c>
      <c r="C1051" t="s">
        <v>721</v>
      </c>
      <c r="D1051">
        <v>0</v>
      </c>
      <c r="E1051" s="2">
        <v>17569.080000000002</v>
      </c>
      <c r="F1051" s="2">
        <v>17569.080000000002</v>
      </c>
    </row>
    <row r="1052" spans="1:6" x14ac:dyDescent="0.25">
      <c r="A1052" s="1">
        <v>44958</v>
      </c>
      <c r="B1052" t="s">
        <v>21</v>
      </c>
      <c r="C1052" t="s">
        <v>969</v>
      </c>
      <c r="D1052">
        <v>0</v>
      </c>
      <c r="E1052">
        <v>0</v>
      </c>
      <c r="F1052">
        <v>0</v>
      </c>
    </row>
    <row r="1053" spans="1:6" x14ac:dyDescent="0.25">
      <c r="A1053" s="1">
        <v>44958</v>
      </c>
      <c r="B1053" t="s">
        <v>40</v>
      </c>
      <c r="C1053" t="s">
        <v>466</v>
      </c>
      <c r="D1053" s="2">
        <v>10000</v>
      </c>
      <c r="E1053" s="2">
        <v>9425.77</v>
      </c>
      <c r="F1053" s="2">
        <v>402918</v>
      </c>
    </row>
    <row r="1054" spans="1:6" x14ac:dyDescent="0.25">
      <c r="A1054" s="1">
        <v>44958</v>
      </c>
      <c r="B1054" t="s">
        <v>21</v>
      </c>
      <c r="C1054" t="s">
        <v>184</v>
      </c>
      <c r="D1054">
        <v>0</v>
      </c>
      <c r="E1054">
        <v>0</v>
      </c>
      <c r="F1054">
        <v>0</v>
      </c>
    </row>
    <row r="1055" spans="1:6" x14ac:dyDescent="0.25">
      <c r="A1055" s="1">
        <v>44958</v>
      </c>
      <c r="B1055" t="s">
        <v>21</v>
      </c>
      <c r="C1055" t="s">
        <v>970</v>
      </c>
      <c r="D1055" s="2">
        <v>11916023</v>
      </c>
      <c r="E1055">
        <v>0</v>
      </c>
      <c r="F1055">
        <v>0</v>
      </c>
    </row>
    <row r="1056" spans="1:6" x14ac:dyDescent="0.25">
      <c r="A1056" s="1">
        <v>44958</v>
      </c>
      <c r="B1056" t="s">
        <v>107</v>
      </c>
      <c r="C1056" t="s">
        <v>108</v>
      </c>
      <c r="D1056" s="2">
        <v>1000</v>
      </c>
      <c r="E1056" s="2">
        <v>3437692.1</v>
      </c>
      <c r="F1056" s="2">
        <v>3437692.1</v>
      </c>
    </row>
    <row r="1057" spans="1:6" x14ac:dyDescent="0.25">
      <c r="A1057" s="1">
        <v>44958</v>
      </c>
      <c r="B1057" t="s">
        <v>98</v>
      </c>
      <c r="C1057" t="s">
        <v>589</v>
      </c>
      <c r="D1057">
        <v>0</v>
      </c>
      <c r="E1057">
        <v>0</v>
      </c>
      <c r="F1057">
        <v>0</v>
      </c>
    </row>
    <row r="1058" spans="1:6" x14ac:dyDescent="0.25">
      <c r="A1058" s="1">
        <v>44958</v>
      </c>
      <c r="B1058" t="s">
        <v>132</v>
      </c>
      <c r="C1058" t="s">
        <v>265</v>
      </c>
      <c r="D1058" s="2">
        <v>108333333.33</v>
      </c>
      <c r="E1058" s="2">
        <v>108333333.33</v>
      </c>
      <c r="F1058" s="2">
        <v>108333333.33</v>
      </c>
    </row>
    <row r="1059" spans="1:6" x14ac:dyDescent="0.25">
      <c r="A1059" s="1">
        <v>44958</v>
      </c>
      <c r="B1059" t="s">
        <v>118</v>
      </c>
      <c r="C1059" t="s">
        <v>971</v>
      </c>
      <c r="D1059">
        <v>0</v>
      </c>
      <c r="E1059">
        <v>0</v>
      </c>
      <c r="F1059">
        <v>0</v>
      </c>
    </row>
    <row r="1060" spans="1:6" x14ac:dyDescent="0.25">
      <c r="A1060" s="1">
        <v>44958</v>
      </c>
      <c r="B1060" t="s">
        <v>63</v>
      </c>
      <c r="C1060" t="s">
        <v>142</v>
      </c>
      <c r="D1060">
        <v>0</v>
      </c>
      <c r="E1060">
        <v>0</v>
      </c>
      <c r="F1060">
        <v>0</v>
      </c>
    </row>
    <row r="1061" spans="1:6" x14ac:dyDescent="0.25">
      <c r="A1061" s="1">
        <v>44958</v>
      </c>
      <c r="B1061" t="s">
        <v>422</v>
      </c>
      <c r="C1061" t="s">
        <v>473</v>
      </c>
      <c r="D1061" s="2">
        <v>156138.78</v>
      </c>
      <c r="E1061" s="2">
        <v>156138.78</v>
      </c>
      <c r="F1061" s="2">
        <v>156138.78</v>
      </c>
    </row>
    <row r="1062" spans="1:6" x14ac:dyDescent="0.25">
      <c r="A1062" s="1">
        <v>44958</v>
      </c>
      <c r="B1062" t="s">
        <v>278</v>
      </c>
      <c r="C1062" t="s">
        <v>401</v>
      </c>
      <c r="D1062" s="2">
        <v>57436629.310000002</v>
      </c>
      <c r="E1062" s="2">
        <v>57316629.310000002</v>
      </c>
      <c r="F1062" s="2">
        <v>57316629.310000002</v>
      </c>
    </row>
    <row r="1063" spans="1:6" x14ac:dyDescent="0.25">
      <c r="A1063" s="1">
        <v>44958</v>
      </c>
      <c r="B1063" t="s">
        <v>31</v>
      </c>
      <c r="C1063" t="s">
        <v>972</v>
      </c>
      <c r="D1063">
        <v>0</v>
      </c>
      <c r="E1063">
        <v>0</v>
      </c>
      <c r="F1063">
        <v>0</v>
      </c>
    </row>
    <row r="1064" spans="1:6" x14ac:dyDescent="0.25">
      <c r="A1064" s="1">
        <v>44958</v>
      </c>
      <c r="B1064" t="s">
        <v>154</v>
      </c>
      <c r="C1064" t="s">
        <v>785</v>
      </c>
      <c r="D1064" s="2">
        <v>95061691.599999994</v>
      </c>
      <c r="E1064" s="2">
        <v>5423419.0999999996</v>
      </c>
      <c r="F1064" s="2">
        <v>5419516.3799999999</v>
      </c>
    </row>
    <row r="1065" spans="1:6" x14ac:dyDescent="0.25">
      <c r="A1065" s="1">
        <v>44958</v>
      </c>
      <c r="B1065" t="s">
        <v>398</v>
      </c>
      <c r="C1065" t="s">
        <v>437</v>
      </c>
      <c r="D1065">
        <v>0</v>
      </c>
      <c r="E1065">
        <v>0</v>
      </c>
      <c r="F1065">
        <v>0</v>
      </c>
    </row>
    <row r="1066" spans="1:6" x14ac:dyDescent="0.25">
      <c r="A1066" s="1">
        <v>44958</v>
      </c>
      <c r="B1066" t="s">
        <v>132</v>
      </c>
      <c r="C1066" t="s">
        <v>375</v>
      </c>
      <c r="D1066" s="2">
        <v>1090000</v>
      </c>
      <c r="E1066" s="2">
        <v>1090000</v>
      </c>
      <c r="F1066" s="2">
        <v>1090000</v>
      </c>
    </row>
    <row r="1067" spans="1:6" x14ac:dyDescent="0.25">
      <c r="A1067" s="1">
        <v>44958</v>
      </c>
      <c r="B1067" t="s">
        <v>21</v>
      </c>
      <c r="C1067" t="s">
        <v>973</v>
      </c>
      <c r="D1067">
        <v>0</v>
      </c>
      <c r="E1067">
        <v>0</v>
      </c>
      <c r="F1067">
        <v>0</v>
      </c>
    </row>
    <row r="1068" spans="1:6" x14ac:dyDescent="0.25">
      <c r="A1068" s="1">
        <v>44958</v>
      </c>
      <c r="B1068" t="s">
        <v>11</v>
      </c>
      <c r="C1068" t="s">
        <v>778</v>
      </c>
      <c r="D1068" s="2">
        <v>85695892.310000002</v>
      </c>
      <c r="E1068" s="2">
        <v>85650654.5</v>
      </c>
      <c r="F1068" s="2">
        <v>84714065.060000002</v>
      </c>
    </row>
    <row r="1069" spans="1:6" x14ac:dyDescent="0.25">
      <c r="A1069" s="1">
        <v>44958</v>
      </c>
      <c r="B1069" t="s">
        <v>816</v>
      </c>
      <c r="C1069" t="s">
        <v>974</v>
      </c>
      <c r="D1069">
        <v>0</v>
      </c>
      <c r="E1069">
        <v>0</v>
      </c>
      <c r="F1069">
        <v>0</v>
      </c>
    </row>
    <row r="1070" spans="1:6" x14ac:dyDescent="0.25">
      <c r="A1070" s="1">
        <v>44958</v>
      </c>
      <c r="B1070" t="s">
        <v>40</v>
      </c>
      <c r="C1070" t="s">
        <v>459</v>
      </c>
      <c r="D1070" s="2">
        <v>589493939.79999995</v>
      </c>
      <c r="E1070" s="2">
        <v>2374153724.5599999</v>
      </c>
      <c r="F1070" s="2">
        <v>2424941099.5</v>
      </c>
    </row>
    <row r="1071" spans="1:6" x14ac:dyDescent="0.25">
      <c r="A1071" s="1">
        <v>44958</v>
      </c>
      <c r="B1071" t="s">
        <v>196</v>
      </c>
      <c r="C1071" t="s">
        <v>638</v>
      </c>
      <c r="D1071">
        <v>0</v>
      </c>
      <c r="E1071">
        <v>0</v>
      </c>
      <c r="F1071">
        <v>0</v>
      </c>
    </row>
    <row r="1072" spans="1:6" x14ac:dyDescent="0.25">
      <c r="A1072" s="1">
        <v>44958</v>
      </c>
      <c r="B1072" t="s">
        <v>17</v>
      </c>
      <c r="C1072" t="s">
        <v>270</v>
      </c>
      <c r="D1072" s="2">
        <v>1161227.6299999999</v>
      </c>
      <c r="E1072" s="2">
        <v>521366.66</v>
      </c>
      <c r="F1072" s="2">
        <v>521366.66</v>
      </c>
    </row>
    <row r="1073" spans="1:6" x14ac:dyDescent="0.25">
      <c r="A1073" s="1">
        <v>44958</v>
      </c>
      <c r="B1073" t="s">
        <v>31</v>
      </c>
      <c r="C1073" t="s">
        <v>553</v>
      </c>
      <c r="D1073">
        <v>0</v>
      </c>
      <c r="E1073">
        <v>0</v>
      </c>
      <c r="F1073">
        <v>0</v>
      </c>
    </row>
    <row r="1074" spans="1:6" x14ac:dyDescent="0.25">
      <c r="A1074" s="1">
        <v>44958</v>
      </c>
      <c r="B1074" t="s">
        <v>661</v>
      </c>
      <c r="C1074" t="s">
        <v>95</v>
      </c>
      <c r="D1074">
        <v>0</v>
      </c>
      <c r="E1074">
        <v>0</v>
      </c>
      <c r="F1074">
        <v>0</v>
      </c>
    </row>
    <row r="1075" spans="1:6" x14ac:dyDescent="0.25">
      <c r="A1075" s="1">
        <v>44958</v>
      </c>
      <c r="B1075" t="s">
        <v>234</v>
      </c>
      <c r="C1075" t="s">
        <v>454</v>
      </c>
      <c r="D1075">
        <v>0</v>
      </c>
      <c r="E1075">
        <v>0</v>
      </c>
      <c r="F1075">
        <v>0</v>
      </c>
    </row>
    <row r="1076" spans="1:6" x14ac:dyDescent="0.25">
      <c r="A1076" s="1">
        <v>44958</v>
      </c>
      <c r="B1076" t="s">
        <v>11</v>
      </c>
      <c r="C1076" t="s">
        <v>139</v>
      </c>
      <c r="D1076">
        <v>0</v>
      </c>
      <c r="E1076" s="2">
        <v>332230841.32999998</v>
      </c>
      <c r="F1076" s="2">
        <v>332230841.32999998</v>
      </c>
    </row>
    <row r="1077" spans="1:6" x14ac:dyDescent="0.25">
      <c r="A1077" s="1">
        <v>44958</v>
      </c>
      <c r="B1077" t="s">
        <v>55</v>
      </c>
      <c r="C1077" t="s">
        <v>975</v>
      </c>
      <c r="D1077">
        <v>0</v>
      </c>
      <c r="E1077">
        <v>0</v>
      </c>
      <c r="F1077">
        <v>0</v>
      </c>
    </row>
    <row r="1078" spans="1:6" x14ac:dyDescent="0.25">
      <c r="A1078" s="1">
        <v>44958</v>
      </c>
      <c r="B1078" t="s">
        <v>132</v>
      </c>
      <c r="C1078" t="s">
        <v>415</v>
      </c>
      <c r="D1078">
        <v>0</v>
      </c>
      <c r="E1078">
        <v>0</v>
      </c>
      <c r="F1078">
        <v>0</v>
      </c>
    </row>
    <row r="1079" spans="1:6" x14ac:dyDescent="0.25">
      <c r="A1079" s="1">
        <v>44958</v>
      </c>
      <c r="B1079" t="s">
        <v>21</v>
      </c>
      <c r="C1079" t="s">
        <v>976</v>
      </c>
      <c r="D1079" s="2">
        <v>35646332</v>
      </c>
      <c r="E1079">
        <v>0</v>
      </c>
      <c r="F1079">
        <v>0</v>
      </c>
    </row>
    <row r="1080" spans="1:6" x14ac:dyDescent="0.25">
      <c r="A1080" s="1">
        <v>44958</v>
      </c>
      <c r="B1080" t="s">
        <v>46</v>
      </c>
      <c r="C1080" t="s">
        <v>89</v>
      </c>
      <c r="D1080" s="2">
        <v>102842.95</v>
      </c>
      <c r="E1080">
        <v>0</v>
      </c>
      <c r="F1080">
        <v>0</v>
      </c>
    </row>
    <row r="1081" spans="1:6" x14ac:dyDescent="0.25">
      <c r="A1081" s="1">
        <v>44958</v>
      </c>
      <c r="B1081" t="s">
        <v>75</v>
      </c>
      <c r="C1081" t="s">
        <v>485</v>
      </c>
      <c r="D1081" s="2">
        <v>89255.51</v>
      </c>
      <c r="E1081" s="2">
        <v>19521.75</v>
      </c>
      <c r="F1081">
        <v>0</v>
      </c>
    </row>
    <row r="1082" spans="1:6" x14ac:dyDescent="0.25">
      <c r="A1082" s="1">
        <v>44958</v>
      </c>
      <c r="B1082" t="s">
        <v>50</v>
      </c>
      <c r="C1082" t="s">
        <v>977</v>
      </c>
      <c r="D1082">
        <v>0</v>
      </c>
      <c r="E1082">
        <v>0</v>
      </c>
      <c r="F1082">
        <v>0</v>
      </c>
    </row>
    <row r="1083" spans="1:6" x14ac:dyDescent="0.25">
      <c r="A1083" s="1">
        <v>44958</v>
      </c>
      <c r="B1083" t="s">
        <v>23</v>
      </c>
      <c r="C1083" t="s">
        <v>715</v>
      </c>
      <c r="D1083" s="2">
        <v>2521319.6</v>
      </c>
      <c r="E1083">
        <v>0</v>
      </c>
      <c r="F1083">
        <v>0</v>
      </c>
    </row>
    <row r="1084" spans="1:6" x14ac:dyDescent="0.25">
      <c r="A1084" s="1">
        <v>44958</v>
      </c>
      <c r="B1084" t="s">
        <v>50</v>
      </c>
      <c r="C1084" t="s">
        <v>438</v>
      </c>
      <c r="D1084" s="2">
        <v>61046.720000000001</v>
      </c>
      <c r="E1084" s="2">
        <v>3390.3</v>
      </c>
      <c r="F1084" s="2">
        <v>2231.1999999999998</v>
      </c>
    </row>
    <row r="1085" spans="1:6" x14ac:dyDescent="0.25">
      <c r="A1085" s="1">
        <v>44958</v>
      </c>
      <c r="B1085" t="s">
        <v>40</v>
      </c>
      <c r="C1085" t="s">
        <v>813</v>
      </c>
      <c r="D1085" s="2">
        <v>1873125</v>
      </c>
      <c r="E1085">
        <v>0</v>
      </c>
      <c r="F1085">
        <v>0</v>
      </c>
    </row>
    <row r="1086" spans="1:6" x14ac:dyDescent="0.25">
      <c r="A1086" s="1">
        <v>44958</v>
      </c>
      <c r="B1086" t="s">
        <v>21</v>
      </c>
      <c r="C1086" t="s">
        <v>242</v>
      </c>
      <c r="D1086" s="2">
        <v>7566085</v>
      </c>
      <c r="E1086">
        <v>0</v>
      </c>
      <c r="F1086">
        <v>0</v>
      </c>
    </row>
    <row r="1087" spans="1:6" x14ac:dyDescent="0.25">
      <c r="A1087" s="1">
        <v>44958</v>
      </c>
      <c r="B1087" t="s">
        <v>196</v>
      </c>
      <c r="C1087" t="s">
        <v>912</v>
      </c>
      <c r="D1087">
        <v>0</v>
      </c>
      <c r="E1087">
        <v>0</v>
      </c>
      <c r="F1087">
        <v>0</v>
      </c>
    </row>
    <row r="1088" spans="1:6" x14ac:dyDescent="0.25">
      <c r="A1088" s="1">
        <v>44958</v>
      </c>
      <c r="B1088" t="s">
        <v>103</v>
      </c>
      <c r="C1088" t="s">
        <v>233</v>
      </c>
      <c r="D1088">
        <v>0</v>
      </c>
      <c r="E1088" s="2">
        <v>-5289874.72</v>
      </c>
      <c r="F1088" s="2">
        <v>64834.66</v>
      </c>
    </row>
    <row r="1089" spans="1:6" x14ac:dyDescent="0.25">
      <c r="A1089" s="1">
        <v>44958</v>
      </c>
      <c r="B1089" t="s">
        <v>42</v>
      </c>
      <c r="C1089" t="s">
        <v>978</v>
      </c>
      <c r="D1089" s="2">
        <v>20000000</v>
      </c>
      <c r="E1089">
        <v>0</v>
      </c>
      <c r="F1089">
        <v>0</v>
      </c>
    </row>
    <row r="1090" spans="1:6" x14ac:dyDescent="0.25">
      <c r="A1090" s="1">
        <v>44958</v>
      </c>
      <c r="B1090" t="s">
        <v>15</v>
      </c>
      <c r="C1090" t="s">
        <v>979</v>
      </c>
      <c r="D1090">
        <v>0</v>
      </c>
      <c r="E1090">
        <v>0</v>
      </c>
      <c r="F1090">
        <v>0</v>
      </c>
    </row>
    <row r="1091" spans="1:6" x14ac:dyDescent="0.25">
      <c r="A1091" s="1">
        <v>44958</v>
      </c>
      <c r="B1091" t="s">
        <v>100</v>
      </c>
      <c r="C1091" t="s">
        <v>72</v>
      </c>
      <c r="D1091">
        <v>0</v>
      </c>
      <c r="E1091">
        <v>0</v>
      </c>
      <c r="F1091">
        <v>0</v>
      </c>
    </row>
    <row r="1092" spans="1:6" x14ac:dyDescent="0.25">
      <c r="A1092" s="1">
        <v>44958</v>
      </c>
      <c r="B1092" t="s">
        <v>50</v>
      </c>
      <c r="C1092" t="s">
        <v>243</v>
      </c>
      <c r="D1092" s="2">
        <v>30900</v>
      </c>
      <c r="E1092" s="2">
        <v>5649.6</v>
      </c>
      <c r="F1092" s="2">
        <v>5649.6</v>
      </c>
    </row>
    <row r="1093" spans="1:6" x14ac:dyDescent="0.25">
      <c r="A1093" s="1">
        <v>44958</v>
      </c>
      <c r="B1093" t="s">
        <v>17</v>
      </c>
      <c r="C1093" t="s">
        <v>18</v>
      </c>
      <c r="D1093" s="2">
        <v>18833723.510000002</v>
      </c>
      <c r="E1093" s="2">
        <v>18833723.510000002</v>
      </c>
      <c r="F1093" s="2">
        <v>18833723.510000002</v>
      </c>
    </row>
    <row r="1094" spans="1:6" x14ac:dyDescent="0.25">
      <c r="A1094" s="1">
        <v>44958</v>
      </c>
      <c r="B1094" t="s">
        <v>40</v>
      </c>
      <c r="C1094" t="s">
        <v>149</v>
      </c>
      <c r="D1094" s="2">
        <v>2947738.34</v>
      </c>
      <c r="E1094" s="2">
        <v>2537159.94</v>
      </c>
      <c r="F1094" s="2">
        <v>2537159.94</v>
      </c>
    </row>
    <row r="1095" spans="1:6" x14ac:dyDescent="0.25">
      <c r="A1095" s="1">
        <v>44958</v>
      </c>
      <c r="B1095" t="s">
        <v>196</v>
      </c>
      <c r="C1095" t="s">
        <v>267</v>
      </c>
      <c r="D1095">
        <v>0</v>
      </c>
      <c r="E1095">
        <v>0</v>
      </c>
      <c r="F1095">
        <v>0</v>
      </c>
    </row>
    <row r="1096" spans="1:6" x14ac:dyDescent="0.25">
      <c r="A1096" s="1">
        <v>44958</v>
      </c>
      <c r="B1096" t="s">
        <v>398</v>
      </c>
      <c r="C1096" t="s">
        <v>498</v>
      </c>
      <c r="D1096" s="2">
        <v>246826</v>
      </c>
      <c r="E1096" s="2">
        <v>48175.91</v>
      </c>
      <c r="F1096" s="2">
        <v>45818.47</v>
      </c>
    </row>
    <row r="1097" spans="1:6" x14ac:dyDescent="0.25">
      <c r="A1097" s="1">
        <v>44958</v>
      </c>
      <c r="B1097" t="s">
        <v>81</v>
      </c>
      <c r="C1097" t="s">
        <v>246</v>
      </c>
      <c r="D1097">
        <v>0</v>
      </c>
      <c r="E1097">
        <v>0</v>
      </c>
      <c r="F1097">
        <v>0</v>
      </c>
    </row>
    <row r="1098" spans="1:6" x14ac:dyDescent="0.25">
      <c r="A1098" s="1">
        <v>44958</v>
      </c>
      <c r="B1098" t="s">
        <v>44</v>
      </c>
      <c r="C1098" t="s">
        <v>253</v>
      </c>
      <c r="D1098" s="2">
        <v>9166.67</v>
      </c>
      <c r="E1098" s="2">
        <v>9166.66</v>
      </c>
      <c r="F1098" s="2">
        <v>9166.66</v>
      </c>
    </row>
    <row r="1099" spans="1:6" x14ac:dyDescent="0.25">
      <c r="A1099" s="1">
        <v>44958</v>
      </c>
      <c r="B1099" t="s">
        <v>50</v>
      </c>
      <c r="C1099" t="s">
        <v>520</v>
      </c>
      <c r="D1099">
        <v>0</v>
      </c>
      <c r="E1099">
        <v>0</v>
      </c>
      <c r="F1099">
        <v>0</v>
      </c>
    </row>
    <row r="1100" spans="1:6" x14ac:dyDescent="0.25">
      <c r="A1100" s="1">
        <v>44958</v>
      </c>
      <c r="B1100" t="s">
        <v>40</v>
      </c>
      <c r="C1100" t="s">
        <v>455</v>
      </c>
      <c r="D1100">
        <v>0</v>
      </c>
      <c r="E1100">
        <v>0</v>
      </c>
      <c r="F1100">
        <v>0</v>
      </c>
    </row>
    <row r="1101" spans="1:6" x14ac:dyDescent="0.25">
      <c r="A1101" s="1">
        <v>44958</v>
      </c>
      <c r="B1101" t="s">
        <v>105</v>
      </c>
      <c r="C1101" t="s">
        <v>336</v>
      </c>
      <c r="D1101" s="2">
        <v>-314361.53999999998</v>
      </c>
      <c r="E1101" s="2">
        <v>430193.93</v>
      </c>
      <c r="F1101" s="2">
        <v>430193.93</v>
      </c>
    </row>
    <row r="1102" spans="1:6" x14ac:dyDescent="0.25">
      <c r="A1102" s="1">
        <v>44958</v>
      </c>
      <c r="B1102" t="s">
        <v>46</v>
      </c>
      <c r="C1102" t="s">
        <v>333</v>
      </c>
      <c r="D1102" s="2">
        <v>800000</v>
      </c>
      <c r="E1102" s="2">
        <v>800000</v>
      </c>
      <c r="F1102">
        <v>0</v>
      </c>
    </row>
    <row r="1103" spans="1:6" x14ac:dyDescent="0.25">
      <c r="A1103" s="1">
        <v>44958</v>
      </c>
      <c r="B1103" t="s">
        <v>42</v>
      </c>
      <c r="C1103" t="s">
        <v>334</v>
      </c>
      <c r="D1103" s="2">
        <v>34457.75</v>
      </c>
      <c r="E1103" s="2">
        <v>34454.75</v>
      </c>
      <c r="F1103" s="2">
        <v>34454.75</v>
      </c>
    </row>
    <row r="1104" spans="1:6" x14ac:dyDescent="0.25">
      <c r="A1104" s="1">
        <v>44958</v>
      </c>
      <c r="B1104" t="s">
        <v>53</v>
      </c>
      <c r="C1104" t="s">
        <v>84</v>
      </c>
      <c r="D1104" s="2">
        <v>1861982510.1900001</v>
      </c>
      <c r="E1104" s="2">
        <v>1861982510.1900001</v>
      </c>
      <c r="F1104" s="2">
        <v>1861982510.1900001</v>
      </c>
    </row>
    <row r="1105" spans="1:6" x14ac:dyDescent="0.25">
      <c r="A1105" s="1">
        <v>44958</v>
      </c>
      <c r="B1105" t="s">
        <v>23</v>
      </c>
      <c r="C1105" t="s">
        <v>620</v>
      </c>
      <c r="D1105" s="2">
        <v>2216702</v>
      </c>
      <c r="E1105" s="2">
        <v>1108351</v>
      </c>
      <c r="F1105">
        <v>0</v>
      </c>
    </row>
    <row r="1106" spans="1:6" x14ac:dyDescent="0.25">
      <c r="A1106" s="1">
        <v>44958</v>
      </c>
      <c r="B1106" t="s">
        <v>288</v>
      </c>
      <c r="C1106" t="s">
        <v>660</v>
      </c>
      <c r="D1106">
        <v>0</v>
      </c>
      <c r="E1106">
        <v>0</v>
      </c>
      <c r="F1106">
        <v>0</v>
      </c>
    </row>
    <row r="1107" spans="1:6" x14ac:dyDescent="0.25">
      <c r="A1107" s="1">
        <v>44958</v>
      </c>
      <c r="B1107" t="s">
        <v>21</v>
      </c>
      <c r="C1107" t="s">
        <v>312</v>
      </c>
      <c r="D1107">
        <v>0</v>
      </c>
      <c r="E1107">
        <v>0</v>
      </c>
      <c r="F1107">
        <v>0</v>
      </c>
    </row>
    <row r="1108" spans="1:6" x14ac:dyDescent="0.25">
      <c r="A1108" s="1">
        <v>44958</v>
      </c>
      <c r="B1108" t="s">
        <v>132</v>
      </c>
      <c r="C1108" t="s">
        <v>980</v>
      </c>
      <c r="D1108">
        <v>0</v>
      </c>
      <c r="E1108">
        <v>0</v>
      </c>
      <c r="F1108">
        <v>0</v>
      </c>
    </row>
    <row r="1109" spans="1:6" x14ac:dyDescent="0.25">
      <c r="A1109" s="1">
        <v>44958</v>
      </c>
      <c r="B1109" t="s">
        <v>118</v>
      </c>
      <c r="C1109" t="s">
        <v>119</v>
      </c>
      <c r="D1109">
        <v>0</v>
      </c>
      <c r="E1109">
        <v>0</v>
      </c>
      <c r="F1109">
        <v>0</v>
      </c>
    </row>
    <row r="1110" spans="1:6" x14ac:dyDescent="0.25">
      <c r="A1110" s="1">
        <v>44958</v>
      </c>
      <c r="B1110" t="s">
        <v>118</v>
      </c>
      <c r="C1110" t="s">
        <v>308</v>
      </c>
      <c r="D1110" s="2">
        <v>626664.72</v>
      </c>
      <c r="E1110" s="2">
        <v>1683.4</v>
      </c>
      <c r="F1110" s="2">
        <v>1683.4</v>
      </c>
    </row>
    <row r="1111" spans="1:6" x14ac:dyDescent="0.25">
      <c r="A1111" s="1">
        <v>44958</v>
      </c>
      <c r="B1111" t="s">
        <v>92</v>
      </c>
      <c r="C1111" t="s">
        <v>981</v>
      </c>
      <c r="D1111" s="2">
        <v>720000</v>
      </c>
      <c r="E1111" s="2">
        <v>232628</v>
      </c>
      <c r="F1111" s="2">
        <v>232628</v>
      </c>
    </row>
    <row r="1112" spans="1:6" x14ac:dyDescent="0.25">
      <c r="A1112" s="1">
        <v>44958</v>
      </c>
      <c r="B1112" t="s">
        <v>63</v>
      </c>
      <c r="C1112" t="s">
        <v>483</v>
      </c>
      <c r="D1112">
        <v>0</v>
      </c>
      <c r="E1112">
        <v>0</v>
      </c>
      <c r="F1112">
        <v>0</v>
      </c>
    </row>
    <row r="1113" spans="1:6" x14ac:dyDescent="0.25">
      <c r="A1113" s="1">
        <v>44958</v>
      </c>
      <c r="B1113" t="s">
        <v>196</v>
      </c>
      <c r="C1113" t="s">
        <v>875</v>
      </c>
      <c r="D1113">
        <v>0</v>
      </c>
      <c r="E1113">
        <v>0</v>
      </c>
      <c r="F1113">
        <v>0</v>
      </c>
    </row>
    <row r="1114" spans="1:6" x14ac:dyDescent="0.25">
      <c r="A1114" s="1">
        <v>44958</v>
      </c>
      <c r="B1114" t="s">
        <v>21</v>
      </c>
      <c r="C1114" t="s">
        <v>795</v>
      </c>
      <c r="D1114">
        <v>0</v>
      </c>
      <c r="E1114">
        <v>0</v>
      </c>
      <c r="F1114">
        <v>0</v>
      </c>
    </row>
    <row r="1115" spans="1:6" x14ac:dyDescent="0.25">
      <c r="A1115" s="1">
        <v>44958</v>
      </c>
      <c r="B1115" t="s">
        <v>118</v>
      </c>
      <c r="C1115" t="s">
        <v>658</v>
      </c>
      <c r="D1115">
        <v>0</v>
      </c>
      <c r="E1115">
        <v>0</v>
      </c>
      <c r="F1115">
        <v>0</v>
      </c>
    </row>
    <row r="1116" spans="1:6" x14ac:dyDescent="0.25">
      <c r="A1116" s="1">
        <v>44958</v>
      </c>
      <c r="B1116" t="s">
        <v>21</v>
      </c>
      <c r="C1116" t="s">
        <v>526</v>
      </c>
      <c r="D1116">
        <v>0</v>
      </c>
      <c r="E1116" s="2">
        <v>323794.63</v>
      </c>
      <c r="F1116" s="2">
        <v>296774.7</v>
      </c>
    </row>
    <row r="1117" spans="1:6" x14ac:dyDescent="0.25">
      <c r="A1117" s="1">
        <v>44958</v>
      </c>
      <c r="B1117" t="s">
        <v>23</v>
      </c>
      <c r="C1117" t="s">
        <v>551</v>
      </c>
      <c r="D1117" s="2">
        <v>96736.92</v>
      </c>
      <c r="E1117" s="2">
        <v>93217.81</v>
      </c>
      <c r="F1117" s="2">
        <v>74392.58</v>
      </c>
    </row>
    <row r="1118" spans="1:6" x14ac:dyDescent="0.25">
      <c r="A1118" s="1">
        <v>44958</v>
      </c>
      <c r="B1118" t="s">
        <v>31</v>
      </c>
      <c r="C1118" t="s">
        <v>668</v>
      </c>
      <c r="D1118">
        <v>0</v>
      </c>
      <c r="E1118">
        <v>0</v>
      </c>
      <c r="F1118">
        <v>0</v>
      </c>
    </row>
    <row r="1119" spans="1:6" x14ac:dyDescent="0.25">
      <c r="A1119" s="1">
        <v>44958</v>
      </c>
      <c r="B1119" t="s">
        <v>107</v>
      </c>
      <c r="C1119" t="s">
        <v>982</v>
      </c>
      <c r="D1119">
        <v>0</v>
      </c>
      <c r="E1119">
        <v>0</v>
      </c>
      <c r="F1119">
        <v>0</v>
      </c>
    </row>
    <row r="1120" spans="1:6" x14ac:dyDescent="0.25">
      <c r="A1120" s="1">
        <v>44958</v>
      </c>
      <c r="B1120" t="s">
        <v>9</v>
      </c>
      <c r="C1120" t="s">
        <v>363</v>
      </c>
      <c r="D1120">
        <v>376</v>
      </c>
      <c r="E1120">
        <v>376</v>
      </c>
      <c r="F1120">
        <v>376</v>
      </c>
    </row>
    <row r="1121" spans="1:6" x14ac:dyDescent="0.25">
      <c r="A1121" s="1">
        <v>44958</v>
      </c>
      <c r="B1121" t="s">
        <v>29</v>
      </c>
      <c r="C1121" t="s">
        <v>180</v>
      </c>
      <c r="D1121">
        <v>0</v>
      </c>
      <c r="E1121">
        <v>0</v>
      </c>
      <c r="F1121">
        <v>0</v>
      </c>
    </row>
    <row r="1122" spans="1:6" x14ac:dyDescent="0.25">
      <c r="A1122" s="1">
        <v>44958</v>
      </c>
      <c r="B1122" t="s">
        <v>65</v>
      </c>
      <c r="C1122" t="s">
        <v>66</v>
      </c>
      <c r="D1122" s="2">
        <v>396651.28</v>
      </c>
      <c r="E1122" s="2">
        <v>300307.58</v>
      </c>
      <c r="F1122" s="2">
        <v>300307.58</v>
      </c>
    </row>
    <row r="1123" spans="1:6" x14ac:dyDescent="0.25">
      <c r="A1123" s="1">
        <v>44958</v>
      </c>
      <c r="B1123" t="s">
        <v>27</v>
      </c>
      <c r="C1123" t="s">
        <v>983</v>
      </c>
      <c r="D1123">
        <v>0</v>
      </c>
      <c r="E1123">
        <v>0</v>
      </c>
      <c r="F1123">
        <v>0</v>
      </c>
    </row>
    <row r="1124" spans="1:6" x14ac:dyDescent="0.25">
      <c r="A1124" s="1">
        <v>44958</v>
      </c>
      <c r="B1124" t="s">
        <v>288</v>
      </c>
      <c r="C1124" t="s">
        <v>434</v>
      </c>
      <c r="D1124">
        <v>0</v>
      </c>
      <c r="E1124">
        <v>0</v>
      </c>
      <c r="F1124">
        <v>0</v>
      </c>
    </row>
    <row r="1125" spans="1:6" x14ac:dyDescent="0.25">
      <c r="A1125" s="1">
        <v>44958</v>
      </c>
      <c r="B1125" t="s">
        <v>101</v>
      </c>
      <c r="C1125" t="s">
        <v>984</v>
      </c>
      <c r="D1125" s="2">
        <v>1451190</v>
      </c>
      <c r="E1125">
        <v>0</v>
      </c>
      <c r="F1125">
        <v>0</v>
      </c>
    </row>
    <row r="1126" spans="1:6" x14ac:dyDescent="0.25">
      <c r="A1126" s="1">
        <v>44958</v>
      </c>
      <c r="B1126" t="s">
        <v>107</v>
      </c>
      <c r="C1126" t="s">
        <v>505</v>
      </c>
      <c r="D1126" s="2">
        <v>10913363.98</v>
      </c>
      <c r="E1126">
        <v>0</v>
      </c>
      <c r="F1126">
        <v>0</v>
      </c>
    </row>
    <row r="1127" spans="1:6" x14ac:dyDescent="0.25">
      <c r="A1127" s="1">
        <v>44958</v>
      </c>
      <c r="B1127" t="s">
        <v>13</v>
      </c>
      <c r="C1127" t="s">
        <v>446</v>
      </c>
      <c r="D1127" s="2">
        <v>64532.57</v>
      </c>
      <c r="E1127" s="2">
        <v>64532.57</v>
      </c>
      <c r="F1127" s="2">
        <v>33529180.18</v>
      </c>
    </row>
    <row r="1128" spans="1:6" x14ac:dyDescent="0.25">
      <c r="A1128" s="1">
        <v>44958</v>
      </c>
      <c r="B1128" t="s">
        <v>68</v>
      </c>
      <c r="C1128" t="s">
        <v>221</v>
      </c>
      <c r="D1128" s="2">
        <v>52035442.82</v>
      </c>
      <c r="E1128" s="2">
        <v>5649170.2699999996</v>
      </c>
      <c r="F1128" s="2">
        <v>1341759.77</v>
      </c>
    </row>
    <row r="1129" spans="1:6" x14ac:dyDescent="0.25">
      <c r="A1129" s="1">
        <v>44958</v>
      </c>
      <c r="B1129" t="s">
        <v>21</v>
      </c>
      <c r="C1129" t="s">
        <v>985</v>
      </c>
      <c r="D1129" s="2">
        <v>5476942</v>
      </c>
      <c r="E1129">
        <v>0</v>
      </c>
      <c r="F1129">
        <v>0</v>
      </c>
    </row>
    <row r="1130" spans="1:6" x14ac:dyDescent="0.25">
      <c r="A1130" s="1">
        <v>44958</v>
      </c>
      <c r="B1130" t="s">
        <v>159</v>
      </c>
      <c r="C1130" t="s">
        <v>986</v>
      </c>
      <c r="D1130">
        <v>0</v>
      </c>
      <c r="E1130">
        <v>0</v>
      </c>
      <c r="F1130">
        <v>0</v>
      </c>
    </row>
    <row r="1131" spans="1:6" x14ac:dyDescent="0.25">
      <c r="A1131" s="1">
        <v>44958</v>
      </c>
      <c r="B1131" t="s">
        <v>460</v>
      </c>
      <c r="C1131" t="s">
        <v>461</v>
      </c>
      <c r="D1131" s="2">
        <v>52500</v>
      </c>
      <c r="E1131" s="2">
        <v>40880.33</v>
      </c>
      <c r="F1131" s="2">
        <v>40880.33</v>
      </c>
    </row>
    <row r="1132" spans="1:6" x14ac:dyDescent="0.25">
      <c r="A1132" s="1">
        <v>44958</v>
      </c>
      <c r="B1132" t="s">
        <v>21</v>
      </c>
      <c r="C1132" t="s">
        <v>523</v>
      </c>
      <c r="D1132" s="2">
        <v>467723</v>
      </c>
      <c r="E1132">
        <v>0</v>
      </c>
      <c r="F1132">
        <v>0</v>
      </c>
    </row>
    <row r="1133" spans="1:6" x14ac:dyDescent="0.25">
      <c r="A1133" s="1">
        <v>44958</v>
      </c>
      <c r="B1133" t="s">
        <v>37</v>
      </c>
      <c r="C1133" t="s">
        <v>208</v>
      </c>
      <c r="D1133" s="2">
        <v>18000000</v>
      </c>
      <c r="E1133" s="2">
        <v>286289883.45999998</v>
      </c>
      <c r="F1133" s="2">
        <v>176717011.38999999</v>
      </c>
    </row>
    <row r="1134" spans="1:6" x14ac:dyDescent="0.25">
      <c r="A1134" s="1">
        <v>44958</v>
      </c>
      <c r="B1134" t="s">
        <v>46</v>
      </c>
      <c r="C1134" t="s">
        <v>987</v>
      </c>
      <c r="D1134" s="2">
        <v>50000</v>
      </c>
      <c r="E1134">
        <v>0</v>
      </c>
      <c r="F1134">
        <v>0</v>
      </c>
    </row>
    <row r="1135" spans="1:6" x14ac:dyDescent="0.25">
      <c r="A1135" s="1">
        <v>44958</v>
      </c>
      <c r="B1135" t="s">
        <v>9</v>
      </c>
      <c r="C1135" t="s">
        <v>182</v>
      </c>
      <c r="D1135">
        <v>0</v>
      </c>
      <c r="E1135">
        <v>0</v>
      </c>
      <c r="F1135">
        <v>0</v>
      </c>
    </row>
    <row r="1136" spans="1:6" x14ac:dyDescent="0.25">
      <c r="A1136" s="1">
        <v>44958</v>
      </c>
      <c r="B1136" t="s">
        <v>23</v>
      </c>
      <c r="C1136" t="s">
        <v>343</v>
      </c>
      <c r="D1136">
        <v>0</v>
      </c>
      <c r="E1136">
        <v>0</v>
      </c>
      <c r="F1136">
        <v>0</v>
      </c>
    </row>
    <row r="1137" spans="1:6" x14ac:dyDescent="0.25">
      <c r="A1137" s="1">
        <v>44958</v>
      </c>
      <c r="B1137" t="s">
        <v>251</v>
      </c>
      <c r="C1137" t="s">
        <v>332</v>
      </c>
      <c r="D1137" s="2">
        <v>47859574.240000002</v>
      </c>
      <c r="E1137" s="2">
        <v>47859574.240000002</v>
      </c>
      <c r="F1137" s="2">
        <v>47859574.240000002</v>
      </c>
    </row>
    <row r="1138" spans="1:6" x14ac:dyDescent="0.25">
      <c r="A1138" s="1">
        <v>44958</v>
      </c>
      <c r="B1138" t="s">
        <v>40</v>
      </c>
      <c r="C1138" t="s">
        <v>135</v>
      </c>
      <c r="D1138">
        <v>-3.37</v>
      </c>
      <c r="E1138" s="2">
        <v>430918.44</v>
      </c>
      <c r="F1138" s="2">
        <v>430921.81</v>
      </c>
    </row>
    <row r="1139" spans="1:6" x14ac:dyDescent="0.25">
      <c r="A1139" s="1">
        <v>44958</v>
      </c>
      <c r="B1139" t="s">
        <v>44</v>
      </c>
      <c r="C1139" t="s">
        <v>723</v>
      </c>
      <c r="D1139" s="2">
        <v>430000</v>
      </c>
      <c r="E1139" s="2">
        <v>56283.44</v>
      </c>
      <c r="F1139" s="2">
        <v>48616.61</v>
      </c>
    </row>
    <row r="1140" spans="1:6" x14ac:dyDescent="0.25">
      <c r="A1140" s="1">
        <v>44958</v>
      </c>
      <c r="B1140" t="s">
        <v>94</v>
      </c>
      <c r="C1140" t="s">
        <v>95</v>
      </c>
      <c r="D1140">
        <v>0</v>
      </c>
      <c r="E1140">
        <v>0</v>
      </c>
      <c r="F1140">
        <v>0</v>
      </c>
    </row>
    <row r="1141" spans="1:6" x14ac:dyDescent="0.25">
      <c r="A1141" s="1">
        <v>44958</v>
      </c>
      <c r="B1141" t="s">
        <v>107</v>
      </c>
      <c r="C1141" t="s">
        <v>687</v>
      </c>
      <c r="D1141" s="2">
        <v>18400</v>
      </c>
      <c r="E1141" s="2">
        <v>23653.34</v>
      </c>
      <c r="F1141" s="2">
        <v>23653.34</v>
      </c>
    </row>
    <row r="1142" spans="1:6" x14ac:dyDescent="0.25">
      <c r="A1142" s="1">
        <v>44958</v>
      </c>
      <c r="B1142" t="s">
        <v>23</v>
      </c>
      <c r="C1142" t="s">
        <v>988</v>
      </c>
      <c r="D1142" s="2">
        <v>52577993</v>
      </c>
      <c r="E1142">
        <v>0</v>
      </c>
      <c r="F1142">
        <v>0</v>
      </c>
    </row>
    <row r="1143" spans="1:6" x14ac:dyDescent="0.25">
      <c r="A1143" s="1">
        <v>44958</v>
      </c>
      <c r="B1143" t="s">
        <v>63</v>
      </c>
      <c r="C1143" t="s">
        <v>64</v>
      </c>
      <c r="D1143">
        <v>0</v>
      </c>
      <c r="E1143">
        <v>0</v>
      </c>
      <c r="F1143">
        <v>0</v>
      </c>
    </row>
    <row r="1144" spans="1:6" x14ac:dyDescent="0.25">
      <c r="A1144" s="1">
        <v>44958</v>
      </c>
      <c r="B1144" t="s">
        <v>132</v>
      </c>
      <c r="C1144" t="s">
        <v>989</v>
      </c>
      <c r="D1144" s="2">
        <v>11796.06</v>
      </c>
      <c r="E1144">
        <v>0</v>
      </c>
      <c r="F1144">
        <v>0</v>
      </c>
    </row>
    <row r="1145" spans="1:6" x14ac:dyDescent="0.25">
      <c r="A1145" s="1">
        <v>44958</v>
      </c>
      <c r="B1145" t="s">
        <v>288</v>
      </c>
      <c r="C1145" t="s">
        <v>990</v>
      </c>
      <c r="D1145" s="2">
        <v>164840</v>
      </c>
      <c r="E1145" s="2">
        <v>164840</v>
      </c>
      <c r="F1145" s="2">
        <v>164840</v>
      </c>
    </row>
    <row r="1146" spans="1:6" x14ac:dyDescent="0.25">
      <c r="A1146" s="1">
        <v>44958</v>
      </c>
      <c r="B1146" t="s">
        <v>196</v>
      </c>
      <c r="C1146" t="s">
        <v>563</v>
      </c>
      <c r="D1146">
        <v>0</v>
      </c>
      <c r="E1146">
        <v>0</v>
      </c>
      <c r="F1146">
        <v>0</v>
      </c>
    </row>
    <row r="1147" spans="1:6" x14ac:dyDescent="0.25">
      <c r="A1147" s="1">
        <v>44958</v>
      </c>
      <c r="B1147" t="s">
        <v>991</v>
      </c>
      <c r="C1147" t="s">
        <v>897</v>
      </c>
      <c r="D1147">
        <v>0</v>
      </c>
      <c r="E1147">
        <v>0</v>
      </c>
      <c r="F1147">
        <v>0</v>
      </c>
    </row>
    <row r="1148" spans="1:6" x14ac:dyDescent="0.25">
      <c r="A1148" s="1">
        <v>44958</v>
      </c>
      <c r="B1148" t="s">
        <v>7</v>
      </c>
      <c r="C1148" t="s">
        <v>124</v>
      </c>
      <c r="D1148">
        <v>0</v>
      </c>
      <c r="E1148" s="2">
        <v>1496515.62</v>
      </c>
      <c r="F1148" s="2">
        <v>1496515.62</v>
      </c>
    </row>
    <row r="1149" spans="1:6" x14ac:dyDescent="0.25">
      <c r="A1149" s="1">
        <v>44958</v>
      </c>
      <c r="B1149" t="s">
        <v>992</v>
      </c>
      <c r="C1149" t="s">
        <v>993</v>
      </c>
      <c r="D1149">
        <v>0</v>
      </c>
      <c r="E1149">
        <v>0</v>
      </c>
      <c r="F1149">
        <v>0</v>
      </c>
    </row>
    <row r="1150" spans="1:6" x14ac:dyDescent="0.25">
      <c r="A1150" s="1">
        <v>44958</v>
      </c>
      <c r="B1150" t="s">
        <v>21</v>
      </c>
      <c r="C1150" t="s">
        <v>123</v>
      </c>
      <c r="D1150" s="2">
        <v>168580935.38</v>
      </c>
      <c r="E1150" s="2">
        <v>81431.58</v>
      </c>
      <c r="F1150" s="2">
        <v>81431.58</v>
      </c>
    </row>
    <row r="1151" spans="1:6" x14ac:dyDescent="0.25">
      <c r="A1151" s="1">
        <v>44958</v>
      </c>
      <c r="B1151" t="s">
        <v>23</v>
      </c>
      <c r="C1151" t="s">
        <v>203</v>
      </c>
      <c r="D1151">
        <v>0</v>
      </c>
      <c r="E1151">
        <v>0</v>
      </c>
      <c r="F1151">
        <v>0</v>
      </c>
    </row>
    <row r="1152" spans="1:6" x14ac:dyDescent="0.25">
      <c r="A1152" s="1">
        <v>44958</v>
      </c>
      <c r="B1152" t="s">
        <v>37</v>
      </c>
      <c r="C1152" t="s">
        <v>840</v>
      </c>
      <c r="D1152">
        <v>0</v>
      </c>
      <c r="E1152">
        <v>0</v>
      </c>
      <c r="F1152">
        <v>0</v>
      </c>
    </row>
    <row r="1153" spans="1:6" x14ac:dyDescent="0.25">
      <c r="A1153" s="1">
        <v>44958</v>
      </c>
      <c r="B1153" t="s">
        <v>81</v>
      </c>
      <c r="C1153" t="s">
        <v>444</v>
      </c>
      <c r="D1153">
        <v>0</v>
      </c>
      <c r="E1153">
        <v>0</v>
      </c>
      <c r="F1153">
        <v>0</v>
      </c>
    </row>
    <row r="1154" spans="1:6" x14ac:dyDescent="0.25">
      <c r="A1154" s="1">
        <v>44958</v>
      </c>
      <c r="B1154" t="s">
        <v>682</v>
      </c>
      <c r="C1154" t="s">
        <v>741</v>
      </c>
      <c r="D1154">
        <v>0</v>
      </c>
      <c r="E1154">
        <v>0</v>
      </c>
      <c r="F1154">
        <v>0</v>
      </c>
    </row>
    <row r="1155" spans="1:6" x14ac:dyDescent="0.25">
      <c r="A1155" s="1">
        <v>44958</v>
      </c>
      <c r="B1155" t="s">
        <v>21</v>
      </c>
      <c r="C1155" t="s">
        <v>329</v>
      </c>
      <c r="D1155">
        <v>0</v>
      </c>
      <c r="E1155" s="2">
        <v>1979279.97</v>
      </c>
      <c r="F1155" s="2">
        <v>1916008.48</v>
      </c>
    </row>
    <row r="1156" spans="1:6" x14ac:dyDescent="0.25">
      <c r="A1156" s="1">
        <v>44958</v>
      </c>
      <c r="B1156" t="s">
        <v>23</v>
      </c>
      <c r="C1156" t="s">
        <v>710</v>
      </c>
      <c r="D1156">
        <v>0</v>
      </c>
      <c r="E1156">
        <v>0</v>
      </c>
      <c r="F1156">
        <v>0</v>
      </c>
    </row>
    <row r="1157" spans="1:6" x14ac:dyDescent="0.25">
      <c r="A1157" s="1">
        <v>44958</v>
      </c>
      <c r="B1157" t="s">
        <v>21</v>
      </c>
      <c r="C1157" t="s">
        <v>650</v>
      </c>
      <c r="D1157" s="2">
        <v>10897421</v>
      </c>
      <c r="E1157">
        <v>0</v>
      </c>
      <c r="F1157">
        <v>0</v>
      </c>
    </row>
    <row r="1158" spans="1:6" x14ac:dyDescent="0.25">
      <c r="A1158" s="1">
        <v>44958</v>
      </c>
      <c r="B1158" t="s">
        <v>21</v>
      </c>
      <c r="C1158" t="s">
        <v>994</v>
      </c>
      <c r="D1158">
        <v>0</v>
      </c>
      <c r="E1158">
        <v>0</v>
      </c>
      <c r="F1158">
        <v>0</v>
      </c>
    </row>
    <row r="1159" spans="1:6" x14ac:dyDescent="0.25">
      <c r="A1159" s="1">
        <v>44958</v>
      </c>
      <c r="B1159" t="s">
        <v>132</v>
      </c>
      <c r="C1159" t="s">
        <v>140</v>
      </c>
      <c r="D1159" s="2">
        <v>42252040.549999997</v>
      </c>
      <c r="E1159" s="2">
        <v>19484972.559999999</v>
      </c>
      <c r="F1159" s="2">
        <v>8893254.4299999997</v>
      </c>
    </row>
    <row r="1160" spans="1:6" x14ac:dyDescent="0.25">
      <c r="A1160" s="1">
        <v>44958</v>
      </c>
      <c r="B1160" t="s">
        <v>318</v>
      </c>
      <c r="C1160" t="s">
        <v>319</v>
      </c>
      <c r="D1160">
        <v>0</v>
      </c>
      <c r="E1160">
        <v>0</v>
      </c>
      <c r="F1160">
        <v>0</v>
      </c>
    </row>
    <row r="1161" spans="1:6" x14ac:dyDescent="0.25">
      <c r="A1161" s="1">
        <v>44958</v>
      </c>
      <c r="B1161" t="s">
        <v>68</v>
      </c>
      <c r="C1161" t="s">
        <v>995</v>
      </c>
      <c r="D1161">
        <v>0</v>
      </c>
      <c r="E1161">
        <v>0</v>
      </c>
      <c r="F1161">
        <v>0</v>
      </c>
    </row>
    <row r="1162" spans="1:6" x14ac:dyDescent="0.25">
      <c r="A1162" s="1">
        <v>44958</v>
      </c>
      <c r="B1162" t="s">
        <v>98</v>
      </c>
      <c r="C1162" t="s">
        <v>996</v>
      </c>
      <c r="D1162">
        <v>0</v>
      </c>
      <c r="E1162">
        <v>0</v>
      </c>
      <c r="F1162">
        <v>0</v>
      </c>
    </row>
    <row r="1163" spans="1:6" x14ac:dyDescent="0.25">
      <c r="A1163" s="1">
        <v>44958</v>
      </c>
      <c r="B1163" t="s">
        <v>68</v>
      </c>
      <c r="C1163" t="s">
        <v>87</v>
      </c>
      <c r="D1163" s="2">
        <v>20000</v>
      </c>
      <c r="E1163">
        <v>0</v>
      </c>
      <c r="F1163">
        <v>0</v>
      </c>
    </row>
    <row r="1164" spans="1:6" x14ac:dyDescent="0.25">
      <c r="A1164" s="1">
        <v>44958</v>
      </c>
      <c r="B1164" t="s">
        <v>68</v>
      </c>
      <c r="C1164" t="s">
        <v>69</v>
      </c>
      <c r="D1164">
        <v>0</v>
      </c>
      <c r="E1164">
        <v>0</v>
      </c>
      <c r="F1164">
        <v>0</v>
      </c>
    </row>
    <row r="1165" spans="1:6" x14ac:dyDescent="0.25">
      <c r="A1165" s="1">
        <v>44958</v>
      </c>
      <c r="B1165" t="s">
        <v>118</v>
      </c>
      <c r="C1165" t="s">
        <v>419</v>
      </c>
      <c r="D1165" s="2">
        <v>153537.15</v>
      </c>
      <c r="E1165" s="2">
        <v>2884.2</v>
      </c>
      <c r="F1165" s="2">
        <v>2884.2</v>
      </c>
    </row>
    <row r="1166" spans="1:6" x14ac:dyDescent="0.25">
      <c r="A1166" s="1">
        <v>44958</v>
      </c>
      <c r="B1166" t="s">
        <v>296</v>
      </c>
      <c r="C1166" t="s">
        <v>997</v>
      </c>
      <c r="D1166" s="2">
        <v>292736</v>
      </c>
      <c r="E1166">
        <v>0</v>
      </c>
      <c r="F1166">
        <v>0</v>
      </c>
    </row>
    <row r="1167" spans="1:6" x14ac:dyDescent="0.25">
      <c r="A1167" s="1">
        <v>44958</v>
      </c>
      <c r="B1167" t="s">
        <v>21</v>
      </c>
      <c r="C1167" t="s">
        <v>998</v>
      </c>
      <c r="D1167">
        <v>0</v>
      </c>
      <c r="E1167">
        <v>0</v>
      </c>
      <c r="F1167">
        <v>0</v>
      </c>
    </row>
    <row r="1168" spans="1:6" x14ac:dyDescent="0.25">
      <c r="A1168" s="1">
        <v>44958</v>
      </c>
      <c r="B1168" t="s">
        <v>225</v>
      </c>
      <c r="C1168" t="s">
        <v>571</v>
      </c>
      <c r="D1168">
        <v>0</v>
      </c>
      <c r="E1168">
        <v>0</v>
      </c>
      <c r="F1168">
        <v>0</v>
      </c>
    </row>
    <row r="1169" spans="1:6" x14ac:dyDescent="0.25">
      <c r="A1169" s="1">
        <v>44958</v>
      </c>
      <c r="B1169" t="s">
        <v>306</v>
      </c>
      <c r="C1169" t="s">
        <v>702</v>
      </c>
      <c r="D1169" s="2">
        <v>1144636.74</v>
      </c>
      <c r="E1169" s="2">
        <v>6260.47</v>
      </c>
      <c r="F1169" s="2">
        <v>6260.47</v>
      </c>
    </row>
    <row r="1170" spans="1:6" x14ac:dyDescent="0.25">
      <c r="A1170" s="1">
        <v>44958</v>
      </c>
      <c r="B1170" t="s">
        <v>7</v>
      </c>
      <c r="C1170" t="s">
        <v>448</v>
      </c>
      <c r="D1170" s="2">
        <v>21790479.5</v>
      </c>
      <c r="E1170" s="2">
        <v>4636492.83</v>
      </c>
      <c r="F1170" s="2">
        <v>4636492.83</v>
      </c>
    </row>
    <row r="1171" spans="1:6" x14ac:dyDescent="0.25">
      <c r="A1171" s="1">
        <v>44958</v>
      </c>
      <c r="B1171" t="s">
        <v>46</v>
      </c>
      <c r="C1171" t="s">
        <v>57</v>
      </c>
      <c r="D1171" s="2">
        <v>73266</v>
      </c>
      <c r="E1171" s="2">
        <v>25700</v>
      </c>
      <c r="F1171" s="2">
        <v>25700</v>
      </c>
    </row>
    <row r="1172" spans="1:6" x14ac:dyDescent="0.25">
      <c r="A1172" s="1">
        <v>44958</v>
      </c>
      <c r="B1172" t="s">
        <v>196</v>
      </c>
      <c r="C1172" t="s">
        <v>999</v>
      </c>
      <c r="D1172">
        <v>0</v>
      </c>
      <c r="E1172">
        <v>0</v>
      </c>
      <c r="F1172">
        <v>0</v>
      </c>
    </row>
    <row r="1173" spans="1:6" x14ac:dyDescent="0.25">
      <c r="A1173" s="1">
        <v>44958</v>
      </c>
      <c r="B1173" t="s">
        <v>107</v>
      </c>
      <c r="C1173" t="s">
        <v>189</v>
      </c>
      <c r="D1173" s="2">
        <v>24402800</v>
      </c>
      <c r="E1173" s="2">
        <v>7414800</v>
      </c>
      <c r="F1173" s="2">
        <v>11266000</v>
      </c>
    </row>
    <row r="1174" spans="1:6" x14ac:dyDescent="0.25">
      <c r="A1174" s="1">
        <v>44958</v>
      </c>
      <c r="B1174" t="s">
        <v>105</v>
      </c>
      <c r="C1174" t="s">
        <v>393</v>
      </c>
      <c r="D1174">
        <v>0</v>
      </c>
      <c r="E1174">
        <v>0</v>
      </c>
      <c r="F1174">
        <v>0</v>
      </c>
    </row>
    <row r="1175" spans="1:6" x14ac:dyDescent="0.25">
      <c r="A1175" s="1">
        <v>44958</v>
      </c>
      <c r="B1175" t="s">
        <v>98</v>
      </c>
      <c r="C1175" t="s">
        <v>1000</v>
      </c>
      <c r="D1175">
        <v>0</v>
      </c>
      <c r="E1175">
        <v>0</v>
      </c>
      <c r="F1175">
        <v>0</v>
      </c>
    </row>
    <row r="1176" spans="1:6" x14ac:dyDescent="0.25">
      <c r="A1176" s="1">
        <v>44958</v>
      </c>
      <c r="B1176" t="s">
        <v>50</v>
      </c>
      <c r="C1176" t="s">
        <v>287</v>
      </c>
      <c r="D1176" s="2">
        <v>41099.360000000001</v>
      </c>
      <c r="E1176" s="2">
        <v>10687.8</v>
      </c>
      <c r="F1176" s="2">
        <v>10687.8</v>
      </c>
    </row>
    <row r="1177" spans="1:6" x14ac:dyDescent="0.25">
      <c r="A1177" s="1">
        <v>44958</v>
      </c>
      <c r="B1177" t="s">
        <v>21</v>
      </c>
      <c r="C1177" t="s">
        <v>524</v>
      </c>
      <c r="D1177" s="2">
        <v>3846332</v>
      </c>
      <c r="E1177">
        <v>0</v>
      </c>
      <c r="F1177">
        <v>0</v>
      </c>
    </row>
    <row r="1178" spans="1:6" x14ac:dyDescent="0.25">
      <c r="A1178" s="1">
        <v>44958</v>
      </c>
      <c r="B1178" t="s">
        <v>682</v>
      </c>
      <c r="C1178" t="s">
        <v>866</v>
      </c>
      <c r="D1178">
        <v>0</v>
      </c>
      <c r="E1178">
        <v>0</v>
      </c>
      <c r="F1178">
        <v>0</v>
      </c>
    </row>
    <row r="1179" spans="1:6" x14ac:dyDescent="0.25">
      <c r="A1179" s="1">
        <v>44958</v>
      </c>
      <c r="B1179" t="s">
        <v>98</v>
      </c>
      <c r="C1179" t="s">
        <v>543</v>
      </c>
      <c r="D1179">
        <v>0</v>
      </c>
      <c r="E1179">
        <v>0</v>
      </c>
      <c r="F1179">
        <v>0</v>
      </c>
    </row>
    <row r="1180" spans="1:6" x14ac:dyDescent="0.25">
      <c r="A1180" s="1">
        <v>44958</v>
      </c>
      <c r="B1180" t="s">
        <v>383</v>
      </c>
      <c r="C1180" t="s">
        <v>1001</v>
      </c>
      <c r="D1180">
        <v>0</v>
      </c>
      <c r="E1180">
        <v>0</v>
      </c>
      <c r="F1180">
        <v>0</v>
      </c>
    </row>
    <row r="1181" spans="1:6" x14ac:dyDescent="0.25">
      <c r="A1181" s="1">
        <v>44958</v>
      </c>
      <c r="B1181" t="s">
        <v>31</v>
      </c>
      <c r="C1181" t="s">
        <v>32</v>
      </c>
      <c r="D1181" s="2">
        <v>229171.97</v>
      </c>
      <c r="E1181">
        <v>0</v>
      </c>
      <c r="F1181">
        <v>0</v>
      </c>
    </row>
    <row r="1182" spans="1:6" x14ac:dyDescent="0.25">
      <c r="A1182" s="1">
        <v>44958</v>
      </c>
      <c r="B1182" t="s">
        <v>19</v>
      </c>
      <c r="C1182" t="s">
        <v>1002</v>
      </c>
      <c r="D1182" s="2">
        <v>48000</v>
      </c>
      <c r="E1182">
        <v>696.18</v>
      </c>
      <c r="F1182">
        <v>696.18</v>
      </c>
    </row>
    <row r="1183" spans="1:6" x14ac:dyDescent="0.25">
      <c r="A1183" s="1">
        <v>44958</v>
      </c>
      <c r="B1183" t="s">
        <v>17</v>
      </c>
      <c r="C1183" t="s">
        <v>327</v>
      </c>
      <c r="D1183" s="2">
        <v>50001</v>
      </c>
      <c r="E1183" s="2">
        <v>1910.08</v>
      </c>
      <c r="F1183" s="2">
        <v>1910.08</v>
      </c>
    </row>
    <row r="1184" spans="1:6" x14ac:dyDescent="0.25">
      <c r="A1184" s="1">
        <v>44958</v>
      </c>
      <c r="B1184" t="s">
        <v>50</v>
      </c>
      <c r="C1184" t="s">
        <v>596</v>
      </c>
      <c r="D1184">
        <v>0</v>
      </c>
      <c r="E1184" s="2">
        <v>8328.9</v>
      </c>
      <c r="F1184" s="2">
        <v>8328.9</v>
      </c>
    </row>
    <row r="1185" spans="1:6" x14ac:dyDescent="0.25">
      <c r="A1185" s="1">
        <v>44958</v>
      </c>
      <c r="B1185" t="s">
        <v>37</v>
      </c>
      <c r="C1185" t="s">
        <v>319</v>
      </c>
      <c r="D1185">
        <v>0</v>
      </c>
      <c r="E1185">
        <v>0</v>
      </c>
      <c r="F1185">
        <v>0</v>
      </c>
    </row>
    <row r="1186" spans="1:6" x14ac:dyDescent="0.25">
      <c r="A1186" s="1">
        <v>44958</v>
      </c>
      <c r="B1186" t="s">
        <v>25</v>
      </c>
      <c r="C1186" t="s">
        <v>373</v>
      </c>
      <c r="D1186" s="2">
        <v>11168.25</v>
      </c>
      <c r="E1186" s="2">
        <v>1981.38</v>
      </c>
      <c r="F1186" s="2">
        <v>1981.38</v>
      </c>
    </row>
    <row r="1187" spans="1:6" x14ac:dyDescent="0.25">
      <c r="A1187" s="1">
        <v>44958</v>
      </c>
      <c r="B1187" t="s">
        <v>37</v>
      </c>
      <c r="C1187" t="s">
        <v>88</v>
      </c>
      <c r="D1187">
        <v>0</v>
      </c>
      <c r="E1187">
        <v>0</v>
      </c>
      <c r="F1187">
        <v>0</v>
      </c>
    </row>
    <row r="1188" spans="1:6" x14ac:dyDescent="0.25">
      <c r="A1188" s="1">
        <v>44958</v>
      </c>
      <c r="B1188" t="s">
        <v>443</v>
      </c>
      <c r="C1188" t="s">
        <v>246</v>
      </c>
      <c r="D1188">
        <v>0</v>
      </c>
      <c r="E1188">
        <v>0</v>
      </c>
      <c r="F1188">
        <v>0</v>
      </c>
    </row>
    <row r="1189" spans="1:6" x14ac:dyDescent="0.25">
      <c r="A1189" s="1">
        <v>44958</v>
      </c>
      <c r="B1189" t="s">
        <v>23</v>
      </c>
      <c r="C1189" t="s">
        <v>248</v>
      </c>
      <c r="D1189">
        <v>0</v>
      </c>
      <c r="E1189">
        <v>0</v>
      </c>
      <c r="F1189">
        <v>0</v>
      </c>
    </row>
    <row r="1190" spans="1:6" x14ac:dyDescent="0.25">
      <c r="A1190" s="1">
        <v>44958</v>
      </c>
      <c r="B1190" t="s">
        <v>19</v>
      </c>
      <c r="C1190" t="s">
        <v>20</v>
      </c>
      <c r="D1190" s="2">
        <v>254549.14</v>
      </c>
      <c r="E1190" s="2">
        <v>15752.69</v>
      </c>
      <c r="F1190" s="2">
        <v>8036.51</v>
      </c>
    </row>
    <row r="1191" spans="1:6" x14ac:dyDescent="0.25">
      <c r="A1191" s="1">
        <v>44958</v>
      </c>
      <c r="B1191" t="s">
        <v>426</v>
      </c>
      <c r="C1191" t="s">
        <v>427</v>
      </c>
      <c r="D1191" s="2">
        <v>500000000</v>
      </c>
      <c r="E1191" s="2">
        <v>2408136426.9200001</v>
      </c>
      <c r="F1191" s="2">
        <v>2408136426.9200001</v>
      </c>
    </row>
    <row r="1192" spans="1:6" x14ac:dyDescent="0.25">
      <c r="A1192" s="1">
        <v>44958</v>
      </c>
      <c r="B1192" t="s">
        <v>50</v>
      </c>
      <c r="C1192" t="s">
        <v>286</v>
      </c>
      <c r="D1192">
        <v>0</v>
      </c>
      <c r="E1192">
        <v>0</v>
      </c>
      <c r="F1192">
        <v>0</v>
      </c>
    </row>
    <row r="1193" spans="1:6" x14ac:dyDescent="0.25">
      <c r="A1193" s="1">
        <v>44958</v>
      </c>
      <c r="B1193" t="s">
        <v>132</v>
      </c>
      <c r="C1193" t="s">
        <v>1003</v>
      </c>
      <c r="D1193">
        <v>0</v>
      </c>
      <c r="E1193">
        <v>0</v>
      </c>
      <c r="F1193">
        <v>0</v>
      </c>
    </row>
    <row r="1194" spans="1:6" x14ac:dyDescent="0.25">
      <c r="A1194" s="1">
        <v>44958</v>
      </c>
      <c r="B1194" t="s">
        <v>13</v>
      </c>
      <c r="C1194" t="s">
        <v>617</v>
      </c>
      <c r="D1194" s="2">
        <v>70000</v>
      </c>
      <c r="E1194" s="2">
        <v>303472.12</v>
      </c>
      <c r="F1194" s="2">
        <v>20933.490000000002</v>
      </c>
    </row>
    <row r="1195" spans="1:6" x14ac:dyDescent="0.25">
      <c r="A1195" s="1">
        <v>44958</v>
      </c>
      <c r="B1195" t="s">
        <v>27</v>
      </c>
      <c r="C1195" t="s">
        <v>783</v>
      </c>
      <c r="D1195">
        <v>0</v>
      </c>
      <c r="E1195">
        <v>0</v>
      </c>
      <c r="F1195">
        <v>0</v>
      </c>
    </row>
    <row r="1196" spans="1:6" x14ac:dyDescent="0.25">
      <c r="A1196" s="1">
        <v>44958</v>
      </c>
      <c r="B1196" t="s">
        <v>11</v>
      </c>
      <c r="C1196" t="s">
        <v>59</v>
      </c>
      <c r="D1196">
        <v>0</v>
      </c>
      <c r="E1196" s="2">
        <v>284988301.12</v>
      </c>
      <c r="F1196" s="2">
        <v>284988301.12</v>
      </c>
    </row>
    <row r="1197" spans="1:6" x14ac:dyDescent="0.25">
      <c r="A1197" s="1">
        <v>44958</v>
      </c>
      <c r="B1197" t="s">
        <v>118</v>
      </c>
      <c r="C1197" t="s">
        <v>389</v>
      </c>
      <c r="D1197">
        <v>0</v>
      </c>
      <c r="E1197">
        <v>0</v>
      </c>
      <c r="F1197">
        <v>0</v>
      </c>
    </row>
    <row r="1198" spans="1:6" x14ac:dyDescent="0.25">
      <c r="A1198" s="1">
        <v>44958</v>
      </c>
      <c r="B1198" t="s">
        <v>159</v>
      </c>
      <c r="C1198" t="s">
        <v>302</v>
      </c>
      <c r="D1198" s="2">
        <v>240000</v>
      </c>
      <c r="E1198">
        <v>0</v>
      </c>
      <c r="F1198">
        <v>0</v>
      </c>
    </row>
    <row r="1199" spans="1:6" x14ac:dyDescent="0.25">
      <c r="A1199" s="1">
        <v>44958</v>
      </c>
      <c r="B1199" t="s">
        <v>23</v>
      </c>
      <c r="C1199" t="s">
        <v>807</v>
      </c>
      <c r="D1199" s="2">
        <v>78199</v>
      </c>
      <c r="E1199">
        <v>0</v>
      </c>
      <c r="F1199">
        <v>0</v>
      </c>
    </row>
    <row r="1200" spans="1:6" x14ac:dyDescent="0.25">
      <c r="A1200" s="1">
        <v>44958</v>
      </c>
      <c r="B1200" t="s">
        <v>11</v>
      </c>
      <c r="C1200" t="s">
        <v>471</v>
      </c>
      <c r="D1200" s="2">
        <v>18751685.170000002</v>
      </c>
      <c r="E1200" s="2">
        <v>8361071.3700000001</v>
      </c>
      <c r="F1200" s="2">
        <v>7881442.6100000003</v>
      </c>
    </row>
    <row r="1201" spans="1:6" x14ac:dyDescent="0.25">
      <c r="A1201" s="1">
        <v>44958</v>
      </c>
      <c r="B1201" t="s">
        <v>23</v>
      </c>
      <c r="C1201" t="s">
        <v>74</v>
      </c>
      <c r="D1201">
        <v>0</v>
      </c>
      <c r="E1201">
        <v>0</v>
      </c>
      <c r="F1201">
        <v>0</v>
      </c>
    </row>
    <row r="1202" spans="1:6" x14ac:dyDescent="0.25">
      <c r="A1202" s="1">
        <v>44958</v>
      </c>
      <c r="B1202" t="s">
        <v>159</v>
      </c>
      <c r="C1202" t="s">
        <v>360</v>
      </c>
      <c r="D1202">
        <v>0</v>
      </c>
      <c r="E1202">
        <v>0</v>
      </c>
      <c r="F1202">
        <v>0</v>
      </c>
    </row>
    <row r="1203" spans="1:6" x14ac:dyDescent="0.25">
      <c r="A1203" s="1">
        <v>44958</v>
      </c>
      <c r="B1203" t="s">
        <v>23</v>
      </c>
      <c r="C1203" t="s">
        <v>1004</v>
      </c>
      <c r="D1203" s="2">
        <v>22500</v>
      </c>
      <c r="E1203" s="2">
        <v>22500</v>
      </c>
      <c r="F1203">
        <v>0</v>
      </c>
    </row>
    <row r="1204" spans="1:6" x14ac:dyDescent="0.25">
      <c r="A1204" s="1">
        <v>44958</v>
      </c>
      <c r="B1204" t="s">
        <v>21</v>
      </c>
      <c r="C1204" t="s">
        <v>238</v>
      </c>
      <c r="D1204" s="2">
        <v>500000</v>
      </c>
      <c r="E1204">
        <v>0</v>
      </c>
      <c r="F1204">
        <v>0</v>
      </c>
    </row>
    <row r="1205" spans="1:6" x14ac:dyDescent="0.25">
      <c r="A1205" s="1">
        <v>44958</v>
      </c>
      <c r="B1205" t="s">
        <v>40</v>
      </c>
      <c r="C1205" t="s">
        <v>654</v>
      </c>
      <c r="D1205">
        <v>0</v>
      </c>
      <c r="E1205">
        <v>0</v>
      </c>
      <c r="F1205">
        <v>0</v>
      </c>
    </row>
    <row r="1206" spans="1:6" x14ac:dyDescent="0.25">
      <c r="A1206" s="1">
        <v>44958</v>
      </c>
      <c r="B1206" t="s">
        <v>90</v>
      </c>
      <c r="C1206" t="s">
        <v>158</v>
      </c>
      <c r="D1206" s="2">
        <v>2650</v>
      </c>
      <c r="E1206">
        <v>0</v>
      </c>
      <c r="F1206">
        <v>0</v>
      </c>
    </row>
    <row r="1207" spans="1:6" x14ac:dyDescent="0.25">
      <c r="A1207" s="1">
        <v>44958</v>
      </c>
      <c r="B1207" t="s">
        <v>21</v>
      </c>
      <c r="C1207" t="s">
        <v>1005</v>
      </c>
      <c r="D1207">
        <v>0</v>
      </c>
      <c r="E1207">
        <v>0</v>
      </c>
      <c r="F1207">
        <v>0</v>
      </c>
    </row>
    <row r="1208" spans="1:6" x14ac:dyDescent="0.25">
      <c r="A1208" s="1">
        <v>44958</v>
      </c>
      <c r="B1208" t="s">
        <v>23</v>
      </c>
      <c r="C1208" t="s">
        <v>610</v>
      </c>
      <c r="D1208" s="2">
        <v>13783247.949999999</v>
      </c>
      <c r="E1208" s="2">
        <v>8795157.7899999991</v>
      </c>
      <c r="F1208">
        <v>88.5</v>
      </c>
    </row>
    <row r="1209" spans="1:6" x14ac:dyDescent="0.25">
      <c r="A1209" s="1">
        <v>44958</v>
      </c>
      <c r="B1209" t="s">
        <v>27</v>
      </c>
      <c r="C1209" t="s">
        <v>607</v>
      </c>
      <c r="D1209" s="2">
        <v>40000</v>
      </c>
      <c r="E1209" s="2">
        <v>38498.68</v>
      </c>
      <c r="F1209" s="2">
        <v>38498.68</v>
      </c>
    </row>
    <row r="1210" spans="1:6" x14ac:dyDescent="0.25">
      <c r="A1210" s="1">
        <v>44958</v>
      </c>
      <c r="B1210" t="s">
        <v>40</v>
      </c>
      <c r="C1210" t="s">
        <v>777</v>
      </c>
      <c r="D1210" s="2">
        <v>31029280</v>
      </c>
      <c r="E1210" s="2">
        <v>33905811</v>
      </c>
      <c r="F1210" s="2">
        <v>35576958.119999997</v>
      </c>
    </row>
    <row r="1211" spans="1:6" x14ac:dyDescent="0.25">
      <c r="A1211" s="1">
        <v>44958</v>
      </c>
      <c r="B1211" t="s">
        <v>234</v>
      </c>
      <c r="C1211" t="s">
        <v>771</v>
      </c>
      <c r="D1211">
        <v>0</v>
      </c>
      <c r="E1211">
        <v>0</v>
      </c>
      <c r="F1211">
        <v>0</v>
      </c>
    </row>
    <row r="1212" spans="1:6" x14ac:dyDescent="0.25">
      <c r="A1212" s="1">
        <v>44958</v>
      </c>
      <c r="B1212" t="s">
        <v>27</v>
      </c>
      <c r="C1212" t="s">
        <v>835</v>
      </c>
      <c r="D1212" s="2">
        <v>324958.76</v>
      </c>
      <c r="E1212" s="2">
        <v>324200</v>
      </c>
      <c r="F1212" s="2">
        <v>322700</v>
      </c>
    </row>
    <row r="1213" spans="1:6" x14ac:dyDescent="0.25">
      <c r="A1213" s="1">
        <v>44958</v>
      </c>
      <c r="B1213" t="s">
        <v>37</v>
      </c>
      <c r="C1213" t="s">
        <v>676</v>
      </c>
      <c r="D1213" s="2">
        <v>273324.69</v>
      </c>
      <c r="E1213" s="2">
        <v>182276.11</v>
      </c>
      <c r="F1213" s="2">
        <v>141824.47</v>
      </c>
    </row>
    <row r="1214" spans="1:6" x14ac:dyDescent="0.25">
      <c r="A1214" s="1">
        <v>44958</v>
      </c>
      <c r="B1214" t="s">
        <v>118</v>
      </c>
      <c r="C1214" t="s">
        <v>179</v>
      </c>
      <c r="D1214">
        <v>0</v>
      </c>
      <c r="E1214">
        <v>0</v>
      </c>
      <c r="F1214">
        <v>0</v>
      </c>
    </row>
    <row r="1215" spans="1:6" x14ac:dyDescent="0.25">
      <c r="A1215" s="1">
        <v>44958</v>
      </c>
      <c r="B1215" t="s">
        <v>31</v>
      </c>
      <c r="C1215" t="s">
        <v>558</v>
      </c>
      <c r="D1215">
        <v>0</v>
      </c>
      <c r="E1215">
        <v>0</v>
      </c>
      <c r="F1215">
        <v>0</v>
      </c>
    </row>
    <row r="1216" spans="1:6" x14ac:dyDescent="0.25">
      <c r="A1216" s="1">
        <v>44958</v>
      </c>
      <c r="B1216" t="s">
        <v>21</v>
      </c>
      <c r="C1216" t="s">
        <v>1006</v>
      </c>
      <c r="D1216" s="2">
        <v>6000000</v>
      </c>
      <c r="E1216">
        <v>0</v>
      </c>
      <c r="F1216">
        <v>0</v>
      </c>
    </row>
    <row r="1217" spans="1:6" x14ac:dyDescent="0.25">
      <c r="A1217" s="1">
        <v>44958</v>
      </c>
      <c r="B1217" t="s">
        <v>19</v>
      </c>
      <c r="C1217" t="s">
        <v>168</v>
      </c>
      <c r="D1217" s="2">
        <v>3360290.53</v>
      </c>
      <c r="E1217" s="2">
        <v>5554664.96</v>
      </c>
      <c r="F1217" s="2">
        <v>5554664.96</v>
      </c>
    </row>
    <row r="1218" spans="1:6" x14ac:dyDescent="0.25">
      <c r="A1218" s="1">
        <v>44958</v>
      </c>
      <c r="B1218" t="s">
        <v>176</v>
      </c>
      <c r="C1218" t="s">
        <v>95</v>
      </c>
      <c r="D1218">
        <v>0</v>
      </c>
      <c r="E1218">
        <v>0</v>
      </c>
      <c r="F1218">
        <v>0</v>
      </c>
    </row>
    <row r="1219" spans="1:6" x14ac:dyDescent="0.25">
      <c r="A1219" s="1">
        <v>44958</v>
      </c>
      <c r="B1219" t="s">
        <v>185</v>
      </c>
      <c r="C1219" t="s">
        <v>190</v>
      </c>
      <c r="D1219" s="2">
        <v>43263235.469999999</v>
      </c>
      <c r="E1219" s="2">
        <v>2532080.46</v>
      </c>
      <c r="F1219" s="2">
        <v>2532080.46</v>
      </c>
    </row>
    <row r="1220" spans="1:6" x14ac:dyDescent="0.25">
      <c r="A1220" s="1">
        <v>44958</v>
      </c>
      <c r="B1220" t="s">
        <v>90</v>
      </c>
      <c r="C1220" t="s">
        <v>895</v>
      </c>
      <c r="D1220" s="2">
        <v>581972.21</v>
      </c>
      <c r="E1220" s="2">
        <v>552039.26</v>
      </c>
      <c r="F1220" s="2">
        <v>517757.47</v>
      </c>
    </row>
    <row r="1221" spans="1:6" x14ac:dyDescent="0.25">
      <c r="A1221" s="1">
        <v>44958</v>
      </c>
      <c r="B1221" t="s">
        <v>50</v>
      </c>
      <c r="C1221" t="s">
        <v>594</v>
      </c>
      <c r="D1221" s="2">
        <v>60000</v>
      </c>
      <c r="E1221" s="2">
        <v>38783.300000000003</v>
      </c>
      <c r="F1221" s="2">
        <v>24657.200000000001</v>
      </c>
    </row>
    <row r="1222" spans="1:6" x14ac:dyDescent="0.25">
      <c r="A1222" s="1">
        <v>44958</v>
      </c>
      <c r="B1222" t="s">
        <v>46</v>
      </c>
      <c r="C1222" t="s">
        <v>1007</v>
      </c>
      <c r="D1222" s="2">
        <v>4513350</v>
      </c>
      <c r="E1222" s="2">
        <v>4493450</v>
      </c>
      <c r="F1222">
        <v>0</v>
      </c>
    </row>
    <row r="1223" spans="1:6" x14ac:dyDescent="0.25">
      <c r="A1223" s="1">
        <v>44958</v>
      </c>
      <c r="B1223" t="s">
        <v>831</v>
      </c>
      <c r="C1223" t="s">
        <v>95</v>
      </c>
      <c r="D1223">
        <v>0</v>
      </c>
      <c r="E1223">
        <v>0</v>
      </c>
      <c r="F1223">
        <v>0</v>
      </c>
    </row>
    <row r="1224" spans="1:6" x14ac:dyDescent="0.25">
      <c r="A1224" s="1">
        <v>44958</v>
      </c>
      <c r="B1224" t="s">
        <v>196</v>
      </c>
      <c r="C1224" t="s">
        <v>615</v>
      </c>
      <c r="D1224">
        <v>0</v>
      </c>
      <c r="E1224">
        <v>0</v>
      </c>
      <c r="F1224">
        <v>0</v>
      </c>
    </row>
    <row r="1225" spans="1:6" x14ac:dyDescent="0.25">
      <c r="A1225" s="1">
        <v>44958</v>
      </c>
      <c r="B1225" t="s">
        <v>15</v>
      </c>
      <c r="C1225" t="s">
        <v>16</v>
      </c>
      <c r="D1225" s="2">
        <v>95111.17</v>
      </c>
      <c r="E1225" s="2">
        <v>95111.17</v>
      </c>
      <c r="F1225">
        <v>0</v>
      </c>
    </row>
    <row r="1226" spans="1:6" x14ac:dyDescent="0.25">
      <c r="A1226" s="1">
        <v>44958</v>
      </c>
      <c r="B1226" t="s">
        <v>98</v>
      </c>
      <c r="C1226" t="s">
        <v>376</v>
      </c>
      <c r="D1226">
        <v>0</v>
      </c>
      <c r="E1226">
        <v>0</v>
      </c>
      <c r="F1226">
        <v>0</v>
      </c>
    </row>
    <row r="1227" spans="1:6" x14ac:dyDescent="0.25">
      <c r="A1227" s="1">
        <v>44958</v>
      </c>
      <c r="B1227" t="s">
        <v>11</v>
      </c>
      <c r="C1227" t="s">
        <v>342</v>
      </c>
      <c r="D1227" s="2">
        <v>687157138.78999996</v>
      </c>
      <c r="E1227" s="2">
        <v>583284817.37</v>
      </c>
      <c r="F1227" s="2">
        <v>583266640.10000002</v>
      </c>
    </row>
    <row r="1228" spans="1:6" x14ac:dyDescent="0.25">
      <c r="A1228" s="1">
        <v>44958</v>
      </c>
      <c r="B1228" t="s">
        <v>50</v>
      </c>
      <c r="C1228" t="s">
        <v>689</v>
      </c>
      <c r="D1228" s="2">
        <v>50000</v>
      </c>
      <c r="E1228" s="2">
        <v>2480.1</v>
      </c>
      <c r="F1228" s="2">
        <v>2480.1</v>
      </c>
    </row>
    <row r="1229" spans="1:6" x14ac:dyDescent="0.25">
      <c r="A1229" s="1">
        <v>44958</v>
      </c>
      <c r="B1229" t="s">
        <v>187</v>
      </c>
      <c r="C1229" t="s">
        <v>1008</v>
      </c>
      <c r="D1229" s="2">
        <v>73000</v>
      </c>
      <c r="E1229" s="2">
        <v>5370.3</v>
      </c>
      <c r="F1229" s="2">
        <v>5370.3</v>
      </c>
    </row>
    <row r="1230" spans="1:6" x14ac:dyDescent="0.25">
      <c r="A1230" s="1">
        <v>44958</v>
      </c>
      <c r="B1230" t="s">
        <v>490</v>
      </c>
      <c r="C1230" t="s">
        <v>1009</v>
      </c>
      <c r="D1230">
        <v>0</v>
      </c>
      <c r="E1230">
        <v>0</v>
      </c>
      <c r="F1230">
        <v>0</v>
      </c>
    </row>
    <row r="1231" spans="1:6" x14ac:dyDescent="0.25">
      <c r="A1231" s="1">
        <v>44958</v>
      </c>
      <c r="B1231" t="s">
        <v>29</v>
      </c>
      <c r="C1231" t="s">
        <v>60</v>
      </c>
      <c r="D1231" s="2">
        <v>385003</v>
      </c>
      <c r="E1231" s="2">
        <v>120509.51</v>
      </c>
      <c r="F1231" s="2">
        <v>118379.77</v>
      </c>
    </row>
    <row r="1232" spans="1:6" x14ac:dyDescent="0.25">
      <c r="A1232" s="1">
        <v>44958</v>
      </c>
      <c r="B1232" t="s">
        <v>114</v>
      </c>
      <c r="C1232" t="s">
        <v>547</v>
      </c>
      <c r="D1232" s="2">
        <v>224372.81</v>
      </c>
      <c r="E1232" s="2">
        <v>2316.84</v>
      </c>
      <c r="F1232">
        <v>0</v>
      </c>
    </row>
    <row r="1233" spans="1:6" x14ac:dyDescent="0.25">
      <c r="A1233" s="1">
        <v>44958</v>
      </c>
      <c r="B1233" t="s">
        <v>21</v>
      </c>
      <c r="C1233" t="s">
        <v>191</v>
      </c>
      <c r="D1233" s="2">
        <v>15500000</v>
      </c>
      <c r="E1233">
        <v>0</v>
      </c>
      <c r="F1233">
        <v>0</v>
      </c>
    </row>
    <row r="1234" spans="1:6" x14ac:dyDescent="0.25">
      <c r="A1234" s="1">
        <v>44958</v>
      </c>
      <c r="B1234" t="s">
        <v>361</v>
      </c>
      <c r="C1234" t="s">
        <v>362</v>
      </c>
      <c r="D1234">
        <v>0</v>
      </c>
      <c r="E1234">
        <v>0</v>
      </c>
      <c r="F1234">
        <v>0</v>
      </c>
    </row>
    <row r="1235" spans="1:6" x14ac:dyDescent="0.25">
      <c r="A1235" s="1">
        <v>44958</v>
      </c>
      <c r="B1235" t="s">
        <v>21</v>
      </c>
      <c r="C1235" t="s">
        <v>122</v>
      </c>
      <c r="D1235" s="2">
        <v>16826070</v>
      </c>
      <c r="E1235">
        <v>0</v>
      </c>
      <c r="F1235">
        <v>0</v>
      </c>
    </row>
    <row r="1236" spans="1:6" x14ac:dyDescent="0.25">
      <c r="A1236" s="1">
        <v>44958</v>
      </c>
      <c r="B1236" t="s">
        <v>288</v>
      </c>
      <c r="C1236" t="s">
        <v>521</v>
      </c>
      <c r="D1236">
        <v>0</v>
      </c>
      <c r="E1236">
        <v>0</v>
      </c>
      <c r="F1236">
        <v>0</v>
      </c>
    </row>
    <row r="1237" spans="1:6" x14ac:dyDescent="0.25">
      <c r="A1237" s="1">
        <v>44958</v>
      </c>
      <c r="B1237" t="s">
        <v>50</v>
      </c>
      <c r="C1237" t="s">
        <v>1010</v>
      </c>
      <c r="D1237" s="2">
        <v>30000</v>
      </c>
      <c r="E1237">
        <v>0</v>
      </c>
      <c r="F1237">
        <v>0</v>
      </c>
    </row>
    <row r="1238" spans="1:6" x14ac:dyDescent="0.25">
      <c r="A1238" s="1">
        <v>44958</v>
      </c>
      <c r="B1238" t="s">
        <v>75</v>
      </c>
      <c r="C1238" t="s">
        <v>76</v>
      </c>
      <c r="D1238">
        <v>0</v>
      </c>
      <c r="E1238">
        <v>0</v>
      </c>
      <c r="F1238">
        <v>0</v>
      </c>
    </row>
    <row r="1239" spans="1:6" x14ac:dyDescent="0.25">
      <c r="A1239" s="1">
        <v>44958</v>
      </c>
      <c r="B1239" t="s">
        <v>75</v>
      </c>
      <c r="C1239" t="s">
        <v>269</v>
      </c>
      <c r="D1239" s="2">
        <v>3837989.38</v>
      </c>
      <c r="E1239" s="2">
        <v>8432131.9199999999</v>
      </c>
      <c r="F1239" s="2">
        <v>8432131.9199999999</v>
      </c>
    </row>
    <row r="1240" spans="1:6" x14ac:dyDescent="0.25">
      <c r="A1240" s="1">
        <v>44958</v>
      </c>
      <c r="B1240" t="s">
        <v>114</v>
      </c>
      <c r="C1240" t="s">
        <v>136</v>
      </c>
      <c r="D1240">
        <v>0</v>
      </c>
      <c r="E1240">
        <v>0</v>
      </c>
      <c r="F1240">
        <v>0</v>
      </c>
    </row>
    <row r="1241" spans="1:6" x14ac:dyDescent="0.25">
      <c r="A1241" s="1">
        <v>44958</v>
      </c>
      <c r="B1241" t="s">
        <v>518</v>
      </c>
      <c r="C1241" t="s">
        <v>519</v>
      </c>
      <c r="D1241" s="2">
        <v>38918</v>
      </c>
      <c r="E1241" s="2">
        <v>26613.55</v>
      </c>
      <c r="F1241" s="2">
        <v>9695.5499999999993</v>
      </c>
    </row>
    <row r="1242" spans="1:6" x14ac:dyDescent="0.25">
      <c r="A1242" s="1">
        <v>44958</v>
      </c>
      <c r="B1242" t="s">
        <v>13</v>
      </c>
      <c r="C1242" t="s">
        <v>266</v>
      </c>
      <c r="D1242" s="2">
        <v>495000</v>
      </c>
      <c r="E1242" s="2">
        <v>2704198.74</v>
      </c>
      <c r="F1242" s="2">
        <v>2632104.35</v>
      </c>
    </row>
    <row r="1243" spans="1:6" x14ac:dyDescent="0.25">
      <c r="A1243" s="1">
        <v>44958</v>
      </c>
      <c r="B1243" t="s">
        <v>11</v>
      </c>
      <c r="C1243" t="s">
        <v>479</v>
      </c>
      <c r="D1243">
        <v>0</v>
      </c>
      <c r="E1243" s="2">
        <v>156996012.06</v>
      </c>
      <c r="F1243" s="2">
        <v>156996012.06</v>
      </c>
    </row>
    <row r="1244" spans="1:6" x14ac:dyDescent="0.25">
      <c r="A1244" s="1">
        <v>44958</v>
      </c>
      <c r="B1244" t="s">
        <v>726</v>
      </c>
      <c r="C1244" t="s">
        <v>1011</v>
      </c>
      <c r="D1244" s="2">
        <v>4603445.37</v>
      </c>
      <c r="E1244" s="2">
        <v>57069.77</v>
      </c>
      <c r="F1244" s="2">
        <v>57069.77</v>
      </c>
    </row>
    <row r="1245" spans="1:6" x14ac:dyDescent="0.25">
      <c r="A1245" s="1">
        <v>44958</v>
      </c>
      <c r="B1245" t="s">
        <v>11</v>
      </c>
      <c r="C1245" t="s">
        <v>204</v>
      </c>
      <c r="D1245" s="2">
        <v>1713252300</v>
      </c>
      <c r="E1245" s="2">
        <v>125107542.34999999</v>
      </c>
      <c r="F1245" s="2">
        <v>125107542.34999999</v>
      </c>
    </row>
    <row r="1246" spans="1:6" x14ac:dyDescent="0.25">
      <c r="A1246" s="1">
        <v>44958</v>
      </c>
      <c r="B1246" t="s">
        <v>92</v>
      </c>
      <c r="C1246" t="s">
        <v>381</v>
      </c>
      <c r="D1246" s="2">
        <v>1626047.06</v>
      </c>
      <c r="E1246" s="2">
        <v>281058.09999999998</v>
      </c>
      <c r="F1246" s="2">
        <v>252329.84</v>
      </c>
    </row>
    <row r="1247" spans="1:6" x14ac:dyDescent="0.25">
      <c r="A1247" s="1">
        <v>44958</v>
      </c>
      <c r="B1247" t="s">
        <v>92</v>
      </c>
      <c r="C1247" t="s">
        <v>465</v>
      </c>
      <c r="D1247" s="2">
        <v>49105.73</v>
      </c>
      <c r="E1247" s="2">
        <v>49105.73</v>
      </c>
      <c r="F1247" s="2">
        <v>49105.73</v>
      </c>
    </row>
    <row r="1248" spans="1:6" x14ac:dyDescent="0.25">
      <c r="A1248" s="1">
        <v>44958</v>
      </c>
      <c r="B1248" t="s">
        <v>185</v>
      </c>
      <c r="C1248" t="s">
        <v>493</v>
      </c>
      <c r="D1248" s="2">
        <v>216369136.06999999</v>
      </c>
      <c r="E1248" s="2">
        <v>123909760.09999999</v>
      </c>
      <c r="F1248" s="2">
        <v>37607489.770000003</v>
      </c>
    </row>
    <row r="1249" spans="1:6" x14ac:dyDescent="0.25">
      <c r="A1249" s="1">
        <v>44958</v>
      </c>
      <c r="B1249" t="s">
        <v>225</v>
      </c>
      <c r="C1249" t="s">
        <v>314</v>
      </c>
      <c r="D1249">
        <v>0</v>
      </c>
      <c r="E1249">
        <v>0</v>
      </c>
      <c r="F1249">
        <v>0</v>
      </c>
    </row>
    <row r="1250" spans="1:6" x14ac:dyDescent="0.25">
      <c r="A1250" s="1">
        <v>44958</v>
      </c>
      <c r="B1250" t="s">
        <v>23</v>
      </c>
      <c r="C1250" t="s">
        <v>1012</v>
      </c>
      <c r="D1250" s="2">
        <v>18033325</v>
      </c>
      <c r="E1250">
        <v>0</v>
      </c>
      <c r="F1250">
        <v>0</v>
      </c>
    </row>
    <row r="1251" spans="1:6" x14ac:dyDescent="0.25">
      <c r="A1251" s="1">
        <v>44958</v>
      </c>
      <c r="B1251" t="s">
        <v>118</v>
      </c>
      <c r="C1251" t="s">
        <v>172</v>
      </c>
      <c r="D1251">
        <v>0</v>
      </c>
      <c r="E1251">
        <v>0</v>
      </c>
      <c r="F1251">
        <v>0</v>
      </c>
    </row>
    <row r="1252" spans="1:6" x14ac:dyDescent="0.25">
      <c r="A1252" s="1">
        <v>44958</v>
      </c>
      <c r="B1252" t="s">
        <v>21</v>
      </c>
      <c r="C1252" t="s">
        <v>622</v>
      </c>
      <c r="D1252" s="2">
        <v>472736</v>
      </c>
      <c r="E1252">
        <v>0</v>
      </c>
      <c r="F1252">
        <v>0</v>
      </c>
    </row>
    <row r="1253" spans="1:6" x14ac:dyDescent="0.25">
      <c r="A1253" s="1">
        <v>44958</v>
      </c>
      <c r="B1253" t="s">
        <v>70</v>
      </c>
      <c r="C1253" t="s">
        <v>141</v>
      </c>
      <c r="D1253" s="2">
        <v>2854368.09</v>
      </c>
      <c r="E1253" s="2">
        <v>658994.92000000004</v>
      </c>
      <c r="F1253" s="2">
        <v>635717.5</v>
      </c>
    </row>
    <row r="1254" spans="1:6" x14ac:dyDescent="0.25">
      <c r="A1254" s="1">
        <v>44958</v>
      </c>
      <c r="B1254" t="s">
        <v>29</v>
      </c>
      <c r="C1254" t="s">
        <v>717</v>
      </c>
      <c r="D1254" s="2">
        <v>268383653.91</v>
      </c>
      <c r="E1254" s="2">
        <v>229428538.53</v>
      </c>
      <c r="F1254" s="2">
        <v>6855738.6299999999</v>
      </c>
    </row>
    <row r="1255" spans="1:6" x14ac:dyDescent="0.25">
      <c r="A1255" s="1">
        <v>44958</v>
      </c>
      <c r="B1255" t="s">
        <v>23</v>
      </c>
      <c r="C1255" t="s">
        <v>580</v>
      </c>
      <c r="D1255" s="2">
        <v>563013.30000000005</v>
      </c>
      <c r="E1255" s="2">
        <v>14308.85</v>
      </c>
      <c r="F1255" s="2">
        <v>14308.85</v>
      </c>
    </row>
    <row r="1256" spans="1:6" x14ac:dyDescent="0.25">
      <c r="A1256" s="1">
        <v>44958</v>
      </c>
      <c r="B1256" t="s">
        <v>40</v>
      </c>
      <c r="C1256" t="s">
        <v>857</v>
      </c>
      <c r="D1256" s="2">
        <v>743190184.53999996</v>
      </c>
      <c r="E1256" s="2">
        <v>1932248443.8599999</v>
      </c>
      <c r="F1256" s="2">
        <v>1936697525.8900001</v>
      </c>
    </row>
    <row r="1257" spans="1:6" x14ac:dyDescent="0.25">
      <c r="A1257" s="1">
        <v>44958</v>
      </c>
      <c r="B1257" t="s">
        <v>118</v>
      </c>
      <c r="C1257" t="s">
        <v>508</v>
      </c>
      <c r="D1257">
        <v>0</v>
      </c>
      <c r="E1257">
        <v>0</v>
      </c>
      <c r="F1257">
        <v>0</v>
      </c>
    </row>
    <row r="1258" spans="1:6" x14ac:dyDescent="0.25">
      <c r="A1258" s="1">
        <v>44958</v>
      </c>
      <c r="B1258" t="s">
        <v>355</v>
      </c>
      <c r="C1258" t="s">
        <v>356</v>
      </c>
      <c r="D1258" s="2">
        <v>2069078.89</v>
      </c>
      <c r="E1258" s="2">
        <v>2069078.89</v>
      </c>
      <c r="F1258" s="2">
        <v>2069078.89</v>
      </c>
    </row>
    <row r="1259" spans="1:6" x14ac:dyDescent="0.25">
      <c r="A1259" s="1">
        <v>44958</v>
      </c>
      <c r="B1259" t="s">
        <v>53</v>
      </c>
      <c r="C1259" t="s">
        <v>219</v>
      </c>
      <c r="D1259">
        <v>0</v>
      </c>
      <c r="E1259" s="2">
        <v>334678377.95999998</v>
      </c>
      <c r="F1259" s="2">
        <v>334678377.95999998</v>
      </c>
    </row>
    <row r="1260" spans="1:6" x14ac:dyDescent="0.25">
      <c r="A1260" s="1">
        <v>44958</v>
      </c>
      <c r="B1260" t="s">
        <v>17</v>
      </c>
      <c r="C1260" t="s">
        <v>1013</v>
      </c>
      <c r="D1260">
        <v>0</v>
      </c>
      <c r="E1260">
        <v>0</v>
      </c>
      <c r="F1260">
        <v>0</v>
      </c>
    </row>
    <row r="1261" spans="1:6" x14ac:dyDescent="0.25">
      <c r="A1261" s="1">
        <v>44958</v>
      </c>
      <c r="B1261" t="s">
        <v>40</v>
      </c>
      <c r="C1261" t="s">
        <v>692</v>
      </c>
      <c r="D1261">
        <v>0</v>
      </c>
      <c r="E1261">
        <v>0</v>
      </c>
      <c r="F1261">
        <v>0</v>
      </c>
    </row>
    <row r="1262" spans="1:6" x14ac:dyDescent="0.25">
      <c r="A1262" s="1">
        <v>44958</v>
      </c>
      <c r="B1262" t="s">
        <v>40</v>
      </c>
      <c r="C1262" t="s">
        <v>539</v>
      </c>
      <c r="D1262">
        <v>0</v>
      </c>
      <c r="E1262">
        <v>0</v>
      </c>
      <c r="F1262">
        <v>0</v>
      </c>
    </row>
    <row r="1263" spans="1:6" x14ac:dyDescent="0.25">
      <c r="A1263" s="1">
        <v>44958</v>
      </c>
      <c r="B1263" t="s">
        <v>50</v>
      </c>
      <c r="C1263" t="s">
        <v>1014</v>
      </c>
      <c r="D1263">
        <v>0</v>
      </c>
      <c r="E1263">
        <v>0</v>
      </c>
      <c r="F1263">
        <v>0</v>
      </c>
    </row>
    <row r="1264" spans="1:6" x14ac:dyDescent="0.25">
      <c r="A1264" s="1">
        <v>44958</v>
      </c>
      <c r="B1264" t="s">
        <v>61</v>
      </c>
      <c r="C1264" t="s">
        <v>62</v>
      </c>
      <c r="D1264">
        <v>0</v>
      </c>
      <c r="E1264">
        <v>0</v>
      </c>
      <c r="F1264">
        <v>0</v>
      </c>
    </row>
    <row r="1265" spans="1:6" x14ac:dyDescent="0.25">
      <c r="A1265" s="1">
        <v>44958</v>
      </c>
      <c r="B1265" t="s">
        <v>162</v>
      </c>
      <c r="C1265" t="s">
        <v>218</v>
      </c>
      <c r="D1265" s="2">
        <v>159211164</v>
      </c>
      <c r="E1265">
        <v>0</v>
      </c>
      <c r="F1265">
        <v>0</v>
      </c>
    </row>
    <row r="1266" spans="1:6" x14ac:dyDescent="0.25">
      <c r="A1266" s="1">
        <v>44958</v>
      </c>
      <c r="B1266" t="s">
        <v>63</v>
      </c>
      <c r="C1266" t="s">
        <v>714</v>
      </c>
      <c r="D1266" s="2">
        <v>-20087006.969999999</v>
      </c>
      <c r="E1266" s="2">
        <v>682456.65</v>
      </c>
      <c r="F1266" s="2">
        <v>875388.55</v>
      </c>
    </row>
    <row r="1267" spans="1:6" x14ac:dyDescent="0.25">
      <c r="A1267" s="1">
        <v>44958</v>
      </c>
      <c r="B1267" t="s">
        <v>21</v>
      </c>
      <c r="C1267" t="s">
        <v>456</v>
      </c>
      <c r="D1267">
        <v>0</v>
      </c>
      <c r="E1267">
        <v>0</v>
      </c>
      <c r="F1267">
        <v>0</v>
      </c>
    </row>
    <row r="1268" spans="1:6" x14ac:dyDescent="0.25">
      <c r="A1268" s="1">
        <v>44958</v>
      </c>
      <c r="B1268" t="s">
        <v>23</v>
      </c>
      <c r="C1268" t="s">
        <v>1015</v>
      </c>
      <c r="D1268" s="2">
        <v>952746.4</v>
      </c>
      <c r="E1268">
        <v>0</v>
      </c>
      <c r="F1268">
        <v>0</v>
      </c>
    </row>
    <row r="1269" spans="1:6" x14ac:dyDescent="0.25">
      <c r="A1269" s="1">
        <v>44958</v>
      </c>
      <c r="B1269" t="s">
        <v>50</v>
      </c>
      <c r="C1269" t="s">
        <v>274</v>
      </c>
      <c r="D1269" s="2">
        <v>51945.1</v>
      </c>
      <c r="E1269" s="2">
        <v>3335.1</v>
      </c>
      <c r="F1269" s="2">
        <v>3335.1</v>
      </c>
    </row>
    <row r="1270" spans="1:6" x14ac:dyDescent="0.25">
      <c r="A1270" s="1">
        <v>44958</v>
      </c>
      <c r="B1270" t="s">
        <v>251</v>
      </c>
      <c r="C1270" t="s">
        <v>1016</v>
      </c>
      <c r="D1270">
        <v>0</v>
      </c>
      <c r="E1270">
        <v>0</v>
      </c>
      <c r="F1270">
        <v>0</v>
      </c>
    </row>
    <row r="1271" spans="1:6" x14ac:dyDescent="0.25">
      <c r="A1271" s="1">
        <v>44958</v>
      </c>
      <c r="B1271" t="s">
        <v>42</v>
      </c>
      <c r="C1271" t="s">
        <v>380</v>
      </c>
      <c r="D1271" s="2">
        <v>31833333</v>
      </c>
      <c r="E1271" s="2">
        <v>3513700</v>
      </c>
      <c r="F1271" s="2">
        <v>5815250</v>
      </c>
    </row>
    <row r="1272" spans="1:6" x14ac:dyDescent="0.25">
      <c r="A1272" s="1">
        <v>44958</v>
      </c>
      <c r="B1272" t="s">
        <v>162</v>
      </c>
      <c r="C1272" t="s">
        <v>376</v>
      </c>
      <c r="D1272">
        <v>0</v>
      </c>
      <c r="E1272">
        <v>0</v>
      </c>
      <c r="F1272">
        <v>0</v>
      </c>
    </row>
    <row r="1273" spans="1:6" x14ac:dyDescent="0.25">
      <c r="A1273" s="1">
        <v>44958</v>
      </c>
      <c r="B1273" t="s">
        <v>443</v>
      </c>
      <c r="C1273" t="s">
        <v>358</v>
      </c>
      <c r="D1273">
        <v>0</v>
      </c>
      <c r="E1273">
        <v>0</v>
      </c>
      <c r="F1273">
        <v>0</v>
      </c>
    </row>
    <row r="1274" spans="1:6" x14ac:dyDescent="0.25">
      <c r="A1274" s="1">
        <v>44958</v>
      </c>
      <c r="B1274" t="s">
        <v>17</v>
      </c>
      <c r="C1274" t="s">
        <v>673</v>
      </c>
      <c r="D1274">
        <v>0</v>
      </c>
      <c r="E1274">
        <v>0</v>
      </c>
      <c r="F1274">
        <v>0</v>
      </c>
    </row>
    <row r="1275" spans="1:6" x14ac:dyDescent="0.25">
      <c r="A1275" s="1">
        <v>44958</v>
      </c>
      <c r="B1275" t="s">
        <v>23</v>
      </c>
      <c r="C1275" t="s">
        <v>418</v>
      </c>
      <c r="D1275" s="2">
        <v>4791519.92</v>
      </c>
      <c r="E1275">
        <v>0</v>
      </c>
      <c r="F1275">
        <v>0</v>
      </c>
    </row>
    <row r="1276" spans="1:6" x14ac:dyDescent="0.25">
      <c r="A1276" s="1">
        <v>44958</v>
      </c>
      <c r="B1276" t="s">
        <v>21</v>
      </c>
      <c r="C1276" t="s">
        <v>211</v>
      </c>
      <c r="D1276" s="2">
        <v>10316448</v>
      </c>
      <c r="E1276">
        <v>0</v>
      </c>
      <c r="F1276">
        <v>0</v>
      </c>
    </row>
    <row r="1277" spans="1:6" x14ac:dyDescent="0.25">
      <c r="A1277" s="1">
        <v>44958</v>
      </c>
      <c r="B1277" t="s">
        <v>15</v>
      </c>
      <c r="C1277" t="s">
        <v>550</v>
      </c>
      <c r="D1277">
        <v>0</v>
      </c>
      <c r="E1277">
        <v>0</v>
      </c>
      <c r="F1277">
        <v>0</v>
      </c>
    </row>
    <row r="1278" spans="1:6" x14ac:dyDescent="0.25">
      <c r="A1278" s="1">
        <v>44958</v>
      </c>
      <c r="B1278" t="s">
        <v>118</v>
      </c>
      <c r="C1278" t="s">
        <v>511</v>
      </c>
      <c r="D1278" s="2">
        <v>75547</v>
      </c>
      <c r="E1278" s="2">
        <v>46946.82</v>
      </c>
      <c r="F1278" s="2">
        <v>31351.73</v>
      </c>
    </row>
    <row r="1279" spans="1:6" x14ac:dyDescent="0.25">
      <c r="A1279" s="1">
        <v>44958</v>
      </c>
      <c r="B1279" t="s">
        <v>154</v>
      </c>
      <c r="C1279" t="s">
        <v>354</v>
      </c>
      <c r="D1279">
        <v>0</v>
      </c>
      <c r="E1279">
        <v>0</v>
      </c>
      <c r="F1279">
        <v>0</v>
      </c>
    </row>
    <row r="1280" spans="1:6" x14ac:dyDescent="0.25">
      <c r="A1280" s="1">
        <v>44958</v>
      </c>
      <c r="B1280" t="s">
        <v>40</v>
      </c>
      <c r="C1280" t="s">
        <v>815</v>
      </c>
      <c r="D1280" s="2">
        <v>81433</v>
      </c>
      <c r="E1280" s="2">
        <v>30155.67</v>
      </c>
      <c r="F1280" s="2">
        <v>30155.67</v>
      </c>
    </row>
    <row r="1281" spans="1:6" x14ac:dyDescent="0.25">
      <c r="A1281" s="1">
        <v>44958</v>
      </c>
      <c r="B1281" t="s">
        <v>40</v>
      </c>
      <c r="C1281" t="s">
        <v>803</v>
      </c>
      <c r="D1281" s="2">
        <v>4495012.18</v>
      </c>
      <c r="E1281" s="2">
        <v>229494.09</v>
      </c>
      <c r="F1281" s="2">
        <v>213690.82</v>
      </c>
    </row>
    <row r="1282" spans="1:6" x14ac:dyDescent="0.25">
      <c r="A1282" s="1">
        <v>44958</v>
      </c>
      <c r="B1282" t="s">
        <v>105</v>
      </c>
      <c r="C1282" t="s">
        <v>150</v>
      </c>
      <c r="D1282">
        <v>0</v>
      </c>
      <c r="E1282">
        <v>0</v>
      </c>
      <c r="F1282">
        <v>0</v>
      </c>
    </row>
    <row r="1283" spans="1:6" x14ac:dyDescent="0.25">
      <c r="A1283" s="1">
        <v>44958</v>
      </c>
      <c r="B1283" t="s">
        <v>37</v>
      </c>
      <c r="C1283" t="s">
        <v>271</v>
      </c>
      <c r="D1283">
        <v>0</v>
      </c>
      <c r="E1283">
        <v>0</v>
      </c>
      <c r="F1283">
        <v>0</v>
      </c>
    </row>
    <row r="1284" spans="1:6" x14ac:dyDescent="0.25">
      <c r="A1284" s="1">
        <v>44958</v>
      </c>
      <c r="B1284" t="s">
        <v>278</v>
      </c>
      <c r="C1284" t="s">
        <v>722</v>
      </c>
      <c r="D1284">
        <v>0</v>
      </c>
      <c r="E1284">
        <v>0</v>
      </c>
      <c r="F1284">
        <v>0</v>
      </c>
    </row>
    <row r="1285" spans="1:6" x14ac:dyDescent="0.25">
      <c r="A1285" s="1">
        <v>44958</v>
      </c>
      <c r="B1285" t="s">
        <v>21</v>
      </c>
      <c r="C1285" t="s">
        <v>1017</v>
      </c>
      <c r="D1285" s="2">
        <v>100000</v>
      </c>
      <c r="E1285">
        <v>0</v>
      </c>
      <c r="F1285">
        <v>0</v>
      </c>
    </row>
    <row r="1286" spans="1:6" x14ac:dyDescent="0.25">
      <c r="A1286" s="1">
        <v>44958</v>
      </c>
      <c r="B1286" t="s">
        <v>92</v>
      </c>
      <c r="C1286" t="s">
        <v>317</v>
      </c>
      <c r="D1286">
        <v>0</v>
      </c>
      <c r="E1286">
        <v>0</v>
      </c>
      <c r="F1286">
        <v>0</v>
      </c>
    </row>
    <row r="1287" spans="1:6" x14ac:dyDescent="0.25">
      <c r="A1287" s="1">
        <v>44958</v>
      </c>
      <c r="B1287" t="s">
        <v>159</v>
      </c>
      <c r="C1287" t="s">
        <v>525</v>
      </c>
      <c r="D1287">
        <v>0</v>
      </c>
      <c r="E1287">
        <v>0</v>
      </c>
      <c r="F1287">
        <v>0</v>
      </c>
    </row>
    <row r="1288" spans="1:6" x14ac:dyDescent="0.25">
      <c r="A1288" s="1">
        <v>44958</v>
      </c>
      <c r="B1288" t="s">
        <v>40</v>
      </c>
      <c r="C1288" t="s">
        <v>449</v>
      </c>
      <c r="D1288" s="2">
        <v>161890</v>
      </c>
      <c r="E1288">
        <v>0</v>
      </c>
      <c r="F1288">
        <v>0</v>
      </c>
    </row>
    <row r="1289" spans="1:6" x14ac:dyDescent="0.25">
      <c r="A1289" s="1">
        <v>44958</v>
      </c>
      <c r="B1289" t="s">
        <v>96</v>
      </c>
      <c r="C1289" t="s">
        <v>243</v>
      </c>
      <c r="D1289">
        <v>0</v>
      </c>
      <c r="E1289">
        <v>0</v>
      </c>
      <c r="F1289">
        <v>0</v>
      </c>
    </row>
    <row r="1290" spans="1:6" x14ac:dyDescent="0.25">
      <c r="A1290" s="1">
        <v>44958</v>
      </c>
      <c r="B1290" t="s">
        <v>648</v>
      </c>
      <c r="C1290" t="s">
        <v>649</v>
      </c>
      <c r="D1290" s="2">
        <v>927700</v>
      </c>
      <c r="E1290" s="2">
        <v>80973.279999999999</v>
      </c>
      <c r="F1290" s="2">
        <v>80973.279999999999</v>
      </c>
    </row>
    <row r="1291" spans="1:6" x14ac:dyDescent="0.25">
      <c r="A1291" s="1">
        <v>44958</v>
      </c>
      <c r="B1291" t="s">
        <v>40</v>
      </c>
      <c r="C1291" t="s">
        <v>616</v>
      </c>
      <c r="D1291" s="2">
        <v>85103819.409999996</v>
      </c>
      <c r="E1291" s="2">
        <v>72045917.939999998</v>
      </c>
      <c r="F1291" s="2">
        <v>67515184.049999997</v>
      </c>
    </row>
    <row r="1292" spans="1:6" x14ac:dyDescent="0.25">
      <c r="A1292" s="1">
        <v>44958</v>
      </c>
      <c r="B1292" t="s">
        <v>13</v>
      </c>
      <c r="C1292" t="s">
        <v>868</v>
      </c>
      <c r="D1292" s="2">
        <v>5862682.9100000001</v>
      </c>
      <c r="E1292" s="2">
        <v>55610.66</v>
      </c>
      <c r="F1292" s="2">
        <v>5853.2</v>
      </c>
    </row>
    <row r="1293" spans="1:6" x14ac:dyDescent="0.25">
      <c r="A1293" s="1">
        <v>44958</v>
      </c>
      <c r="B1293" t="s">
        <v>272</v>
      </c>
      <c r="C1293" t="s">
        <v>537</v>
      </c>
      <c r="D1293" s="2">
        <v>20000</v>
      </c>
      <c r="E1293">
        <v>0</v>
      </c>
      <c r="F1293">
        <v>0</v>
      </c>
    </row>
    <row r="1294" spans="1:6" x14ac:dyDescent="0.25">
      <c r="A1294" s="1">
        <v>44958</v>
      </c>
      <c r="B1294" t="s">
        <v>162</v>
      </c>
      <c r="C1294" t="s">
        <v>335</v>
      </c>
      <c r="D1294" s="2">
        <v>41692145.700000003</v>
      </c>
      <c r="E1294" s="2">
        <v>1364264.19</v>
      </c>
      <c r="F1294" s="2">
        <v>1364264.19</v>
      </c>
    </row>
    <row r="1295" spans="1:6" x14ac:dyDescent="0.25">
      <c r="A1295" s="1">
        <v>44958</v>
      </c>
      <c r="B1295" t="s">
        <v>585</v>
      </c>
      <c r="C1295" t="s">
        <v>586</v>
      </c>
      <c r="D1295">
        <v>0</v>
      </c>
      <c r="E1295">
        <v>0</v>
      </c>
      <c r="F1295">
        <v>0</v>
      </c>
    </row>
    <row r="1296" spans="1:6" x14ac:dyDescent="0.25">
      <c r="A1296" s="1">
        <v>44958</v>
      </c>
      <c r="B1296" t="s">
        <v>50</v>
      </c>
      <c r="C1296" t="s">
        <v>372</v>
      </c>
      <c r="D1296">
        <v>0</v>
      </c>
      <c r="E1296">
        <v>0</v>
      </c>
      <c r="F1296">
        <v>0</v>
      </c>
    </row>
    <row r="1297" spans="1:6" x14ac:dyDescent="0.25">
      <c r="A1297" s="1">
        <v>44958</v>
      </c>
      <c r="B1297" t="s">
        <v>15</v>
      </c>
      <c r="C1297" t="s">
        <v>627</v>
      </c>
      <c r="D1297">
        <v>0</v>
      </c>
      <c r="E1297">
        <v>0</v>
      </c>
      <c r="F1297">
        <v>0</v>
      </c>
    </row>
    <row r="1298" spans="1:6" x14ac:dyDescent="0.25">
      <c r="A1298" s="1">
        <v>44958</v>
      </c>
      <c r="B1298" t="s">
        <v>23</v>
      </c>
      <c r="C1298" t="s">
        <v>365</v>
      </c>
      <c r="D1298" s="2">
        <v>-7496637.29</v>
      </c>
      <c r="E1298" s="2">
        <v>11103.91</v>
      </c>
      <c r="F1298" s="2">
        <v>7517.42</v>
      </c>
    </row>
    <row r="1299" spans="1:6" x14ac:dyDescent="0.25">
      <c r="A1299" s="1">
        <v>44958</v>
      </c>
      <c r="B1299" t="s">
        <v>37</v>
      </c>
      <c r="C1299" t="s">
        <v>743</v>
      </c>
      <c r="D1299" s="2">
        <v>27602.62</v>
      </c>
      <c r="E1299" s="2">
        <v>21383.52</v>
      </c>
      <c r="F1299" s="2">
        <v>16263.62</v>
      </c>
    </row>
    <row r="1300" spans="1:6" x14ac:dyDescent="0.25">
      <c r="A1300" s="1">
        <v>44958</v>
      </c>
      <c r="B1300" t="s">
        <v>154</v>
      </c>
      <c r="C1300" t="s">
        <v>704</v>
      </c>
      <c r="D1300" s="2">
        <v>-500000</v>
      </c>
      <c r="E1300" s="2">
        <v>277704.78999999998</v>
      </c>
      <c r="F1300" s="2">
        <v>277704.78999999998</v>
      </c>
    </row>
    <row r="1301" spans="1:6" x14ac:dyDescent="0.25">
      <c r="A1301" s="1">
        <v>44958</v>
      </c>
      <c r="B1301" t="s">
        <v>422</v>
      </c>
      <c r="C1301" t="s">
        <v>1018</v>
      </c>
      <c r="D1301">
        <v>0</v>
      </c>
      <c r="E1301">
        <v>0</v>
      </c>
      <c r="F1301">
        <v>0</v>
      </c>
    </row>
    <row r="1302" spans="1:6" x14ac:dyDescent="0.25">
      <c r="A1302" s="1">
        <v>44958</v>
      </c>
      <c r="B1302" t="s">
        <v>398</v>
      </c>
      <c r="C1302" t="s">
        <v>399</v>
      </c>
      <c r="D1302">
        <v>0</v>
      </c>
      <c r="E1302" s="2">
        <v>624820.96</v>
      </c>
      <c r="F1302" s="2">
        <v>624820.96</v>
      </c>
    </row>
    <row r="1303" spans="1:6" x14ac:dyDescent="0.25">
      <c r="A1303" s="1">
        <v>44958</v>
      </c>
      <c r="B1303" t="s">
        <v>21</v>
      </c>
      <c r="C1303" t="s">
        <v>510</v>
      </c>
      <c r="D1303">
        <v>0</v>
      </c>
      <c r="E1303">
        <v>0</v>
      </c>
      <c r="F1303">
        <v>0</v>
      </c>
    </row>
    <row r="1304" spans="1:6" x14ac:dyDescent="0.25">
      <c r="A1304" s="1">
        <v>44958</v>
      </c>
      <c r="B1304" t="s">
        <v>37</v>
      </c>
      <c r="C1304" t="s">
        <v>540</v>
      </c>
      <c r="D1304" s="2">
        <v>-50000000</v>
      </c>
      <c r="E1304">
        <v>0</v>
      </c>
      <c r="F1304">
        <v>0</v>
      </c>
    </row>
    <row r="1305" spans="1:6" x14ac:dyDescent="0.25">
      <c r="A1305" s="1">
        <v>44958</v>
      </c>
      <c r="B1305" t="s">
        <v>154</v>
      </c>
      <c r="C1305" t="s">
        <v>155</v>
      </c>
      <c r="D1305" s="2">
        <v>207948.01</v>
      </c>
      <c r="E1305" s="2">
        <v>44086.54</v>
      </c>
      <c r="F1305" s="2">
        <v>44086.54</v>
      </c>
    </row>
    <row r="1306" spans="1:6" x14ac:dyDescent="0.25">
      <c r="A1306" s="1">
        <v>44958</v>
      </c>
      <c r="B1306" t="s">
        <v>21</v>
      </c>
      <c r="C1306" t="s">
        <v>652</v>
      </c>
      <c r="D1306" s="2">
        <v>53324738</v>
      </c>
      <c r="E1306" s="2">
        <v>269986.32</v>
      </c>
      <c r="F1306" s="2">
        <v>40642.33</v>
      </c>
    </row>
    <row r="1307" spans="1:6" x14ac:dyDescent="0.25">
      <c r="A1307" s="1">
        <v>44958</v>
      </c>
      <c r="B1307" t="s">
        <v>185</v>
      </c>
      <c r="C1307" t="s">
        <v>304</v>
      </c>
      <c r="D1307" s="2">
        <v>104244143.64</v>
      </c>
      <c r="E1307" s="2">
        <v>104244143.64</v>
      </c>
      <c r="F1307" s="2">
        <v>104244143.64</v>
      </c>
    </row>
    <row r="1308" spans="1:6" x14ac:dyDescent="0.25">
      <c r="A1308" s="1">
        <v>44958</v>
      </c>
      <c r="B1308" t="s">
        <v>19</v>
      </c>
      <c r="C1308" t="s">
        <v>39</v>
      </c>
      <c r="D1308" s="2">
        <v>1206951.51</v>
      </c>
      <c r="E1308" s="2">
        <v>269978.33</v>
      </c>
      <c r="F1308" s="2">
        <v>269007.75</v>
      </c>
    </row>
    <row r="1309" spans="1:6" x14ac:dyDescent="0.25">
      <c r="A1309" s="1">
        <v>44958</v>
      </c>
      <c r="B1309" t="s">
        <v>21</v>
      </c>
      <c r="C1309" t="s">
        <v>1019</v>
      </c>
      <c r="D1309" s="2">
        <v>500000</v>
      </c>
      <c r="E1309">
        <v>0</v>
      </c>
      <c r="F1309">
        <v>0</v>
      </c>
    </row>
    <row r="1310" spans="1:6" x14ac:dyDescent="0.25">
      <c r="A1310" s="1">
        <v>44958</v>
      </c>
      <c r="B1310" t="s">
        <v>23</v>
      </c>
      <c r="C1310" t="s">
        <v>1020</v>
      </c>
      <c r="D1310">
        <v>0</v>
      </c>
      <c r="E1310">
        <v>0</v>
      </c>
      <c r="F1310">
        <v>0</v>
      </c>
    </row>
    <row r="1311" spans="1:6" x14ac:dyDescent="0.25">
      <c r="A1311" s="1">
        <v>44958</v>
      </c>
      <c r="B1311" t="s">
        <v>90</v>
      </c>
      <c r="C1311" t="s">
        <v>1021</v>
      </c>
      <c r="D1311" s="2">
        <v>10000</v>
      </c>
      <c r="E1311">
        <v>0</v>
      </c>
      <c r="F1311">
        <v>0</v>
      </c>
    </row>
    <row r="1312" spans="1:6" x14ac:dyDescent="0.25">
      <c r="A1312" s="1">
        <v>44958</v>
      </c>
      <c r="B1312" t="s">
        <v>23</v>
      </c>
      <c r="C1312" t="s">
        <v>131</v>
      </c>
      <c r="D1312" s="2">
        <v>51570.080000000002</v>
      </c>
      <c r="E1312" s="2">
        <v>8889.43</v>
      </c>
      <c r="F1312" s="2">
        <v>1474.39</v>
      </c>
    </row>
    <row r="1313" spans="1:6" x14ac:dyDescent="0.25">
      <c r="A1313" s="1">
        <v>44958</v>
      </c>
      <c r="B1313" t="s">
        <v>21</v>
      </c>
      <c r="C1313" t="s">
        <v>608</v>
      </c>
      <c r="D1313" s="2">
        <v>7719135</v>
      </c>
      <c r="E1313">
        <v>0</v>
      </c>
      <c r="F1313">
        <v>0</v>
      </c>
    </row>
    <row r="1314" spans="1:6" x14ac:dyDescent="0.25">
      <c r="A1314" s="1">
        <v>44958</v>
      </c>
      <c r="B1314" t="s">
        <v>23</v>
      </c>
      <c r="C1314" t="s">
        <v>675</v>
      </c>
      <c r="D1314" s="2">
        <v>2478448.89</v>
      </c>
      <c r="E1314" s="2">
        <v>15864.25</v>
      </c>
      <c r="F1314" s="2">
        <v>9803.5</v>
      </c>
    </row>
    <row r="1315" spans="1:6" x14ac:dyDescent="0.25">
      <c r="A1315" s="1">
        <v>44958</v>
      </c>
      <c r="B1315" t="s">
        <v>98</v>
      </c>
      <c r="C1315" t="s">
        <v>613</v>
      </c>
      <c r="D1315">
        <v>0</v>
      </c>
      <c r="E1315">
        <v>0</v>
      </c>
      <c r="F1315">
        <v>0</v>
      </c>
    </row>
    <row r="1316" spans="1:6" x14ac:dyDescent="0.25">
      <c r="A1316" s="1">
        <v>44958</v>
      </c>
      <c r="B1316" t="s">
        <v>278</v>
      </c>
      <c r="C1316" t="s">
        <v>395</v>
      </c>
      <c r="D1316">
        <v>0</v>
      </c>
      <c r="E1316">
        <v>0</v>
      </c>
      <c r="F1316">
        <v>0</v>
      </c>
    </row>
    <row r="1317" spans="1:6" x14ac:dyDescent="0.25">
      <c r="A1317" s="1">
        <v>44958</v>
      </c>
      <c r="B1317" t="s">
        <v>23</v>
      </c>
      <c r="C1317" t="s">
        <v>630</v>
      </c>
      <c r="D1317">
        <v>0</v>
      </c>
      <c r="E1317">
        <v>0</v>
      </c>
      <c r="F1317">
        <v>0</v>
      </c>
    </row>
    <row r="1318" spans="1:6" x14ac:dyDescent="0.25">
      <c r="A1318" s="1">
        <v>44958</v>
      </c>
      <c r="B1318" t="s">
        <v>90</v>
      </c>
      <c r="C1318" t="s">
        <v>428</v>
      </c>
      <c r="D1318" s="2">
        <v>48154945.729999997</v>
      </c>
      <c r="E1318" s="2">
        <v>48154945.729999997</v>
      </c>
      <c r="F1318" s="2">
        <v>48154945.729999997</v>
      </c>
    </row>
    <row r="1319" spans="1:6" x14ac:dyDescent="0.25">
      <c r="A1319" s="1">
        <v>44958</v>
      </c>
      <c r="B1319" t="s">
        <v>11</v>
      </c>
      <c r="C1319" t="s">
        <v>566</v>
      </c>
      <c r="D1319" s="2">
        <v>290972335.47000003</v>
      </c>
      <c r="E1319" s="2">
        <v>251912671.21000001</v>
      </c>
      <c r="F1319" s="2">
        <v>236072389.53999999</v>
      </c>
    </row>
    <row r="1320" spans="1:6" x14ac:dyDescent="0.25">
      <c r="A1320" s="1">
        <v>44958</v>
      </c>
      <c r="B1320" t="s">
        <v>21</v>
      </c>
      <c r="C1320" t="s">
        <v>202</v>
      </c>
      <c r="D1320" s="2">
        <v>1000000</v>
      </c>
      <c r="E1320">
        <v>0</v>
      </c>
      <c r="F1320">
        <v>0</v>
      </c>
    </row>
    <row r="1321" spans="1:6" x14ac:dyDescent="0.25">
      <c r="A1321" s="1">
        <v>44958</v>
      </c>
      <c r="B1321" t="s">
        <v>81</v>
      </c>
      <c r="C1321" t="s">
        <v>290</v>
      </c>
      <c r="D1321">
        <v>0</v>
      </c>
      <c r="E1321">
        <v>0</v>
      </c>
      <c r="F1321">
        <v>0</v>
      </c>
    </row>
    <row r="1322" spans="1:6" x14ac:dyDescent="0.25">
      <c r="A1322" s="1">
        <v>44958</v>
      </c>
      <c r="B1322" t="s">
        <v>443</v>
      </c>
      <c r="C1322" t="s">
        <v>731</v>
      </c>
      <c r="D1322">
        <v>0</v>
      </c>
      <c r="E1322">
        <v>0</v>
      </c>
      <c r="F1322">
        <v>0</v>
      </c>
    </row>
    <row r="1323" spans="1:6" x14ac:dyDescent="0.25">
      <c r="A1323" s="1">
        <v>44958</v>
      </c>
      <c r="B1323" t="s">
        <v>42</v>
      </c>
      <c r="C1323" t="s">
        <v>174</v>
      </c>
      <c r="D1323" s="2">
        <v>4813111</v>
      </c>
      <c r="E1323">
        <v>0</v>
      </c>
      <c r="F1323">
        <v>0</v>
      </c>
    </row>
    <row r="1324" spans="1:6" x14ac:dyDescent="0.25">
      <c r="A1324" s="1">
        <v>44958</v>
      </c>
      <c r="B1324" t="s">
        <v>132</v>
      </c>
      <c r="C1324" t="s">
        <v>429</v>
      </c>
      <c r="D1324" s="2">
        <v>18082801.969999999</v>
      </c>
      <c r="E1324" s="2">
        <v>5696964.7800000003</v>
      </c>
      <c r="F1324" s="2">
        <v>4488190.76</v>
      </c>
    </row>
    <row r="1325" spans="1:6" x14ac:dyDescent="0.25">
      <c r="A1325" s="1">
        <v>44958</v>
      </c>
      <c r="B1325" t="s">
        <v>383</v>
      </c>
      <c r="C1325" t="s">
        <v>754</v>
      </c>
      <c r="D1325">
        <v>0</v>
      </c>
      <c r="E1325">
        <v>0</v>
      </c>
      <c r="F1325">
        <v>0</v>
      </c>
    </row>
    <row r="1326" spans="1:6" x14ac:dyDescent="0.25">
      <c r="A1326" s="1">
        <v>44958</v>
      </c>
      <c r="B1326" t="s">
        <v>476</v>
      </c>
      <c r="C1326" t="s">
        <v>477</v>
      </c>
      <c r="D1326">
        <v>0</v>
      </c>
      <c r="E1326">
        <v>0</v>
      </c>
      <c r="F1326">
        <v>0</v>
      </c>
    </row>
    <row r="1327" spans="1:6" x14ac:dyDescent="0.25">
      <c r="A1327" s="1">
        <v>44958</v>
      </c>
      <c r="B1327" t="s">
        <v>27</v>
      </c>
      <c r="C1327" t="s">
        <v>713</v>
      </c>
      <c r="D1327">
        <v>0</v>
      </c>
      <c r="E1327">
        <v>0</v>
      </c>
      <c r="F1327">
        <v>0</v>
      </c>
    </row>
    <row r="1328" spans="1:6" x14ac:dyDescent="0.25">
      <c r="A1328" s="1">
        <v>44958</v>
      </c>
      <c r="B1328" t="s">
        <v>114</v>
      </c>
      <c r="C1328" t="s">
        <v>882</v>
      </c>
      <c r="D1328">
        <v>0</v>
      </c>
      <c r="E1328">
        <v>0</v>
      </c>
      <c r="F1328">
        <v>0</v>
      </c>
    </row>
    <row r="1329" spans="1:6" x14ac:dyDescent="0.25">
      <c r="A1329" s="1">
        <v>44958</v>
      </c>
      <c r="B1329" t="s">
        <v>23</v>
      </c>
      <c r="C1329" t="s">
        <v>294</v>
      </c>
      <c r="D1329">
        <v>0</v>
      </c>
      <c r="E1329">
        <v>0</v>
      </c>
      <c r="F1329">
        <v>0</v>
      </c>
    </row>
    <row r="1330" spans="1:6" x14ac:dyDescent="0.25">
      <c r="A1330" s="1">
        <v>44958</v>
      </c>
      <c r="B1330" t="s">
        <v>44</v>
      </c>
      <c r="C1330" t="s">
        <v>254</v>
      </c>
      <c r="D1330">
        <v>0</v>
      </c>
      <c r="E1330">
        <v>0</v>
      </c>
      <c r="F1330">
        <v>0</v>
      </c>
    </row>
    <row r="1331" spans="1:6" x14ac:dyDescent="0.25">
      <c r="A1331" s="1">
        <v>44958</v>
      </c>
      <c r="B1331" t="s">
        <v>42</v>
      </c>
      <c r="C1331" t="s">
        <v>447</v>
      </c>
      <c r="D1331">
        <v>0</v>
      </c>
      <c r="E1331">
        <v>0</v>
      </c>
      <c r="F1331">
        <v>0</v>
      </c>
    </row>
    <row r="1332" spans="1:6" x14ac:dyDescent="0.25">
      <c r="A1332" s="1">
        <v>44958</v>
      </c>
      <c r="B1332" t="s">
        <v>21</v>
      </c>
      <c r="C1332" t="s">
        <v>720</v>
      </c>
      <c r="D1332" s="2">
        <v>1089072.83</v>
      </c>
      <c r="E1332">
        <v>0</v>
      </c>
      <c r="F1332">
        <v>0</v>
      </c>
    </row>
    <row r="1333" spans="1:6" x14ac:dyDescent="0.25">
      <c r="A1333" s="1">
        <v>44958</v>
      </c>
      <c r="B1333" t="s">
        <v>15</v>
      </c>
      <c r="C1333" t="s">
        <v>359</v>
      </c>
      <c r="D1333">
        <v>0</v>
      </c>
      <c r="E1333">
        <v>0</v>
      </c>
      <c r="F1333">
        <v>0</v>
      </c>
    </row>
    <row r="1334" spans="1:6" x14ac:dyDescent="0.25">
      <c r="A1334" s="1">
        <v>44958</v>
      </c>
      <c r="B1334" t="s">
        <v>40</v>
      </c>
      <c r="C1334" t="s">
        <v>802</v>
      </c>
      <c r="D1334" s="2">
        <v>230326547.47</v>
      </c>
      <c r="E1334" s="2">
        <v>117868907.31</v>
      </c>
      <c r="F1334" s="2">
        <v>108238085.84</v>
      </c>
    </row>
    <row r="1335" spans="1:6" x14ac:dyDescent="0.25">
      <c r="A1335" s="1">
        <v>44958</v>
      </c>
      <c r="B1335" t="s">
        <v>118</v>
      </c>
      <c r="C1335" t="s">
        <v>639</v>
      </c>
      <c r="D1335" s="2">
        <v>45200242</v>
      </c>
      <c r="E1335" s="2">
        <v>4408181.96</v>
      </c>
      <c r="F1335" s="2">
        <v>21070548.940000001</v>
      </c>
    </row>
    <row r="1336" spans="1:6" x14ac:dyDescent="0.25">
      <c r="A1336" s="1">
        <v>44958</v>
      </c>
      <c r="B1336" t="s">
        <v>278</v>
      </c>
      <c r="C1336" t="s">
        <v>626</v>
      </c>
      <c r="D1336" s="2">
        <v>915000</v>
      </c>
      <c r="E1336" s="2">
        <v>3897928811.48</v>
      </c>
      <c r="F1336" s="2">
        <v>3861723948.9200001</v>
      </c>
    </row>
    <row r="1337" spans="1:6" x14ac:dyDescent="0.25">
      <c r="A1337" s="1">
        <v>44958</v>
      </c>
      <c r="B1337" t="s">
        <v>46</v>
      </c>
      <c r="C1337" t="s">
        <v>592</v>
      </c>
      <c r="D1337" s="2">
        <v>2030000</v>
      </c>
      <c r="E1337" s="2">
        <v>2033399.2</v>
      </c>
      <c r="F1337" s="2">
        <v>2035035.16</v>
      </c>
    </row>
    <row r="1338" spans="1:6" x14ac:dyDescent="0.25">
      <c r="A1338" s="1">
        <v>44958</v>
      </c>
      <c r="B1338" t="s">
        <v>13</v>
      </c>
      <c r="C1338" t="s">
        <v>14</v>
      </c>
      <c r="D1338" s="2">
        <v>3533097.01</v>
      </c>
      <c r="E1338" s="2">
        <v>10208448.65</v>
      </c>
      <c r="F1338" s="2">
        <v>709937.4</v>
      </c>
    </row>
    <row r="1339" spans="1:6" x14ac:dyDescent="0.25">
      <c r="A1339" s="1">
        <v>44958</v>
      </c>
      <c r="B1339" t="s">
        <v>143</v>
      </c>
      <c r="C1339" t="s">
        <v>413</v>
      </c>
      <c r="D1339">
        <v>0</v>
      </c>
      <c r="E1339">
        <v>0</v>
      </c>
      <c r="F1339">
        <v>0</v>
      </c>
    </row>
    <row r="1340" spans="1:6" x14ac:dyDescent="0.25">
      <c r="A1340" s="1">
        <v>44958</v>
      </c>
      <c r="B1340" t="s">
        <v>50</v>
      </c>
      <c r="C1340" t="s">
        <v>767</v>
      </c>
      <c r="D1340" s="2">
        <v>628678.31999999995</v>
      </c>
      <c r="E1340" s="2">
        <v>2349.4499999999998</v>
      </c>
      <c r="F1340" s="2">
        <v>2349.4499999999998</v>
      </c>
    </row>
    <row r="1341" spans="1:6" x14ac:dyDescent="0.25">
      <c r="A1341" s="1">
        <v>44958</v>
      </c>
      <c r="B1341" t="s">
        <v>37</v>
      </c>
      <c r="C1341" t="s">
        <v>1022</v>
      </c>
      <c r="D1341" s="2">
        <v>26620000</v>
      </c>
      <c r="E1341">
        <v>0</v>
      </c>
      <c r="F1341">
        <v>0</v>
      </c>
    </row>
    <row r="1342" spans="1:6" x14ac:dyDescent="0.25">
      <c r="A1342" s="1">
        <v>44958</v>
      </c>
      <c r="B1342" t="s">
        <v>92</v>
      </c>
      <c r="C1342" t="s">
        <v>1023</v>
      </c>
      <c r="D1342">
        <v>0</v>
      </c>
      <c r="E1342">
        <v>0</v>
      </c>
      <c r="F1342">
        <v>0</v>
      </c>
    </row>
    <row r="1343" spans="1:6" x14ac:dyDescent="0.25">
      <c r="A1343" s="1">
        <v>44958</v>
      </c>
      <c r="B1343" t="s">
        <v>17</v>
      </c>
      <c r="C1343" t="s">
        <v>377</v>
      </c>
      <c r="D1343" s="2">
        <v>65204388.350000001</v>
      </c>
      <c r="E1343" s="2">
        <v>58432368</v>
      </c>
      <c r="F1343" s="2">
        <v>22489730.640000001</v>
      </c>
    </row>
    <row r="1344" spans="1:6" x14ac:dyDescent="0.25">
      <c r="A1344" s="1">
        <v>44958</v>
      </c>
      <c r="B1344" t="s">
        <v>296</v>
      </c>
      <c r="C1344" t="s">
        <v>1024</v>
      </c>
      <c r="D1344" s="2">
        <v>30161.1</v>
      </c>
      <c r="E1344" s="2">
        <v>30161.1</v>
      </c>
      <c r="F1344" s="2">
        <v>30161.1</v>
      </c>
    </row>
    <row r="1345" spans="1:6" x14ac:dyDescent="0.25">
      <c r="A1345" s="1">
        <v>44958</v>
      </c>
      <c r="B1345" t="s">
        <v>31</v>
      </c>
      <c r="C1345" t="s">
        <v>430</v>
      </c>
      <c r="D1345">
        <v>0</v>
      </c>
      <c r="E1345">
        <v>0</v>
      </c>
      <c r="F1345">
        <v>0</v>
      </c>
    </row>
    <row r="1346" spans="1:6" x14ac:dyDescent="0.25">
      <c r="A1346" s="1">
        <v>44958</v>
      </c>
      <c r="B1346" t="s">
        <v>17</v>
      </c>
      <c r="C1346" t="s">
        <v>1025</v>
      </c>
      <c r="D1346">
        <v>0</v>
      </c>
      <c r="E1346">
        <v>0</v>
      </c>
      <c r="F1346">
        <v>0</v>
      </c>
    </row>
    <row r="1347" spans="1:6" x14ac:dyDescent="0.25">
      <c r="A1347" s="1">
        <v>44958</v>
      </c>
      <c r="B1347" t="s">
        <v>21</v>
      </c>
      <c r="C1347" t="s">
        <v>700</v>
      </c>
      <c r="D1347">
        <v>0</v>
      </c>
      <c r="E1347">
        <v>0</v>
      </c>
      <c r="F1347">
        <v>0</v>
      </c>
    </row>
    <row r="1348" spans="1:6" x14ac:dyDescent="0.25">
      <c r="A1348" s="1">
        <v>44958</v>
      </c>
      <c r="B1348" t="s">
        <v>21</v>
      </c>
      <c r="C1348" t="s">
        <v>1026</v>
      </c>
      <c r="D1348">
        <v>0</v>
      </c>
      <c r="E1348">
        <v>0</v>
      </c>
      <c r="F1348">
        <v>0</v>
      </c>
    </row>
    <row r="1349" spans="1:6" x14ac:dyDescent="0.25">
      <c r="A1349" s="1">
        <v>44958</v>
      </c>
      <c r="B1349" t="s">
        <v>21</v>
      </c>
      <c r="C1349" t="s">
        <v>1027</v>
      </c>
      <c r="D1349" s="2">
        <v>3097966.63</v>
      </c>
      <c r="E1349">
        <v>0</v>
      </c>
      <c r="F1349">
        <v>0</v>
      </c>
    </row>
    <row r="1350" spans="1:6" x14ac:dyDescent="0.25">
      <c r="A1350" s="1">
        <v>44958</v>
      </c>
      <c r="B1350" t="s">
        <v>21</v>
      </c>
      <c r="C1350" t="s">
        <v>1028</v>
      </c>
      <c r="D1350">
        <v>0</v>
      </c>
      <c r="E1350">
        <v>0</v>
      </c>
      <c r="F1350">
        <v>0</v>
      </c>
    </row>
    <row r="1351" spans="1:6" x14ac:dyDescent="0.25">
      <c r="A1351" s="1">
        <v>44958</v>
      </c>
      <c r="B1351" t="s">
        <v>132</v>
      </c>
      <c r="C1351" t="s">
        <v>469</v>
      </c>
      <c r="D1351" s="2">
        <v>87018747.900000006</v>
      </c>
      <c r="E1351" s="2">
        <v>61698028.5</v>
      </c>
      <c r="F1351" s="2">
        <v>41262269.75</v>
      </c>
    </row>
    <row r="1352" spans="1:6" x14ac:dyDescent="0.25">
      <c r="A1352" s="1">
        <v>44958</v>
      </c>
      <c r="B1352" t="s">
        <v>46</v>
      </c>
      <c r="C1352" t="s">
        <v>241</v>
      </c>
      <c r="D1352" s="2">
        <v>8527249.0600000005</v>
      </c>
      <c r="E1352" s="2">
        <v>851856.39</v>
      </c>
      <c r="F1352" s="2">
        <v>161738.29</v>
      </c>
    </row>
    <row r="1353" spans="1:6" x14ac:dyDescent="0.25">
      <c r="A1353" s="1">
        <v>44958</v>
      </c>
      <c r="B1353" t="s">
        <v>407</v>
      </c>
      <c r="C1353" t="s">
        <v>1029</v>
      </c>
      <c r="D1353">
        <v>0</v>
      </c>
      <c r="E1353">
        <v>0</v>
      </c>
      <c r="F1353">
        <v>0</v>
      </c>
    </row>
    <row r="1354" spans="1:6" x14ac:dyDescent="0.25">
      <c r="A1354" s="1">
        <v>44958</v>
      </c>
      <c r="B1354" t="s">
        <v>40</v>
      </c>
      <c r="C1354" t="s">
        <v>388</v>
      </c>
      <c r="D1354" s="2">
        <v>40000</v>
      </c>
      <c r="E1354" s="2">
        <v>13940.64</v>
      </c>
      <c r="F1354">
        <v>0</v>
      </c>
    </row>
    <row r="1355" spans="1:6" x14ac:dyDescent="0.25">
      <c r="A1355" s="1">
        <v>44958</v>
      </c>
      <c r="B1355" t="s">
        <v>40</v>
      </c>
      <c r="C1355" t="s">
        <v>644</v>
      </c>
      <c r="D1355" s="2">
        <v>42486.98</v>
      </c>
      <c r="E1355">
        <v>0</v>
      </c>
      <c r="F1355">
        <v>0</v>
      </c>
    </row>
    <row r="1356" spans="1:6" x14ac:dyDescent="0.25">
      <c r="A1356" s="1">
        <v>44958</v>
      </c>
      <c r="B1356" t="s">
        <v>42</v>
      </c>
      <c r="C1356" t="s">
        <v>670</v>
      </c>
      <c r="D1356" s="2">
        <v>1624515.39</v>
      </c>
      <c r="E1356" s="2">
        <v>1660727.44</v>
      </c>
      <c r="F1356" s="2">
        <v>2151729.73</v>
      </c>
    </row>
    <row r="1357" spans="1:6" x14ac:dyDescent="0.25">
      <c r="A1357" s="1">
        <v>44958</v>
      </c>
      <c r="B1357" t="s">
        <v>44</v>
      </c>
      <c r="C1357" t="s">
        <v>228</v>
      </c>
      <c r="D1357" s="2">
        <v>12500</v>
      </c>
      <c r="E1357">
        <v>0</v>
      </c>
      <c r="F1357">
        <v>0</v>
      </c>
    </row>
    <row r="1358" spans="1:6" x14ac:dyDescent="0.25">
      <c r="A1358" s="1">
        <v>44958</v>
      </c>
      <c r="B1358" t="s">
        <v>13</v>
      </c>
      <c r="C1358" t="s">
        <v>474</v>
      </c>
      <c r="D1358" s="2">
        <v>4421445660</v>
      </c>
      <c r="E1358" s="2">
        <v>505830279.00999999</v>
      </c>
      <c r="F1358">
        <v>0</v>
      </c>
    </row>
    <row r="1359" spans="1:6" x14ac:dyDescent="0.25">
      <c r="A1359" s="1">
        <v>44958</v>
      </c>
      <c r="B1359" t="s">
        <v>40</v>
      </c>
      <c r="C1359" t="s">
        <v>215</v>
      </c>
      <c r="D1359">
        <v>0</v>
      </c>
      <c r="E1359">
        <v>0</v>
      </c>
      <c r="F1359">
        <v>0</v>
      </c>
    </row>
    <row r="1360" spans="1:6" x14ac:dyDescent="0.25">
      <c r="A1360" s="1">
        <v>44958</v>
      </c>
      <c r="B1360" t="s">
        <v>42</v>
      </c>
      <c r="C1360" t="s">
        <v>43</v>
      </c>
      <c r="D1360" s="2">
        <v>17576207.960000001</v>
      </c>
      <c r="E1360" s="2">
        <v>17576207.960000001</v>
      </c>
      <c r="F1360" s="2">
        <v>29610694.789999999</v>
      </c>
    </row>
    <row r="1361" spans="1:6" x14ac:dyDescent="0.25">
      <c r="A1361" s="1">
        <v>44958</v>
      </c>
      <c r="B1361" t="s">
        <v>162</v>
      </c>
      <c r="C1361" t="s">
        <v>621</v>
      </c>
      <c r="D1361" s="2">
        <v>-7068131.9800000004</v>
      </c>
      <c r="E1361" s="2">
        <v>1645499.48</v>
      </c>
      <c r="F1361" s="2">
        <v>1624819.23</v>
      </c>
    </row>
    <row r="1362" spans="1:6" x14ac:dyDescent="0.25">
      <c r="A1362" s="1">
        <v>44958</v>
      </c>
      <c r="B1362" t="s">
        <v>282</v>
      </c>
      <c r="C1362" t="s">
        <v>664</v>
      </c>
      <c r="D1362" s="2">
        <v>38900422800</v>
      </c>
      <c r="E1362" s="2">
        <v>12969757598</v>
      </c>
      <c r="F1362" s="2">
        <v>12966797498</v>
      </c>
    </row>
    <row r="1363" spans="1:6" x14ac:dyDescent="0.25">
      <c r="A1363" s="1">
        <v>44958</v>
      </c>
      <c r="B1363" t="s">
        <v>42</v>
      </c>
      <c r="C1363" t="s">
        <v>1030</v>
      </c>
      <c r="D1363" s="2">
        <v>61789.61</v>
      </c>
      <c r="E1363" s="2">
        <v>61789.61</v>
      </c>
      <c r="F1363" s="2">
        <v>61789.61</v>
      </c>
    </row>
    <row r="1364" spans="1:6" x14ac:dyDescent="0.25">
      <c r="A1364" s="1">
        <v>44958</v>
      </c>
      <c r="B1364" t="s">
        <v>19</v>
      </c>
      <c r="C1364" t="s">
        <v>156</v>
      </c>
      <c r="D1364" s="2">
        <v>-3430184</v>
      </c>
      <c r="E1364" s="2">
        <v>33737.58</v>
      </c>
      <c r="F1364" s="2">
        <v>33001.72</v>
      </c>
    </row>
    <row r="1365" spans="1:6" x14ac:dyDescent="0.25">
      <c r="A1365" s="1">
        <v>44958</v>
      </c>
      <c r="B1365" t="s">
        <v>726</v>
      </c>
      <c r="C1365" t="s">
        <v>73</v>
      </c>
      <c r="D1365">
        <v>0</v>
      </c>
      <c r="E1365">
        <v>0</v>
      </c>
      <c r="F1365">
        <v>0</v>
      </c>
    </row>
    <row r="1366" spans="1:6" x14ac:dyDescent="0.25">
      <c r="A1366" s="1">
        <v>44958</v>
      </c>
      <c r="B1366" t="s">
        <v>196</v>
      </c>
      <c r="C1366" t="s">
        <v>806</v>
      </c>
      <c r="D1366">
        <v>0</v>
      </c>
      <c r="E1366">
        <v>0</v>
      </c>
      <c r="F1366">
        <v>0</v>
      </c>
    </row>
    <row r="1367" spans="1:6" x14ac:dyDescent="0.25">
      <c r="A1367" s="1">
        <v>44958</v>
      </c>
      <c r="B1367" t="s">
        <v>21</v>
      </c>
      <c r="C1367" t="s">
        <v>790</v>
      </c>
      <c r="D1367" s="2">
        <v>16868047.449999999</v>
      </c>
      <c r="E1367" s="2">
        <v>993019.17</v>
      </c>
      <c r="F1367" s="2">
        <v>940815.69</v>
      </c>
    </row>
    <row r="1368" spans="1:6" x14ac:dyDescent="0.25">
      <c r="A1368" s="1">
        <v>44958</v>
      </c>
      <c r="B1368" t="s">
        <v>458</v>
      </c>
      <c r="C1368" t="s">
        <v>260</v>
      </c>
      <c r="D1368">
        <v>0</v>
      </c>
      <c r="E1368">
        <v>0</v>
      </c>
      <c r="F1368">
        <v>0</v>
      </c>
    </row>
    <row r="1369" spans="1:6" x14ac:dyDescent="0.25">
      <c r="A1369" s="1">
        <v>44958</v>
      </c>
      <c r="B1369" t="s">
        <v>691</v>
      </c>
      <c r="C1369" t="s">
        <v>95</v>
      </c>
      <c r="D1369">
        <v>0</v>
      </c>
      <c r="E1369">
        <v>0</v>
      </c>
      <c r="F1369">
        <v>0</v>
      </c>
    </row>
    <row r="1370" spans="1:6" x14ac:dyDescent="0.25">
      <c r="A1370" s="1">
        <v>44958</v>
      </c>
      <c r="B1370" t="s">
        <v>21</v>
      </c>
      <c r="C1370" t="s">
        <v>406</v>
      </c>
      <c r="D1370" s="2">
        <v>10824618</v>
      </c>
      <c r="E1370">
        <v>0</v>
      </c>
      <c r="F1370">
        <v>0</v>
      </c>
    </row>
    <row r="1371" spans="1:6" x14ac:dyDescent="0.25">
      <c r="A1371" s="1">
        <v>44958</v>
      </c>
      <c r="B1371" t="s">
        <v>296</v>
      </c>
      <c r="C1371" t="s">
        <v>552</v>
      </c>
      <c r="D1371" s="2">
        <v>42935339.130000003</v>
      </c>
      <c r="E1371" s="2">
        <v>127504.35</v>
      </c>
      <c r="F1371" s="2">
        <v>113552.79</v>
      </c>
    </row>
    <row r="1372" spans="1:6" x14ac:dyDescent="0.25">
      <c r="A1372" s="1">
        <v>44958</v>
      </c>
      <c r="B1372" t="s">
        <v>50</v>
      </c>
      <c r="C1372" t="s">
        <v>320</v>
      </c>
      <c r="D1372">
        <v>0</v>
      </c>
      <c r="E1372">
        <v>0</v>
      </c>
      <c r="F1372">
        <v>0</v>
      </c>
    </row>
    <row r="1373" spans="1:6" x14ac:dyDescent="0.25">
      <c r="A1373" s="1">
        <v>44958</v>
      </c>
      <c r="B1373" t="s">
        <v>23</v>
      </c>
      <c r="C1373" t="s">
        <v>760</v>
      </c>
      <c r="D1373" s="2">
        <v>208702046</v>
      </c>
      <c r="E1373">
        <v>0</v>
      </c>
      <c r="F1373">
        <v>0</v>
      </c>
    </row>
    <row r="1374" spans="1:6" x14ac:dyDescent="0.25">
      <c r="A1374" s="1">
        <v>44958</v>
      </c>
      <c r="B1374" t="s">
        <v>15</v>
      </c>
      <c r="C1374" t="s">
        <v>614</v>
      </c>
      <c r="D1374" s="2">
        <v>4156905.12</v>
      </c>
      <c r="E1374" s="2">
        <v>4001090.43</v>
      </c>
      <c r="F1374" s="2">
        <v>14940.09</v>
      </c>
    </row>
    <row r="1375" spans="1:6" x14ac:dyDescent="0.25">
      <c r="A1375" s="1">
        <v>44958</v>
      </c>
      <c r="B1375" t="s">
        <v>21</v>
      </c>
      <c r="C1375" t="s">
        <v>462</v>
      </c>
      <c r="D1375">
        <v>0</v>
      </c>
      <c r="E1375">
        <v>0</v>
      </c>
      <c r="F1375">
        <v>0</v>
      </c>
    </row>
    <row r="1376" spans="1:6" x14ac:dyDescent="0.25">
      <c r="A1376" s="1">
        <v>44958</v>
      </c>
      <c r="B1376" t="s">
        <v>288</v>
      </c>
      <c r="C1376" t="s">
        <v>289</v>
      </c>
      <c r="D1376" s="2">
        <v>1350</v>
      </c>
      <c r="E1376">
        <v>0</v>
      </c>
      <c r="F1376">
        <v>0</v>
      </c>
    </row>
    <row r="1377" spans="1:6" x14ac:dyDescent="0.25">
      <c r="A1377" s="1">
        <v>44958</v>
      </c>
      <c r="B1377" t="s">
        <v>40</v>
      </c>
      <c r="C1377" t="s">
        <v>1031</v>
      </c>
      <c r="D1377">
        <v>0</v>
      </c>
      <c r="E1377">
        <v>0</v>
      </c>
      <c r="F1377">
        <v>0</v>
      </c>
    </row>
    <row r="1378" spans="1:6" x14ac:dyDescent="0.25">
      <c r="A1378" s="1">
        <v>44958</v>
      </c>
      <c r="B1378" t="s">
        <v>821</v>
      </c>
      <c r="C1378" t="s">
        <v>822</v>
      </c>
      <c r="D1378" s="2">
        <v>760555.69</v>
      </c>
      <c r="E1378" s="2">
        <v>14189.08</v>
      </c>
      <c r="F1378" s="2">
        <v>14113.66</v>
      </c>
    </row>
    <row r="1379" spans="1:6" x14ac:dyDescent="0.25">
      <c r="A1379" s="1">
        <v>44958</v>
      </c>
      <c r="B1379" t="s">
        <v>23</v>
      </c>
      <c r="C1379" t="s">
        <v>698</v>
      </c>
      <c r="D1379" s="2">
        <v>192140.01</v>
      </c>
      <c r="E1379" s="2">
        <v>17900</v>
      </c>
      <c r="F1379" s="2">
        <v>17900</v>
      </c>
    </row>
    <row r="1380" spans="1:6" x14ac:dyDescent="0.25">
      <c r="A1380" s="1">
        <v>44958</v>
      </c>
      <c r="B1380" t="s">
        <v>398</v>
      </c>
      <c r="C1380" t="s">
        <v>1032</v>
      </c>
      <c r="D1380">
        <v>0</v>
      </c>
      <c r="E1380">
        <v>0</v>
      </c>
      <c r="F1380">
        <v>0</v>
      </c>
    </row>
    <row r="1381" spans="1:6" x14ac:dyDescent="0.25">
      <c r="A1381" s="1">
        <v>44958</v>
      </c>
      <c r="B1381" t="s">
        <v>107</v>
      </c>
      <c r="C1381" t="s">
        <v>513</v>
      </c>
      <c r="D1381" s="2">
        <v>711039.14</v>
      </c>
      <c r="E1381" s="2">
        <v>45359.49</v>
      </c>
      <c r="F1381" s="2">
        <v>18821.150000000001</v>
      </c>
    </row>
    <row r="1382" spans="1:6" x14ac:dyDescent="0.25">
      <c r="A1382" s="1">
        <v>44958</v>
      </c>
      <c r="B1382" t="s">
        <v>278</v>
      </c>
      <c r="C1382" t="s">
        <v>688</v>
      </c>
      <c r="D1382" s="2">
        <v>2000</v>
      </c>
      <c r="E1382" s="2">
        <v>3157178357.6700001</v>
      </c>
      <c r="F1382" s="2">
        <v>3137338365.5599999</v>
      </c>
    </row>
    <row r="1383" spans="1:6" x14ac:dyDescent="0.25">
      <c r="A1383" s="1">
        <v>44958</v>
      </c>
      <c r="B1383" t="s">
        <v>518</v>
      </c>
      <c r="C1383" t="s">
        <v>906</v>
      </c>
      <c r="D1383" s="2">
        <v>35974.519999999997</v>
      </c>
      <c r="E1383" s="2">
        <v>6653.55</v>
      </c>
      <c r="F1383" s="2">
        <v>1785.57</v>
      </c>
    </row>
    <row r="1384" spans="1:6" x14ac:dyDescent="0.25">
      <c r="A1384" s="1">
        <v>44958</v>
      </c>
      <c r="B1384" t="s">
        <v>21</v>
      </c>
      <c r="C1384" t="s">
        <v>404</v>
      </c>
      <c r="D1384">
        <v>0</v>
      </c>
      <c r="E1384">
        <v>0</v>
      </c>
      <c r="F1384">
        <v>0</v>
      </c>
    </row>
    <row r="1385" spans="1:6" x14ac:dyDescent="0.25">
      <c r="A1385" s="1">
        <v>44958</v>
      </c>
      <c r="B1385" t="s">
        <v>398</v>
      </c>
      <c r="C1385" t="s">
        <v>564</v>
      </c>
      <c r="D1385">
        <v>0</v>
      </c>
      <c r="E1385">
        <v>0</v>
      </c>
      <c r="F1385">
        <v>0</v>
      </c>
    </row>
    <row r="1386" spans="1:6" x14ac:dyDescent="0.25">
      <c r="A1386" s="1">
        <v>44958</v>
      </c>
      <c r="B1386" t="s">
        <v>114</v>
      </c>
      <c r="C1386" t="s">
        <v>764</v>
      </c>
      <c r="D1386" s="2">
        <v>36384402.210000001</v>
      </c>
      <c r="E1386" s="2">
        <v>36679243.909999996</v>
      </c>
      <c r="F1386" s="2">
        <v>220937.43</v>
      </c>
    </row>
    <row r="1387" spans="1:6" x14ac:dyDescent="0.25">
      <c r="A1387" s="1">
        <v>44958</v>
      </c>
      <c r="B1387" t="s">
        <v>101</v>
      </c>
      <c r="C1387" t="s">
        <v>536</v>
      </c>
      <c r="D1387">
        <v>0</v>
      </c>
      <c r="E1387" s="2">
        <v>62466.080000000002</v>
      </c>
      <c r="F1387" s="2">
        <v>62466.080000000002</v>
      </c>
    </row>
    <row r="1388" spans="1:6" x14ac:dyDescent="0.25">
      <c r="A1388" s="1">
        <v>44958</v>
      </c>
      <c r="B1388" t="s">
        <v>107</v>
      </c>
      <c r="C1388" t="s">
        <v>509</v>
      </c>
      <c r="D1388">
        <v>0</v>
      </c>
      <c r="E1388">
        <v>0</v>
      </c>
      <c r="F1388">
        <v>0</v>
      </c>
    </row>
    <row r="1389" spans="1:6" x14ac:dyDescent="0.25">
      <c r="A1389" s="1">
        <v>44958</v>
      </c>
      <c r="B1389" t="s">
        <v>46</v>
      </c>
      <c r="C1389" t="s">
        <v>587</v>
      </c>
      <c r="D1389" s="2">
        <v>50000</v>
      </c>
      <c r="E1389" s="2">
        <v>5827.76</v>
      </c>
      <c r="F1389" s="2">
        <v>5827.76</v>
      </c>
    </row>
    <row r="1390" spans="1:6" x14ac:dyDescent="0.25">
      <c r="A1390" s="1">
        <v>44958</v>
      </c>
      <c r="B1390" t="s">
        <v>37</v>
      </c>
      <c r="C1390" t="s">
        <v>1033</v>
      </c>
      <c r="D1390">
        <v>0</v>
      </c>
      <c r="E1390">
        <v>0</v>
      </c>
      <c r="F1390">
        <v>0</v>
      </c>
    </row>
    <row r="1391" spans="1:6" x14ac:dyDescent="0.25">
      <c r="A1391" s="1">
        <v>44958</v>
      </c>
      <c r="B1391" t="s">
        <v>11</v>
      </c>
      <c r="C1391" t="s">
        <v>557</v>
      </c>
      <c r="D1391" s="2">
        <v>541600000</v>
      </c>
      <c r="E1391" s="2">
        <v>477593112.75999999</v>
      </c>
      <c r="F1391" s="2">
        <v>477593112.75999999</v>
      </c>
    </row>
    <row r="1392" spans="1:6" x14ac:dyDescent="0.25">
      <c r="A1392" s="1">
        <v>44958</v>
      </c>
      <c r="B1392" t="s">
        <v>40</v>
      </c>
      <c r="C1392" t="s">
        <v>515</v>
      </c>
      <c r="D1392">
        <v>0</v>
      </c>
      <c r="E1392">
        <v>0</v>
      </c>
      <c r="F1392">
        <v>0</v>
      </c>
    </row>
    <row r="1393" spans="1:6" x14ac:dyDescent="0.25">
      <c r="A1393" s="1">
        <v>44958</v>
      </c>
      <c r="B1393" t="s">
        <v>105</v>
      </c>
      <c r="C1393" t="s">
        <v>106</v>
      </c>
      <c r="D1393">
        <v>0</v>
      </c>
      <c r="E1393">
        <v>0</v>
      </c>
      <c r="F1393">
        <v>0</v>
      </c>
    </row>
    <row r="1394" spans="1:6" x14ac:dyDescent="0.25">
      <c r="A1394" s="1">
        <v>44958</v>
      </c>
      <c r="B1394" t="s">
        <v>75</v>
      </c>
      <c r="C1394" t="s">
        <v>847</v>
      </c>
      <c r="D1394" s="2">
        <v>89384.4</v>
      </c>
      <c r="E1394">
        <v>0</v>
      </c>
      <c r="F1394">
        <v>0</v>
      </c>
    </row>
    <row r="1395" spans="1:6" x14ac:dyDescent="0.25">
      <c r="A1395" s="1">
        <v>44958</v>
      </c>
      <c r="B1395" t="s">
        <v>44</v>
      </c>
      <c r="C1395" t="s">
        <v>872</v>
      </c>
      <c r="D1395" s="2">
        <v>27595</v>
      </c>
      <c r="E1395" s="2">
        <v>5824.42</v>
      </c>
      <c r="F1395" s="2">
        <v>5005</v>
      </c>
    </row>
    <row r="1396" spans="1:6" x14ac:dyDescent="0.25">
      <c r="A1396" s="1">
        <v>44958</v>
      </c>
      <c r="B1396" t="s">
        <v>458</v>
      </c>
      <c r="C1396" t="s">
        <v>1034</v>
      </c>
      <c r="D1396">
        <v>0</v>
      </c>
      <c r="E1396">
        <v>0</v>
      </c>
      <c r="F1396">
        <v>0</v>
      </c>
    </row>
    <row r="1397" spans="1:6" x14ac:dyDescent="0.25">
      <c r="A1397" s="1">
        <v>44958</v>
      </c>
      <c r="B1397" t="s">
        <v>272</v>
      </c>
      <c r="C1397" t="s">
        <v>544</v>
      </c>
      <c r="D1397" s="2">
        <v>7219796.5700000003</v>
      </c>
      <c r="E1397" s="2">
        <v>3360906.82</v>
      </c>
      <c r="F1397" s="2">
        <v>3289195.95</v>
      </c>
    </row>
    <row r="1398" spans="1:6" x14ac:dyDescent="0.25">
      <c r="A1398" s="1">
        <v>44958</v>
      </c>
      <c r="B1398" t="s">
        <v>17</v>
      </c>
      <c r="C1398" t="s">
        <v>1034</v>
      </c>
      <c r="D1398">
        <v>0</v>
      </c>
      <c r="E1398">
        <v>0</v>
      </c>
      <c r="F1398">
        <v>0</v>
      </c>
    </row>
    <row r="1399" spans="1:6" x14ac:dyDescent="0.25">
      <c r="A1399" s="1">
        <v>44958</v>
      </c>
      <c r="B1399" t="s">
        <v>90</v>
      </c>
      <c r="C1399" t="s">
        <v>73</v>
      </c>
      <c r="D1399">
        <v>0</v>
      </c>
      <c r="E1399">
        <v>0</v>
      </c>
      <c r="F1399">
        <v>0</v>
      </c>
    </row>
    <row r="1400" spans="1:6" x14ac:dyDescent="0.25">
      <c r="A1400" s="1">
        <v>44958</v>
      </c>
      <c r="B1400" t="s">
        <v>162</v>
      </c>
      <c r="C1400" t="s">
        <v>322</v>
      </c>
      <c r="D1400" s="2">
        <v>6500000</v>
      </c>
      <c r="E1400" s="2">
        <v>4016731.2</v>
      </c>
      <c r="F1400" s="2">
        <v>4016731.2</v>
      </c>
    </row>
    <row r="1401" spans="1:6" x14ac:dyDescent="0.25">
      <c r="A1401" s="1">
        <v>44958</v>
      </c>
      <c r="B1401" t="s">
        <v>282</v>
      </c>
      <c r="C1401" t="s">
        <v>392</v>
      </c>
      <c r="D1401" s="2">
        <v>5593366</v>
      </c>
      <c r="E1401">
        <v>0</v>
      </c>
      <c r="F1401">
        <v>0</v>
      </c>
    </row>
    <row r="1402" spans="1:6" x14ac:dyDescent="0.25">
      <c r="A1402" s="1">
        <v>44958</v>
      </c>
      <c r="B1402" t="s">
        <v>21</v>
      </c>
      <c r="C1402" t="s">
        <v>797</v>
      </c>
      <c r="D1402">
        <v>0</v>
      </c>
      <c r="E1402">
        <v>0</v>
      </c>
      <c r="F1402">
        <v>0</v>
      </c>
    </row>
    <row r="1403" spans="1:6" x14ac:dyDescent="0.25">
      <c r="A1403" s="1">
        <v>44958</v>
      </c>
      <c r="B1403" t="s">
        <v>81</v>
      </c>
      <c r="C1403" t="s">
        <v>500</v>
      </c>
      <c r="D1403">
        <v>0</v>
      </c>
      <c r="E1403">
        <v>0</v>
      </c>
      <c r="F1403">
        <v>0</v>
      </c>
    </row>
    <row r="1404" spans="1:6" x14ac:dyDescent="0.25">
      <c r="A1404" s="1">
        <v>44958</v>
      </c>
      <c r="B1404" t="s">
        <v>118</v>
      </c>
      <c r="C1404" t="s">
        <v>374</v>
      </c>
      <c r="D1404">
        <v>0</v>
      </c>
      <c r="E1404">
        <v>0</v>
      </c>
      <c r="F1404">
        <v>0</v>
      </c>
    </row>
    <row r="1405" spans="1:6" x14ac:dyDescent="0.25">
      <c r="A1405" s="1">
        <v>44958</v>
      </c>
      <c r="B1405" t="s">
        <v>422</v>
      </c>
      <c r="C1405" t="s">
        <v>1035</v>
      </c>
      <c r="D1405" s="2">
        <v>668000000</v>
      </c>
      <c r="E1405" s="2">
        <v>667155866</v>
      </c>
      <c r="F1405" s="2">
        <v>667155866</v>
      </c>
    </row>
    <row r="1406" spans="1:6" x14ac:dyDescent="0.25">
      <c r="A1406" s="1">
        <v>44958</v>
      </c>
      <c r="B1406" t="s">
        <v>37</v>
      </c>
      <c r="C1406" t="s">
        <v>384</v>
      </c>
      <c r="D1406">
        <v>0</v>
      </c>
      <c r="E1406">
        <v>0</v>
      </c>
      <c r="F1406">
        <v>0</v>
      </c>
    </row>
    <row r="1407" spans="1:6" x14ac:dyDescent="0.25">
      <c r="A1407" s="1">
        <v>44958</v>
      </c>
      <c r="B1407" t="s">
        <v>11</v>
      </c>
      <c r="C1407" t="s">
        <v>83</v>
      </c>
      <c r="D1407">
        <v>0</v>
      </c>
      <c r="E1407" s="2">
        <v>15998307294.49</v>
      </c>
      <c r="F1407" s="2">
        <v>15998307294.49</v>
      </c>
    </row>
    <row r="1408" spans="1:6" x14ac:dyDescent="0.25">
      <c r="A1408" s="1">
        <v>44958</v>
      </c>
      <c r="B1408" t="s">
        <v>107</v>
      </c>
      <c r="C1408" t="s">
        <v>153</v>
      </c>
      <c r="D1408">
        <v>0</v>
      </c>
      <c r="E1408">
        <v>0</v>
      </c>
      <c r="F1408">
        <v>0</v>
      </c>
    </row>
    <row r="1409" spans="1:6" x14ac:dyDescent="0.25">
      <c r="A1409" s="1">
        <v>44958</v>
      </c>
      <c r="B1409" t="s">
        <v>7</v>
      </c>
      <c r="C1409" t="s">
        <v>8</v>
      </c>
      <c r="D1409" s="2">
        <v>28336471241.619999</v>
      </c>
      <c r="E1409" s="2">
        <v>37279352362.620003</v>
      </c>
      <c r="F1409" s="2">
        <v>37279352362.620003</v>
      </c>
    </row>
    <row r="1410" spans="1:6" x14ac:dyDescent="0.25">
      <c r="A1410" s="1">
        <v>44958</v>
      </c>
      <c r="B1410" t="s">
        <v>40</v>
      </c>
      <c r="C1410" t="s">
        <v>666</v>
      </c>
      <c r="D1410">
        <v>0</v>
      </c>
      <c r="E1410">
        <v>0</v>
      </c>
      <c r="F1410">
        <v>0</v>
      </c>
    </row>
    <row r="1411" spans="1:6" x14ac:dyDescent="0.25">
      <c r="A1411" s="1">
        <v>44958</v>
      </c>
      <c r="B1411" t="s">
        <v>27</v>
      </c>
      <c r="C1411" t="s">
        <v>280</v>
      </c>
      <c r="D1411">
        <v>0</v>
      </c>
      <c r="E1411">
        <v>0</v>
      </c>
      <c r="F1411">
        <v>0</v>
      </c>
    </row>
    <row r="1412" spans="1:6" x14ac:dyDescent="0.25">
      <c r="A1412" s="1">
        <v>44958</v>
      </c>
      <c r="B1412" t="s">
        <v>40</v>
      </c>
      <c r="C1412" t="s">
        <v>907</v>
      </c>
      <c r="D1412" s="2">
        <v>23979.07</v>
      </c>
      <c r="E1412">
        <v>0</v>
      </c>
      <c r="F1412">
        <v>0</v>
      </c>
    </row>
    <row r="1413" spans="1:6" x14ac:dyDescent="0.25">
      <c r="A1413" s="1">
        <v>44958</v>
      </c>
      <c r="B1413" t="s">
        <v>17</v>
      </c>
      <c r="C1413" t="s">
        <v>799</v>
      </c>
      <c r="D1413" s="2">
        <v>164955</v>
      </c>
      <c r="E1413" s="2">
        <v>34607.129999999997</v>
      </c>
      <c r="F1413" s="2">
        <v>33595.65</v>
      </c>
    </row>
    <row r="1414" spans="1:6" x14ac:dyDescent="0.25">
      <c r="A1414" s="1">
        <v>44958</v>
      </c>
      <c r="B1414" t="s">
        <v>11</v>
      </c>
      <c r="C1414" t="s">
        <v>696</v>
      </c>
      <c r="D1414" s="2">
        <v>18496677.530000001</v>
      </c>
      <c r="E1414" s="2">
        <v>18539409.690000001</v>
      </c>
      <c r="F1414" s="2">
        <v>18438126.93</v>
      </c>
    </row>
    <row r="1415" spans="1:6" x14ac:dyDescent="0.25">
      <c r="A1415" s="1">
        <v>44958</v>
      </c>
      <c r="B1415" t="s">
        <v>694</v>
      </c>
      <c r="C1415" t="s">
        <v>658</v>
      </c>
      <c r="D1415">
        <v>0</v>
      </c>
      <c r="E1415">
        <v>0</v>
      </c>
      <c r="F1415">
        <v>0</v>
      </c>
    </row>
    <row r="1416" spans="1:6" x14ac:dyDescent="0.25">
      <c r="A1416" s="1">
        <v>44958</v>
      </c>
      <c r="B1416" t="s">
        <v>187</v>
      </c>
      <c r="C1416" t="s">
        <v>502</v>
      </c>
      <c r="D1416">
        <v>0</v>
      </c>
      <c r="E1416">
        <v>0</v>
      </c>
      <c r="F1416">
        <v>0</v>
      </c>
    </row>
    <row r="1417" spans="1:6" x14ac:dyDescent="0.25">
      <c r="A1417" s="1">
        <v>44958</v>
      </c>
      <c r="B1417" t="s">
        <v>25</v>
      </c>
      <c r="C1417" t="s">
        <v>138</v>
      </c>
      <c r="D1417" s="2">
        <v>66559.899999999994</v>
      </c>
      <c r="E1417" s="2">
        <v>25766.85</v>
      </c>
      <c r="F1417" s="2">
        <v>24216</v>
      </c>
    </row>
    <row r="1418" spans="1:6" x14ac:dyDescent="0.25">
      <c r="A1418" s="1">
        <v>44958</v>
      </c>
      <c r="B1418" t="s">
        <v>726</v>
      </c>
      <c r="C1418" t="s">
        <v>871</v>
      </c>
      <c r="D1418" s="2">
        <v>391879.71</v>
      </c>
      <c r="E1418" s="2">
        <v>113825.37</v>
      </c>
      <c r="F1418" s="2">
        <v>100614.24</v>
      </c>
    </row>
    <row r="1419" spans="1:6" x14ac:dyDescent="0.25">
      <c r="A1419" s="1">
        <v>44958</v>
      </c>
      <c r="B1419" t="s">
        <v>263</v>
      </c>
      <c r="C1419" t="s">
        <v>264</v>
      </c>
      <c r="D1419" s="2">
        <v>6026997.8700000001</v>
      </c>
      <c r="E1419" s="2">
        <v>6729148.5700000003</v>
      </c>
      <c r="F1419" s="2">
        <v>7029968.2699999996</v>
      </c>
    </row>
    <row r="1420" spans="1:6" x14ac:dyDescent="0.25">
      <c r="A1420" s="1">
        <v>44958</v>
      </c>
      <c r="B1420" t="s">
        <v>691</v>
      </c>
      <c r="C1420" t="s">
        <v>692</v>
      </c>
      <c r="D1420">
        <v>0</v>
      </c>
      <c r="E1420">
        <v>0</v>
      </c>
      <c r="F1420">
        <v>0</v>
      </c>
    </row>
    <row r="1421" spans="1:6" x14ac:dyDescent="0.25">
      <c r="A1421" s="1">
        <v>44958</v>
      </c>
      <c r="B1421" t="s">
        <v>35</v>
      </c>
      <c r="C1421" t="s">
        <v>560</v>
      </c>
      <c r="D1421" s="2">
        <v>-13421646.01</v>
      </c>
      <c r="E1421" s="2">
        <v>981642.23</v>
      </c>
      <c r="F1421" s="2">
        <v>952673.57</v>
      </c>
    </row>
    <row r="1422" spans="1:6" x14ac:dyDescent="0.25">
      <c r="A1422" s="1">
        <v>44958</v>
      </c>
      <c r="B1422" t="s">
        <v>19</v>
      </c>
      <c r="C1422" t="s">
        <v>699</v>
      </c>
      <c r="D1422" s="2">
        <v>3022278.05</v>
      </c>
      <c r="E1422" s="2">
        <v>1241353.4099999999</v>
      </c>
      <c r="F1422" s="2">
        <v>1241353.4099999999</v>
      </c>
    </row>
    <row r="1423" spans="1:6" x14ac:dyDescent="0.25">
      <c r="A1423" s="1">
        <v>44958</v>
      </c>
      <c r="B1423" t="s">
        <v>42</v>
      </c>
      <c r="C1423" t="s">
        <v>548</v>
      </c>
      <c r="D1423" s="2">
        <v>75696301.049999997</v>
      </c>
      <c r="E1423" s="2">
        <v>93468761.120000005</v>
      </c>
      <c r="F1423" s="2">
        <v>127841960.63</v>
      </c>
    </row>
    <row r="1424" spans="1:6" x14ac:dyDescent="0.25">
      <c r="A1424" s="1">
        <v>44958</v>
      </c>
      <c r="B1424" t="s">
        <v>44</v>
      </c>
      <c r="C1424" t="s">
        <v>579</v>
      </c>
      <c r="D1424" s="2">
        <v>208023.52</v>
      </c>
      <c r="E1424" s="2">
        <v>81666.850000000006</v>
      </c>
      <c r="F1424" s="2">
        <v>73072.990000000005</v>
      </c>
    </row>
    <row r="1425" spans="1:6" x14ac:dyDescent="0.25">
      <c r="A1425" s="1">
        <v>44958</v>
      </c>
      <c r="B1425" t="s">
        <v>132</v>
      </c>
      <c r="C1425" t="s">
        <v>385</v>
      </c>
      <c r="D1425" s="2">
        <v>10984993.550000001</v>
      </c>
      <c r="E1425" s="2">
        <v>7524252.9100000001</v>
      </c>
      <c r="F1425" s="2">
        <v>2078905.63</v>
      </c>
    </row>
    <row r="1426" spans="1:6" x14ac:dyDescent="0.25">
      <c r="A1426" s="1">
        <v>44958</v>
      </c>
      <c r="B1426" t="s">
        <v>118</v>
      </c>
      <c r="C1426" t="s">
        <v>379</v>
      </c>
      <c r="D1426" s="2">
        <v>6834.02</v>
      </c>
      <c r="E1426" s="2">
        <v>2215.6</v>
      </c>
      <c r="F1426" s="2">
        <v>2215.6</v>
      </c>
    </row>
    <row r="1427" spans="1:6" x14ac:dyDescent="0.25">
      <c r="A1427" s="1">
        <v>44958</v>
      </c>
      <c r="B1427" t="s">
        <v>441</v>
      </c>
      <c r="C1427" t="s">
        <v>576</v>
      </c>
      <c r="D1427">
        <v>0</v>
      </c>
      <c r="E1427">
        <v>0</v>
      </c>
      <c r="F1427">
        <v>0</v>
      </c>
    </row>
    <row r="1428" spans="1:6" x14ac:dyDescent="0.25">
      <c r="A1428" s="1">
        <v>44958</v>
      </c>
      <c r="B1428" t="s">
        <v>40</v>
      </c>
      <c r="C1428" t="s">
        <v>599</v>
      </c>
      <c r="D1428" s="2">
        <v>244727163.78999999</v>
      </c>
      <c r="E1428" s="2">
        <v>79022878.310000002</v>
      </c>
      <c r="F1428" s="2">
        <v>64678341.060000002</v>
      </c>
    </row>
    <row r="1429" spans="1:6" x14ac:dyDescent="0.25">
      <c r="A1429" s="1">
        <v>44958</v>
      </c>
      <c r="B1429" t="s">
        <v>37</v>
      </c>
      <c r="C1429" t="s">
        <v>577</v>
      </c>
      <c r="D1429" s="2">
        <v>55116</v>
      </c>
      <c r="E1429" s="2">
        <v>12920.5</v>
      </c>
      <c r="F1429" s="2">
        <v>12920.5</v>
      </c>
    </row>
    <row r="1430" spans="1:6" x14ac:dyDescent="0.25">
      <c r="A1430" s="1">
        <v>44958</v>
      </c>
      <c r="B1430" t="s">
        <v>101</v>
      </c>
      <c r="C1430" t="s">
        <v>203</v>
      </c>
      <c r="D1430">
        <v>0</v>
      </c>
      <c r="E1430">
        <v>0</v>
      </c>
      <c r="F1430">
        <v>0</v>
      </c>
    </row>
    <row r="1431" spans="1:6" x14ac:dyDescent="0.25">
      <c r="A1431" s="1">
        <v>44958</v>
      </c>
      <c r="B1431" t="s">
        <v>17</v>
      </c>
      <c r="C1431" t="s">
        <v>145</v>
      </c>
      <c r="D1431" s="2">
        <v>1900.79</v>
      </c>
      <c r="E1431">
        <v>0</v>
      </c>
      <c r="F1431">
        <v>0</v>
      </c>
    </row>
    <row r="1432" spans="1:6" x14ac:dyDescent="0.25">
      <c r="A1432" s="1">
        <v>44958</v>
      </c>
      <c r="B1432" t="s">
        <v>98</v>
      </c>
      <c r="C1432" t="s">
        <v>1036</v>
      </c>
      <c r="D1432">
        <v>0</v>
      </c>
      <c r="E1432">
        <v>0</v>
      </c>
      <c r="F1432">
        <v>0</v>
      </c>
    </row>
    <row r="1433" spans="1:6" x14ac:dyDescent="0.25">
      <c r="A1433" s="1">
        <v>44958</v>
      </c>
      <c r="B1433" t="s">
        <v>101</v>
      </c>
      <c r="C1433" t="s">
        <v>849</v>
      </c>
      <c r="D1433" s="2">
        <v>-1500</v>
      </c>
      <c r="E1433" s="2">
        <v>4377.0600000000004</v>
      </c>
      <c r="F1433" s="2">
        <v>4377.0600000000004</v>
      </c>
    </row>
    <row r="1434" spans="1:6" x14ac:dyDescent="0.25">
      <c r="A1434" s="1">
        <v>44958</v>
      </c>
      <c r="B1434" t="s">
        <v>23</v>
      </c>
      <c r="C1434" t="s">
        <v>331</v>
      </c>
      <c r="D1434" s="2">
        <v>1238019.98</v>
      </c>
      <c r="E1434" s="2">
        <v>391622.27</v>
      </c>
      <c r="F1434" s="2">
        <v>136864.57999999999</v>
      </c>
    </row>
    <row r="1435" spans="1:6" x14ac:dyDescent="0.25">
      <c r="A1435" s="1">
        <v>44958</v>
      </c>
      <c r="B1435" t="s">
        <v>107</v>
      </c>
      <c r="C1435" t="s">
        <v>514</v>
      </c>
      <c r="D1435" s="2">
        <v>4911000</v>
      </c>
      <c r="E1435" s="2">
        <v>4889584</v>
      </c>
      <c r="F1435" s="2">
        <v>4889584</v>
      </c>
    </row>
    <row r="1436" spans="1:6" x14ac:dyDescent="0.25">
      <c r="A1436" s="1">
        <v>44958</v>
      </c>
      <c r="B1436" t="s">
        <v>23</v>
      </c>
      <c r="C1436" t="s">
        <v>347</v>
      </c>
      <c r="D1436">
        <v>0</v>
      </c>
      <c r="E1436">
        <v>0</v>
      </c>
      <c r="F1436">
        <v>0</v>
      </c>
    </row>
    <row r="1437" spans="1:6" x14ac:dyDescent="0.25">
      <c r="A1437" s="1">
        <v>44958</v>
      </c>
      <c r="B1437" t="s">
        <v>37</v>
      </c>
      <c r="C1437" t="s">
        <v>134</v>
      </c>
      <c r="D1437">
        <v>0</v>
      </c>
      <c r="E1437">
        <v>0</v>
      </c>
      <c r="F1437">
        <v>0</v>
      </c>
    </row>
    <row r="1438" spans="1:6" x14ac:dyDescent="0.25">
      <c r="A1438" s="1">
        <v>44958</v>
      </c>
      <c r="B1438" t="s">
        <v>118</v>
      </c>
      <c r="C1438" t="s">
        <v>569</v>
      </c>
      <c r="D1438">
        <v>0</v>
      </c>
      <c r="E1438">
        <v>0</v>
      </c>
      <c r="F1438">
        <v>0</v>
      </c>
    </row>
    <row r="1439" spans="1:6" x14ac:dyDescent="0.25">
      <c r="A1439" s="1">
        <v>44958</v>
      </c>
      <c r="B1439" t="s">
        <v>21</v>
      </c>
      <c r="C1439" t="s">
        <v>522</v>
      </c>
      <c r="D1439" s="2">
        <v>34879887</v>
      </c>
      <c r="E1439">
        <v>0</v>
      </c>
      <c r="F1439">
        <v>0</v>
      </c>
    </row>
    <row r="1440" spans="1:6" x14ac:dyDescent="0.25">
      <c r="A1440" s="1">
        <v>44958</v>
      </c>
      <c r="B1440" t="s">
        <v>42</v>
      </c>
      <c r="C1440" t="s">
        <v>110</v>
      </c>
      <c r="D1440" s="2">
        <v>9690191.2699999996</v>
      </c>
      <c r="E1440" s="2">
        <v>9625438.4399999995</v>
      </c>
      <c r="F1440" s="2">
        <v>9625438.4399999995</v>
      </c>
    </row>
    <row r="1441" spans="1:6" x14ac:dyDescent="0.25">
      <c r="A1441" s="1">
        <v>44958</v>
      </c>
      <c r="B1441" t="s">
        <v>282</v>
      </c>
      <c r="C1441" t="s">
        <v>571</v>
      </c>
      <c r="D1441" s="2">
        <v>2953846.09</v>
      </c>
      <c r="E1441">
        <v>11.41</v>
      </c>
      <c r="F1441">
        <v>11.41</v>
      </c>
    </row>
    <row r="1442" spans="1:6" x14ac:dyDescent="0.25">
      <c r="A1442" s="1">
        <v>44958</v>
      </c>
      <c r="B1442" t="s">
        <v>23</v>
      </c>
      <c r="C1442" t="s">
        <v>905</v>
      </c>
      <c r="D1442" s="2">
        <v>2105235.06</v>
      </c>
      <c r="E1442" s="2">
        <v>1194118.1200000001</v>
      </c>
      <c r="F1442" s="2">
        <v>1149687.67</v>
      </c>
    </row>
    <row r="1443" spans="1:6" x14ac:dyDescent="0.25">
      <c r="A1443" s="1">
        <v>44958</v>
      </c>
      <c r="B1443" t="s">
        <v>199</v>
      </c>
      <c r="C1443" t="s">
        <v>200</v>
      </c>
      <c r="D1443">
        <v>0</v>
      </c>
      <c r="E1443" s="2">
        <v>1534.16</v>
      </c>
      <c r="F1443" s="2">
        <v>1534.16</v>
      </c>
    </row>
    <row r="1444" spans="1:6" x14ac:dyDescent="0.25">
      <c r="A1444" s="1">
        <v>44958</v>
      </c>
      <c r="B1444" t="s">
        <v>9</v>
      </c>
      <c r="C1444" t="s">
        <v>881</v>
      </c>
      <c r="D1444" s="2">
        <v>15000</v>
      </c>
      <c r="E1444">
        <v>0</v>
      </c>
      <c r="F1444">
        <v>0</v>
      </c>
    </row>
    <row r="1445" spans="1:6" x14ac:dyDescent="0.25">
      <c r="A1445" s="1">
        <v>44958</v>
      </c>
      <c r="B1445" t="s">
        <v>278</v>
      </c>
      <c r="C1445" t="s">
        <v>279</v>
      </c>
      <c r="D1445" s="2">
        <v>260000</v>
      </c>
      <c r="E1445" s="2">
        <v>118339.44</v>
      </c>
      <c r="F1445" s="2">
        <v>122436.41</v>
      </c>
    </row>
    <row r="1446" spans="1:6" x14ac:dyDescent="0.25">
      <c r="A1446" s="1">
        <v>44958</v>
      </c>
      <c r="B1446" t="s">
        <v>162</v>
      </c>
      <c r="C1446" t="s">
        <v>178</v>
      </c>
      <c r="D1446" s="2">
        <v>219603749.81999999</v>
      </c>
      <c r="E1446" s="2">
        <v>16666663.27</v>
      </c>
      <c r="F1446" s="2">
        <v>16666663.27</v>
      </c>
    </row>
    <row r="1447" spans="1:6" x14ac:dyDescent="0.25">
      <c r="A1447" s="1">
        <v>44958</v>
      </c>
      <c r="B1447" t="s">
        <v>773</v>
      </c>
      <c r="C1447" t="s">
        <v>774</v>
      </c>
      <c r="D1447" s="2">
        <v>7248026.8499999996</v>
      </c>
      <c r="E1447" s="2">
        <v>7212906.6299999999</v>
      </c>
      <c r="F1447" s="2">
        <v>7200373.8099999996</v>
      </c>
    </row>
    <row r="1448" spans="1:6" x14ac:dyDescent="0.25">
      <c r="A1448" s="1">
        <v>44958</v>
      </c>
      <c r="B1448" t="s">
        <v>648</v>
      </c>
      <c r="C1448" t="s">
        <v>765</v>
      </c>
      <c r="D1448" s="2">
        <v>1873099.14</v>
      </c>
      <c r="E1448" s="2">
        <v>189199.68</v>
      </c>
      <c r="F1448" s="2">
        <v>195077.5</v>
      </c>
    </row>
    <row r="1449" spans="1:6" x14ac:dyDescent="0.25">
      <c r="A1449" s="1">
        <v>44958</v>
      </c>
      <c r="B1449" t="s">
        <v>31</v>
      </c>
      <c r="C1449" t="s">
        <v>364</v>
      </c>
      <c r="D1449">
        <v>0</v>
      </c>
      <c r="E1449">
        <v>0</v>
      </c>
      <c r="F1449">
        <v>0</v>
      </c>
    </row>
    <row r="1450" spans="1:6" x14ac:dyDescent="0.25">
      <c r="A1450" s="1">
        <v>44958</v>
      </c>
      <c r="B1450" t="s">
        <v>37</v>
      </c>
      <c r="C1450" t="s">
        <v>624</v>
      </c>
      <c r="D1450" s="2">
        <v>959048.79</v>
      </c>
      <c r="E1450" s="2">
        <v>220456.83</v>
      </c>
      <c r="F1450" s="2">
        <v>200170.74</v>
      </c>
    </row>
    <row r="1451" spans="1:6" x14ac:dyDescent="0.25">
      <c r="A1451" s="1">
        <v>44958</v>
      </c>
      <c r="B1451" t="s">
        <v>726</v>
      </c>
      <c r="C1451" t="s">
        <v>918</v>
      </c>
      <c r="D1451" s="2">
        <v>96501.89</v>
      </c>
      <c r="E1451" s="2">
        <v>5521.89</v>
      </c>
      <c r="F1451" s="2">
        <v>5521.89</v>
      </c>
    </row>
    <row r="1452" spans="1:6" x14ac:dyDescent="0.25">
      <c r="A1452" s="1">
        <v>44958</v>
      </c>
      <c r="B1452" t="s">
        <v>27</v>
      </c>
      <c r="C1452" t="s">
        <v>748</v>
      </c>
      <c r="D1452">
        <v>0</v>
      </c>
      <c r="E1452">
        <v>0</v>
      </c>
      <c r="F1452">
        <v>0</v>
      </c>
    </row>
    <row r="1453" spans="1:6" x14ac:dyDescent="0.25">
      <c r="A1453" s="1">
        <v>44958</v>
      </c>
      <c r="B1453" t="s">
        <v>107</v>
      </c>
      <c r="C1453" t="s">
        <v>499</v>
      </c>
      <c r="D1453">
        <v>0</v>
      </c>
      <c r="E1453">
        <v>0</v>
      </c>
      <c r="F1453">
        <v>0</v>
      </c>
    </row>
    <row r="1454" spans="1:6" x14ac:dyDescent="0.25">
      <c r="A1454" s="1">
        <v>44958</v>
      </c>
      <c r="B1454" t="s">
        <v>159</v>
      </c>
      <c r="C1454" t="s">
        <v>34</v>
      </c>
      <c r="D1454" s="2">
        <v>890353</v>
      </c>
      <c r="E1454" s="2">
        <v>257146.56</v>
      </c>
      <c r="F1454" s="2">
        <v>257146.56</v>
      </c>
    </row>
    <row r="1455" spans="1:6" x14ac:dyDescent="0.25">
      <c r="A1455" s="1">
        <v>44958</v>
      </c>
      <c r="B1455" t="s">
        <v>25</v>
      </c>
      <c r="C1455" t="s">
        <v>724</v>
      </c>
      <c r="D1455" s="2">
        <v>8626.1200000000008</v>
      </c>
      <c r="E1455" s="2">
        <v>1353.59</v>
      </c>
      <c r="F1455" s="2">
        <v>1846.14</v>
      </c>
    </row>
    <row r="1456" spans="1:6" x14ac:dyDescent="0.25">
      <c r="A1456" s="1">
        <v>44958</v>
      </c>
      <c r="B1456" t="s">
        <v>234</v>
      </c>
      <c r="C1456" t="s">
        <v>411</v>
      </c>
      <c r="D1456">
        <v>0</v>
      </c>
      <c r="E1456">
        <v>0</v>
      </c>
      <c r="F1456">
        <v>0</v>
      </c>
    </row>
    <row r="1457" spans="1:6" x14ac:dyDescent="0.25">
      <c r="A1457" s="1">
        <v>44958</v>
      </c>
      <c r="B1457" t="s">
        <v>90</v>
      </c>
      <c r="C1457" t="s">
        <v>1037</v>
      </c>
      <c r="D1457" s="2">
        <v>10000</v>
      </c>
      <c r="E1457">
        <v>0</v>
      </c>
      <c r="F1457">
        <v>0</v>
      </c>
    </row>
    <row r="1458" spans="1:6" x14ac:dyDescent="0.25">
      <c r="A1458" s="1">
        <v>44958</v>
      </c>
      <c r="B1458" t="s">
        <v>31</v>
      </c>
      <c r="C1458" t="s">
        <v>1038</v>
      </c>
      <c r="D1458" s="2">
        <v>18076.7</v>
      </c>
      <c r="E1458" s="2">
        <v>5164.5</v>
      </c>
      <c r="F1458" s="2">
        <v>5164.5</v>
      </c>
    </row>
    <row r="1459" spans="1:6" x14ac:dyDescent="0.25">
      <c r="A1459" s="1">
        <v>44958</v>
      </c>
      <c r="B1459" t="s">
        <v>251</v>
      </c>
      <c r="C1459" t="s">
        <v>725</v>
      </c>
      <c r="D1459" s="2">
        <v>29110566.52</v>
      </c>
      <c r="E1459" s="2">
        <v>38592725.509999998</v>
      </c>
      <c r="F1459" s="2">
        <v>38592725.509999998</v>
      </c>
    </row>
    <row r="1460" spans="1:6" x14ac:dyDescent="0.25">
      <c r="A1460" s="1">
        <v>44958</v>
      </c>
      <c r="B1460" t="s">
        <v>25</v>
      </c>
      <c r="C1460" t="s">
        <v>1039</v>
      </c>
      <c r="D1460">
        <v>0</v>
      </c>
      <c r="E1460">
        <v>0</v>
      </c>
      <c r="F1460">
        <v>0</v>
      </c>
    </row>
    <row r="1461" spans="1:6" x14ac:dyDescent="0.25">
      <c r="A1461" s="1">
        <v>44958</v>
      </c>
      <c r="B1461" t="s">
        <v>15</v>
      </c>
      <c r="C1461" t="s">
        <v>732</v>
      </c>
      <c r="D1461">
        <v>0</v>
      </c>
      <c r="E1461">
        <v>0</v>
      </c>
      <c r="F1461">
        <v>0</v>
      </c>
    </row>
    <row r="1462" spans="1:6" x14ac:dyDescent="0.25">
      <c r="A1462" s="1">
        <v>44958</v>
      </c>
      <c r="B1462" t="s">
        <v>53</v>
      </c>
      <c r="C1462" t="s">
        <v>669</v>
      </c>
      <c r="D1462">
        <v>0</v>
      </c>
      <c r="E1462" s="2">
        <v>323122890.93000001</v>
      </c>
      <c r="F1462" s="2">
        <v>323166860.66000003</v>
      </c>
    </row>
    <row r="1463" spans="1:6" x14ac:dyDescent="0.25">
      <c r="A1463" s="1">
        <v>44958</v>
      </c>
      <c r="B1463" t="s">
        <v>98</v>
      </c>
      <c r="C1463" t="s">
        <v>322</v>
      </c>
      <c r="D1463">
        <v>0</v>
      </c>
      <c r="E1463">
        <v>0</v>
      </c>
      <c r="F1463">
        <v>0</v>
      </c>
    </row>
    <row r="1464" spans="1:6" x14ac:dyDescent="0.25">
      <c r="A1464" s="1">
        <v>44958</v>
      </c>
      <c r="B1464" t="s">
        <v>101</v>
      </c>
      <c r="C1464" t="s">
        <v>102</v>
      </c>
      <c r="D1464">
        <v>0</v>
      </c>
      <c r="E1464">
        <v>0</v>
      </c>
      <c r="F1464">
        <v>0</v>
      </c>
    </row>
    <row r="1465" spans="1:6" x14ac:dyDescent="0.25">
      <c r="A1465" s="1">
        <v>44958</v>
      </c>
      <c r="B1465" t="s">
        <v>53</v>
      </c>
      <c r="C1465" t="s">
        <v>54</v>
      </c>
      <c r="D1465">
        <v>0</v>
      </c>
      <c r="E1465" s="2">
        <v>337929909.55000001</v>
      </c>
      <c r="F1465" s="2">
        <v>337929909.55000001</v>
      </c>
    </row>
    <row r="1466" spans="1:6" x14ac:dyDescent="0.25">
      <c r="A1466" s="1">
        <v>44958</v>
      </c>
      <c r="B1466" t="s">
        <v>37</v>
      </c>
      <c r="C1466" t="s">
        <v>561</v>
      </c>
      <c r="D1466">
        <v>0</v>
      </c>
      <c r="E1466">
        <v>0</v>
      </c>
      <c r="F1466">
        <v>0</v>
      </c>
    </row>
    <row r="1467" spans="1:6" x14ac:dyDescent="0.25">
      <c r="A1467" s="1">
        <v>44958</v>
      </c>
      <c r="B1467" t="s">
        <v>75</v>
      </c>
      <c r="C1467" t="s">
        <v>85</v>
      </c>
      <c r="D1467">
        <v>0</v>
      </c>
      <c r="E1467">
        <v>0</v>
      </c>
      <c r="F1467">
        <v>0</v>
      </c>
    </row>
    <row r="1468" spans="1:6" x14ac:dyDescent="0.25">
      <c r="A1468" s="1">
        <v>44958</v>
      </c>
      <c r="B1468" t="s">
        <v>296</v>
      </c>
      <c r="C1468" t="s">
        <v>230</v>
      </c>
      <c r="D1468" s="2">
        <v>5123377</v>
      </c>
      <c r="E1468">
        <v>0</v>
      </c>
      <c r="F1468">
        <v>0</v>
      </c>
    </row>
    <row r="1469" spans="1:6" x14ac:dyDescent="0.25">
      <c r="A1469" s="1">
        <v>44958</v>
      </c>
      <c r="B1469" t="s">
        <v>726</v>
      </c>
      <c r="C1469" t="s">
        <v>727</v>
      </c>
      <c r="D1469" s="2">
        <v>4763478.9000000004</v>
      </c>
      <c r="E1469" s="2">
        <v>431553.35</v>
      </c>
      <c r="F1469" s="2">
        <v>335580.15999999997</v>
      </c>
    </row>
    <row r="1470" spans="1:6" x14ac:dyDescent="0.25">
      <c r="A1470" s="1">
        <v>44958</v>
      </c>
      <c r="B1470" t="s">
        <v>15</v>
      </c>
      <c r="C1470" t="s">
        <v>205</v>
      </c>
      <c r="D1470" s="2">
        <v>14337313.01</v>
      </c>
      <c r="E1470" s="2">
        <v>1954067.8</v>
      </c>
      <c r="F1470" s="2">
        <v>1027360.71</v>
      </c>
    </row>
    <row r="1471" spans="1:6" x14ac:dyDescent="0.25">
      <c r="A1471" s="1">
        <v>44958</v>
      </c>
      <c r="B1471" t="s">
        <v>68</v>
      </c>
      <c r="C1471" t="s">
        <v>503</v>
      </c>
      <c r="D1471">
        <v>0</v>
      </c>
      <c r="E1471">
        <v>0</v>
      </c>
      <c r="F1471">
        <v>0</v>
      </c>
    </row>
    <row r="1472" spans="1:6" x14ac:dyDescent="0.25">
      <c r="A1472" s="1">
        <v>44958</v>
      </c>
      <c r="B1472" t="s">
        <v>13</v>
      </c>
      <c r="C1472" t="s">
        <v>635</v>
      </c>
      <c r="D1472" s="2">
        <v>376780.55</v>
      </c>
      <c r="E1472" s="2">
        <v>24796.48</v>
      </c>
      <c r="F1472" s="2">
        <v>24796.48</v>
      </c>
    </row>
    <row r="1473" spans="1:6" x14ac:dyDescent="0.25">
      <c r="A1473" s="1">
        <v>44958</v>
      </c>
      <c r="B1473" t="s">
        <v>103</v>
      </c>
      <c r="C1473" t="s">
        <v>220</v>
      </c>
      <c r="D1473" s="2">
        <v>71000</v>
      </c>
      <c r="E1473">
        <v>0</v>
      </c>
      <c r="F1473">
        <v>0</v>
      </c>
    </row>
    <row r="1474" spans="1:6" x14ac:dyDescent="0.25">
      <c r="A1474" s="1">
        <v>44958</v>
      </c>
      <c r="B1474" t="s">
        <v>490</v>
      </c>
      <c r="C1474" t="s">
        <v>491</v>
      </c>
      <c r="D1474">
        <v>0</v>
      </c>
      <c r="E1474">
        <v>0</v>
      </c>
      <c r="F1474">
        <v>0</v>
      </c>
    </row>
    <row r="1475" spans="1:6" x14ac:dyDescent="0.25">
      <c r="A1475" s="1">
        <v>44958</v>
      </c>
      <c r="B1475" t="s">
        <v>46</v>
      </c>
      <c r="C1475" t="s">
        <v>852</v>
      </c>
      <c r="D1475" s="2">
        <v>147500</v>
      </c>
      <c r="E1475" s="2">
        <v>46419.86</v>
      </c>
      <c r="F1475" s="2">
        <v>41127.83</v>
      </c>
    </row>
    <row r="1476" spans="1:6" x14ac:dyDescent="0.25">
      <c r="A1476" s="1">
        <v>44958</v>
      </c>
      <c r="B1476" t="s">
        <v>21</v>
      </c>
      <c r="C1476" t="s">
        <v>591</v>
      </c>
      <c r="D1476" s="2">
        <v>58586593.079999998</v>
      </c>
      <c r="E1476">
        <v>0</v>
      </c>
      <c r="F1476">
        <v>0</v>
      </c>
    </row>
    <row r="1477" spans="1:6" x14ac:dyDescent="0.25">
      <c r="A1477" s="1">
        <v>44958</v>
      </c>
      <c r="B1477" t="s">
        <v>29</v>
      </c>
      <c r="C1477" t="s">
        <v>653</v>
      </c>
      <c r="D1477">
        <v>0</v>
      </c>
      <c r="E1477">
        <v>0</v>
      </c>
      <c r="F1477">
        <v>0</v>
      </c>
    </row>
    <row r="1478" spans="1:6" x14ac:dyDescent="0.25">
      <c r="A1478" s="1">
        <v>44958</v>
      </c>
      <c r="B1478" t="s">
        <v>118</v>
      </c>
      <c r="C1478" t="s">
        <v>1040</v>
      </c>
      <c r="D1478">
        <v>0</v>
      </c>
      <c r="E1478">
        <v>0</v>
      </c>
      <c r="F1478">
        <v>0</v>
      </c>
    </row>
    <row r="1479" spans="1:6" x14ac:dyDescent="0.25">
      <c r="A1479" s="1">
        <v>44958</v>
      </c>
      <c r="B1479" t="s">
        <v>23</v>
      </c>
      <c r="C1479" t="s">
        <v>854</v>
      </c>
      <c r="D1479" s="2">
        <v>23632095.879999999</v>
      </c>
      <c r="E1479" s="2">
        <v>1231155.1499999999</v>
      </c>
      <c r="F1479" s="2">
        <v>423277.21</v>
      </c>
    </row>
    <row r="1480" spans="1:6" x14ac:dyDescent="0.25">
      <c r="A1480" s="1">
        <v>44958</v>
      </c>
      <c r="B1480" t="s">
        <v>251</v>
      </c>
      <c r="C1480" t="s">
        <v>808</v>
      </c>
      <c r="D1480" s="2">
        <v>5536023.1699999999</v>
      </c>
      <c r="E1480" s="2">
        <v>73723145.890000001</v>
      </c>
      <c r="F1480" s="2">
        <v>76075953.260000005</v>
      </c>
    </row>
    <row r="1481" spans="1:6" x14ac:dyDescent="0.25">
      <c r="A1481" s="1">
        <v>44958</v>
      </c>
      <c r="B1481" t="s">
        <v>40</v>
      </c>
      <c r="C1481" t="s">
        <v>591</v>
      </c>
      <c r="D1481" s="2">
        <v>27424450.73</v>
      </c>
      <c r="E1481" s="2">
        <v>514176.22</v>
      </c>
      <c r="F1481" s="2">
        <v>554078.42000000004</v>
      </c>
    </row>
    <row r="1482" spans="1:6" x14ac:dyDescent="0.25">
      <c r="A1482" s="1">
        <v>44958</v>
      </c>
      <c r="B1482" t="s">
        <v>40</v>
      </c>
      <c r="C1482" t="s">
        <v>487</v>
      </c>
      <c r="D1482" s="2">
        <v>557165461.73000002</v>
      </c>
      <c r="E1482" s="2">
        <v>2490800529.1599998</v>
      </c>
      <c r="F1482" s="2">
        <v>2476997943.3400002</v>
      </c>
    </row>
    <row r="1483" spans="1:6" x14ac:dyDescent="0.25">
      <c r="A1483" s="1">
        <v>44958</v>
      </c>
      <c r="B1483" t="s">
        <v>40</v>
      </c>
      <c r="C1483" t="s">
        <v>772</v>
      </c>
      <c r="D1483" s="2">
        <v>2485434</v>
      </c>
      <c r="E1483" s="2">
        <v>1555230.8</v>
      </c>
      <c r="F1483" s="2">
        <v>669266.84</v>
      </c>
    </row>
    <row r="1484" spans="1:6" x14ac:dyDescent="0.25">
      <c r="A1484" s="1">
        <v>44958</v>
      </c>
      <c r="B1484" t="s">
        <v>17</v>
      </c>
      <c r="C1484" t="s">
        <v>303</v>
      </c>
      <c r="D1484" s="2">
        <v>11718421.67</v>
      </c>
      <c r="E1484" s="2">
        <v>11718421.67</v>
      </c>
      <c r="F1484" s="2">
        <v>1979474</v>
      </c>
    </row>
    <row r="1485" spans="1:6" x14ac:dyDescent="0.25">
      <c r="A1485" s="1">
        <v>44958</v>
      </c>
      <c r="B1485" t="s">
        <v>933</v>
      </c>
      <c r="C1485" t="s">
        <v>1041</v>
      </c>
      <c r="D1485">
        <v>0</v>
      </c>
      <c r="E1485">
        <v>0</v>
      </c>
      <c r="F1485">
        <v>0</v>
      </c>
    </row>
    <row r="1486" spans="1:6" x14ac:dyDescent="0.25">
      <c r="A1486" s="1">
        <v>44958</v>
      </c>
      <c r="B1486" t="s">
        <v>40</v>
      </c>
      <c r="C1486" t="s">
        <v>805</v>
      </c>
      <c r="D1486" s="2">
        <v>35393327.210000001</v>
      </c>
      <c r="E1486">
        <v>0</v>
      </c>
      <c r="F1486">
        <v>0</v>
      </c>
    </row>
    <row r="1487" spans="1:6" x14ac:dyDescent="0.25">
      <c r="A1487" s="1">
        <v>44958</v>
      </c>
      <c r="B1487" t="s">
        <v>37</v>
      </c>
      <c r="C1487" t="s">
        <v>492</v>
      </c>
      <c r="D1487">
        <v>0</v>
      </c>
      <c r="E1487">
        <v>0</v>
      </c>
      <c r="F1487">
        <v>0</v>
      </c>
    </row>
    <row r="1488" spans="1:6" x14ac:dyDescent="0.25">
      <c r="A1488" s="1">
        <v>44958</v>
      </c>
      <c r="B1488" t="s">
        <v>19</v>
      </c>
      <c r="C1488" t="s">
        <v>328</v>
      </c>
      <c r="D1488" s="2">
        <v>3934778.18</v>
      </c>
      <c r="E1488" s="2">
        <v>3214404.22</v>
      </c>
      <c r="F1488" s="2">
        <v>3673912.06</v>
      </c>
    </row>
    <row r="1489" spans="1:6" x14ac:dyDescent="0.25">
      <c r="A1489" s="1">
        <v>44958</v>
      </c>
      <c r="B1489" t="s">
        <v>216</v>
      </c>
      <c r="C1489" t="s">
        <v>781</v>
      </c>
      <c r="D1489" s="2">
        <v>33000</v>
      </c>
      <c r="E1489">
        <v>0</v>
      </c>
      <c r="F1489">
        <v>0</v>
      </c>
    </row>
    <row r="1490" spans="1:6" x14ac:dyDescent="0.25">
      <c r="A1490" s="1">
        <v>44958</v>
      </c>
      <c r="B1490" t="s">
        <v>143</v>
      </c>
      <c r="C1490" t="s">
        <v>792</v>
      </c>
      <c r="D1490">
        <v>0</v>
      </c>
      <c r="E1490" s="2">
        <v>90000000</v>
      </c>
      <c r="F1490" s="2">
        <v>90000000</v>
      </c>
    </row>
    <row r="1491" spans="1:6" x14ac:dyDescent="0.25">
      <c r="A1491" s="1">
        <v>44958</v>
      </c>
      <c r="B1491" t="s">
        <v>40</v>
      </c>
      <c r="C1491" t="s">
        <v>762</v>
      </c>
      <c r="D1491" s="2">
        <v>9555.7800000000007</v>
      </c>
      <c r="E1491">
        <v>0</v>
      </c>
      <c r="F1491">
        <v>0</v>
      </c>
    </row>
    <row r="1492" spans="1:6" x14ac:dyDescent="0.25">
      <c r="A1492" s="1">
        <v>44958</v>
      </c>
      <c r="B1492" t="s">
        <v>37</v>
      </c>
      <c r="C1492" t="s">
        <v>420</v>
      </c>
      <c r="D1492">
        <v>0</v>
      </c>
      <c r="E1492" s="2">
        <v>335750996.31</v>
      </c>
      <c r="F1492" s="2">
        <v>335750996.31</v>
      </c>
    </row>
    <row r="1493" spans="1:6" x14ac:dyDescent="0.25">
      <c r="A1493" s="1">
        <v>44958</v>
      </c>
      <c r="B1493" t="s">
        <v>31</v>
      </c>
      <c r="C1493" t="s">
        <v>1042</v>
      </c>
      <c r="D1493">
        <v>0</v>
      </c>
      <c r="E1493">
        <v>0</v>
      </c>
      <c r="F1493">
        <v>0</v>
      </c>
    </row>
    <row r="1494" spans="1:6" x14ac:dyDescent="0.25">
      <c r="A1494" s="1">
        <v>44958</v>
      </c>
      <c r="B1494" t="s">
        <v>15</v>
      </c>
      <c r="C1494" t="s">
        <v>1043</v>
      </c>
      <c r="D1494">
        <v>0</v>
      </c>
      <c r="E1494">
        <v>0</v>
      </c>
      <c r="F1494">
        <v>0</v>
      </c>
    </row>
    <row r="1495" spans="1:6" x14ac:dyDescent="0.25">
      <c r="A1495" s="1">
        <v>44958</v>
      </c>
      <c r="B1495" t="s">
        <v>1044</v>
      </c>
      <c r="C1495" t="s">
        <v>909</v>
      </c>
      <c r="D1495">
        <v>0</v>
      </c>
      <c r="E1495">
        <v>0</v>
      </c>
      <c r="F1495">
        <v>0</v>
      </c>
    </row>
    <row r="1496" spans="1:6" x14ac:dyDescent="0.25">
      <c r="A1496" s="1">
        <v>44958</v>
      </c>
      <c r="B1496" t="s">
        <v>726</v>
      </c>
      <c r="C1496" t="s">
        <v>876</v>
      </c>
      <c r="D1496" s="2">
        <v>212604.12</v>
      </c>
      <c r="E1496" s="2">
        <v>88814.02</v>
      </c>
      <c r="F1496" s="2">
        <v>57209.31</v>
      </c>
    </row>
    <row r="1497" spans="1:6" x14ac:dyDescent="0.25">
      <c r="A1497" s="1">
        <v>44958</v>
      </c>
      <c r="B1497" t="s">
        <v>337</v>
      </c>
      <c r="C1497" t="s">
        <v>338</v>
      </c>
      <c r="D1497" s="2">
        <v>3530065.45</v>
      </c>
      <c r="E1497" s="2">
        <v>1107669.75</v>
      </c>
      <c r="F1497" s="2">
        <v>793872.92</v>
      </c>
    </row>
    <row r="1498" spans="1:6" x14ac:dyDescent="0.25">
      <c r="A1498" s="1">
        <v>44958</v>
      </c>
      <c r="B1498" t="s">
        <v>225</v>
      </c>
      <c r="C1498" t="s">
        <v>226</v>
      </c>
      <c r="D1498">
        <v>0</v>
      </c>
      <c r="E1498">
        <v>0</v>
      </c>
      <c r="F1498">
        <v>0</v>
      </c>
    </row>
    <row r="1499" spans="1:6" x14ac:dyDescent="0.25">
      <c r="A1499" s="1">
        <v>44958</v>
      </c>
      <c r="B1499" t="s">
        <v>40</v>
      </c>
      <c r="C1499" t="s">
        <v>325</v>
      </c>
      <c r="D1499" s="2">
        <v>16602898.66</v>
      </c>
      <c r="E1499" s="2">
        <v>3823245.27</v>
      </c>
      <c r="F1499" s="2">
        <v>3884480.98</v>
      </c>
    </row>
    <row r="1500" spans="1:6" x14ac:dyDescent="0.25">
      <c r="A1500" s="1">
        <v>44958</v>
      </c>
      <c r="B1500" t="s">
        <v>355</v>
      </c>
      <c r="C1500" t="s">
        <v>417</v>
      </c>
      <c r="D1500">
        <v>0</v>
      </c>
      <c r="E1500">
        <v>0</v>
      </c>
      <c r="F1500">
        <v>0</v>
      </c>
    </row>
    <row r="1501" spans="1:6" x14ac:dyDescent="0.25">
      <c r="A1501" s="1">
        <v>44958</v>
      </c>
      <c r="B1501" t="s">
        <v>296</v>
      </c>
      <c r="C1501" t="s">
        <v>470</v>
      </c>
      <c r="D1501" s="2">
        <v>112920516.62</v>
      </c>
      <c r="E1501">
        <v>0</v>
      </c>
      <c r="F1501">
        <v>0</v>
      </c>
    </row>
    <row r="1502" spans="1:6" x14ac:dyDescent="0.25">
      <c r="A1502" s="1">
        <v>44958</v>
      </c>
      <c r="B1502" t="s">
        <v>422</v>
      </c>
      <c r="C1502" t="s">
        <v>1045</v>
      </c>
      <c r="D1502">
        <v>0</v>
      </c>
      <c r="E1502">
        <v>0</v>
      </c>
      <c r="F1502">
        <v>0</v>
      </c>
    </row>
    <row r="1503" spans="1:6" x14ac:dyDescent="0.25">
      <c r="A1503" s="1">
        <v>44958</v>
      </c>
      <c r="B1503" t="s">
        <v>398</v>
      </c>
      <c r="C1503" t="s">
        <v>1046</v>
      </c>
      <c r="D1503" s="2">
        <v>30000</v>
      </c>
      <c r="E1503">
        <v>0</v>
      </c>
      <c r="F1503">
        <v>0</v>
      </c>
    </row>
    <row r="1504" spans="1:6" x14ac:dyDescent="0.25">
      <c r="A1504" s="1">
        <v>44958</v>
      </c>
      <c r="B1504" t="s">
        <v>648</v>
      </c>
      <c r="C1504" t="s">
        <v>1047</v>
      </c>
      <c r="D1504" s="2">
        <v>66000</v>
      </c>
      <c r="E1504">
        <v>0</v>
      </c>
      <c r="F1504">
        <v>0</v>
      </c>
    </row>
    <row r="1505" spans="1:6" x14ac:dyDescent="0.25">
      <c r="A1505" s="1">
        <v>44958</v>
      </c>
      <c r="B1505" t="s">
        <v>422</v>
      </c>
      <c r="C1505" t="s">
        <v>671</v>
      </c>
      <c r="D1505" s="2">
        <v>7453059.3600000003</v>
      </c>
      <c r="E1505" s="2">
        <v>1141391</v>
      </c>
      <c r="F1505" s="2">
        <v>1141391</v>
      </c>
    </row>
    <row r="1506" spans="1:6" x14ac:dyDescent="0.25">
      <c r="A1506" s="1">
        <v>44958</v>
      </c>
      <c r="B1506" t="s">
        <v>648</v>
      </c>
      <c r="C1506" t="s">
        <v>844</v>
      </c>
      <c r="D1506" s="2">
        <v>96758.67</v>
      </c>
      <c r="E1506" s="2">
        <v>74409.7</v>
      </c>
      <c r="F1506" s="2">
        <v>69130.820000000007</v>
      </c>
    </row>
    <row r="1507" spans="1:6" x14ac:dyDescent="0.25">
      <c r="A1507" s="1">
        <v>44958</v>
      </c>
      <c r="B1507" t="s">
        <v>42</v>
      </c>
      <c r="C1507" t="s">
        <v>719</v>
      </c>
      <c r="D1507" s="2">
        <v>453395.84</v>
      </c>
      <c r="E1507" s="2">
        <v>10035432.289999999</v>
      </c>
      <c r="F1507" s="2">
        <v>8975372.4399999995</v>
      </c>
    </row>
    <row r="1508" spans="1:6" x14ac:dyDescent="0.25">
      <c r="A1508" s="1">
        <v>44958</v>
      </c>
      <c r="B1508" t="s">
        <v>68</v>
      </c>
      <c r="C1508" t="s">
        <v>810</v>
      </c>
      <c r="D1508" s="2">
        <v>1331344.73</v>
      </c>
      <c r="E1508" s="2">
        <v>826224.06</v>
      </c>
      <c r="F1508" s="2">
        <v>794854.1</v>
      </c>
    </row>
    <row r="1509" spans="1:6" x14ac:dyDescent="0.25">
      <c r="A1509" s="1">
        <v>44958</v>
      </c>
      <c r="B1509" t="s">
        <v>40</v>
      </c>
      <c r="C1509" t="s">
        <v>706</v>
      </c>
      <c r="D1509" s="2">
        <v>1384482.49</v>
      </c>
      <c r="E1509">
        <v>0</v>
      </c>
      <c r="F1509">
        <v>0</v>
      </c>
    </row>
    <row r="1510" spans="1:6" x14ac:dyDescent="0.25">
      <c r="A1510" s="1">
        <v>44958</v>
      </c>
      <c r="B1510" t="s">
        <v>29</v>
      </c>
      <c r="C1510" t="s">
        <v>631</v>
      </c>
      <c r="D1510" s="2">
        <v>51833.81</v>
      </c>
      <c r="E1510" s="2">
        <v>51833.81</v>
      </c>
      <c r="F1510" s="2">
        <v>51833.81</v>
      </c>
    </row>
    <row r="1511" spans="1:6" x14ac:dyDescent="0.25">
      <c r="A1511" s="1">
        <v>44958</v>
      </c>
      <c r="B1511" t="s">
        <v>35</v>
      </c>
      <c r="C1511" t="s">
        <v>632</v>
      </c>
      <c r="D1511" s="2">
        <v>590606.97</v>
      </c>
      <c r="E1511" s="2">
        <v>134732.20000000001</v>
      </c>
      <c r="F1511" s="2">
        <v>134732.20000000001</v>
      </c>
    </row>
    <row r="1512" spans="1:6" x14ac:dyDescent="0.25">
      <c r="A1512" s="1">
        <v>44958</v>
      </c>
      <c r="B1512" t="s">
        <v>118</v>
      </c>
      <c r="C1512" t="s">
        <v>754</v>
      </c>
      <c r="D1512">
        <v>0</v>
      </c>
      <c r="E1512">
        <v>0</v>
      </c>
      <c r="F1512">
        <v>0</v>
      </c>
    </row>
    <row r="1513" spans="1:6" x14ac:dyDescent="0.25">
      <c r="A1513" s="1">
        <v>44958</v>
      </c>
      <c r="B1513" t="s">
        <v>70</v>
      </c>
      <c r="C1513" t="s">
        <v>71</v>
      </c>
      <c r="D1513" s="2">
        <v>5484597.7300000004</v>
      </c>
      <c r="E1513" s="2">
        <v>4797222.53</v>
      </c>
      <c r="F1513" s="2">
        <v>4361484.3099999996</v>
      </c>
    </row>
    <row r="1514" spans="1:6" x14ac:dyDescent="0.25">
      <c r="A1514" s="1">
        <v>44958</v>
      </c>
      <c r="B1514" t="s">
        <v>114</v>
      </c>
      <c r="C1514" t="s">
        <v>628</v>
      </c>
      <c r="D1514" s="2">
        <v>3782535.66</v>
      </c>
      <c r="E1514" s="2">
        <v>15615.27</v>
      </c>
      <c r="F1514" s="2">
        <v>4199.76</v>
      </c>
    </row>
    <row r="1515" spans="1:6" x14ac:dyDescent="0.25">
      <c r="A1515" s="1">
        <v>44958</v>
      </c>
      <c r="B1515" t="s">
        <v>272</v>
      </c>
      <c r="C1515" t="s">
        <v>273</v>
      </c>
      <c r="D1515" s="2">
        <v>96000</v>
      </c>
      <c r="E1515" s="2">
        <v>6582.99</v>
      </c>
      <c r="F1515">
        <v>436.25</v>
      </c>
    </row>
    <row r="1516" spans="1:6" x14ac:dyDescent="0.25">
      <c r="A1516" s="1">
        <v>44958</v>
      </c>
      <c r="B1516" t="s">
        <v>31</v>
      </c>
      <c r="C1516" t="s">
        <v>925</v>
      </c>
      <c r="D1516" s="2">
        <v>-39116.79</v>
      </c>
      <c r="E1516" s="2">
        <v>594705.71</v>
      </c>
      <c r="F1516" s="2">
        <v>594705.71</v>
      </c>
    </row>
    <row r="1517" spans="1:6" x14ac:dyDescent="0.25">
      <c r="A1517" s="1">
        <v>44958</v>
      </c>
      <c r="B1517" t="s">
        <v>50</v>
      </c>
      <c r="C1517" t="s">
        <v>1048</v>
      </c>
      <c r="D1517" s="2">
        <v>32863.199999999997</v>
      </c>
      <c r="E1517" s="2">
        <v>2863.2</v>
      </c>
      <c r="F1517" s="2">
        <v>2863.2</v>
      </c>
    </row>
    <row r="1518" spans="1:6" x14ac:dyDescent="0.25">
      <c r="A1518" s="1">
        <v>44958</v>
      </c>
      <c r="B1518" t="s">
        <v>185</v>
      </c>
      <c r="C1518" t="s">
        <v>478</v>
      </c>
      <c r="D1518" s="2">
        <v>864938227.38999999</v>
      </c>
      <c r="E1518" s="2">
        <v>233124463.05000001</v>
      </c>
      <c r="F1518" s="2">
        <v>227587447.78999999</v>
      </c>
    </row>
    <row r="1519" spans="1:6" x14ac:dyDescent="0.25">
      <c r="A1519" s="1">
        <v>44958</v>
      </c>
      <c r="B1519" t="s">
        <v>50</v>
      </c>
      <c r="C1519" t="s">
        <v>222</v>
      </c>
      <c r="D1519">
        <v>0</v>
      </c>
      <c r="E1519">
        <v>0</v>
      </c>
      <c r="F1519">
        <v>0</v>
      </c>
    </row>
    <row r="1520" spans="1:6" x14ac:dyDescent="0.25">
      <c r="A1520" s="1">
        <v>44958</v>
      </c>
      <c r="B1520" t="s">
        <v>50</v>
      </c>
      <c r="C1520" t="s">
        <v>323</v>
      </c>
      <c r="D1520" s="2">
        <v>7353.6</v>
      </c>
      <c r="E1520" s="2">
        <v>5132.6000000000004</v>
      </c>
      <c r="F1520" s="2">
        <v>5132.6000000000004</v>
      </c>
    </row>
    <row r="1521" spans="1:6" x14ac:dyDescent="0.25">
      <c r="A1521" s="1">
        <v>44958</v>
      </c>
      <c r="B1521" t="s">
        <v>9</v>
      </c>
      <c r="C1521" t="s">
        <v>636</v>
      </c>
      <c r="D1521">
        <v>0</v>
      </c>
      <c r="E1521">
        <v>0</v>
      </c>
      <c r="F1521">
        <v>0</v>
      </c>
    </row>
    <row r="1522" spans="1:6" x14ac:dyDescent="0.25">
      <c r="A1522" s="1">
        <v>44958</v>
      </c>
      <c r="B1522" t="s">
        <v>46</v>
      </c>
      <c r="C1522" t="s">
        <v>409</v>
      </c>
      <c r="D1522" s="2">
        <v>8000000</v>
      </c>
      <c r="E1522" s="2">
        <v>347165.32</v>
      </c>
      <c r="F1522" s="2">
        <v>380065.17</v>
      </c>
    </row>
    <row r="1523" spans="1:6" x14ac:dyDescent="0.25">
      <c r="A1523" s="1">
        <v>44958</v>
      </c>
      <c r="B1523" t="s">
        <v>23</v>
      </c>
      <c r="C1523" t="s">
        <v>410</v>
      </c>
      <c r="D1523">
        <v>0</v>
      </c>
      <c r="E1523">
        <v>0</v>
      </c>
      <c r="F1523">
        <v>0</v>
      </c>
    </row>
    <row r="1524" spans="1:6" x14ac:dyDescent="0.25">
      <c r="A1524" s="1">
        <v>44958</v>
      </c>
      <c r="B1524" t="s">
        <v>23</v>
      </c>
      <c r="C1524" t="s">
        <v>677</v>
      </c>
      <c r="D1524">
        <v>431.2</v>
      </c>
      <c r="E1524">
        <v>406.2</v>
      </c>
      <c r="F1524">
        <v>406.2</v>
      </c>
    </row>
    <row r="1525" spans="1:6" x14ac:dyDescent="0.25">
      <c r="A1525" s="1">
        <v>44958</v>
      </c>
      <c r="B1525" t="s">
        <v>29</v>
      </c>
      <c r="C1525" t="s">
        <v>260</v>
      </c>
      <c r="D1525" s="2">
        <v>48339633.670000002</v>
      </c>
      <c r="E1525" s="2">
        <v>31458385.850000001</v>
      </c>
      <c r="F1525" s="2">
        <v>31465365.850000001</v>
      </c>
    </row>
    <row r="1526" spans="1:6" x14ac:dyDescent="0.25">
      <c r="A1526" s="1">
        <v>44958</v>
      </c>
      <c r="B1526" t="s">
        <v>441</v>
      </c>
      <c r="C1526" t="s">
        <v>442</v>
      </c>
      <c r="D1526">
        <v>0</v>
      </c>
      <c r="E1526">
        <v>0</v>
      </c>
      <c r="F1526">
        <v>0</v>
      </c>
    </row>
    <row r="1527" spans="1:6" x14ac:dyDescent="0.25">
      <c r="A1527" s="1">
        <v>44958</v>
      </c>
      <c r="B1527" t="s">
        <v>68</v>
      </c>
      <c r="C1527" t="s">
        <v>339</v>
      </c>
      <c r="D1527" s="2">
        <v>1080839.75</v>
      </c>
      <c r="E1527" s="2">
        <v>755088.75</v>
      </c>
      <c r="F1527" s="2">
        <v>743916.97</v>
      </c>
    </row>
    <row r="1528" spans="1:6" x14ac:dyDescent="0.25">
      <c r="A1528" s="1">
        <v>44958</v>
      </c>
      <c r="B1528" t="s">
        <v>23</v>
      </c>
      <c r="C1528" t="s">
        <v>611</v>
      </c>
      <c r="D1528" s="2">
        <v>58223746.079999998</v>
      </c>
      <c r="E1528" s="2">
        <v>10103267.09</v>
      </c>
      <c r="F1528" s="2">
        <v>29075000</v>
      </c>
    </row>
    <row r="1529" spans="1:6" x14ac:dyDescent="0.25">
      <c r="A1529" s="1">
        <v>44958</v>
      </c>
      <c r="B1529" t="s">
        <v>65</v>
      </c>
      <c r="C1529" t="s">
        <v>201</v>
      </c>
      <c r="D1529" s="2">
        <v>2595900.6</v>
      </c>
      <c r="E1529" s="2">
        <v>235786.64</v>
      </c>
      <c r="F1529" s="2">
        <v>235786.64</v>
      </c>
    </row>
    <row r="1530" spans="1:6" x14ac:dyDescent="0.25">
      <c r="A1530" s="1">
        <v>44958</v>
      </c>
      <c r="B1530" t="s">
        <v>11</v>
      </c>
      <c r="C1530" t="s">
        <v>794</v>
      </c>
      <c r="D1530" s="2">
        <v>42769451.549999997</v>
      </c>
      <c r="E1530" s="2">
        <v>42731967.399999999</v>
      </c>
      <c r="F1530" s="2">
        <v>41734548.630000003</v>
      </c>
    </row>
    <row r="1531" spans="1:6" x14ac:dyDescent="0.25">
      <c r="A1531" s="1">
        <v>44958</v>
      </c>
      <c r="B1531" t="s">
        <v>25</v>
      </c>
      <c r="C1531" t="s">
        <v>319</v>
      </c>
      <c r="D1531" s="2">
        <v>202904</v>
      </c>
      <c r="E1531" s="2">
        <v>2680.19</v>
      </c>
      <c r="F1531" s="2">
        <v>2680.19</v>
      </c>
    </row>
    <row r="1532" spans="1:6" x14ac:dyDescent="0.25">
      <c r="A1532" s="1">
        <v>44958</v>
      </c>
      <c r="B1532" t="s">
        <v>92</v>
      </c>
      <c r="C1532" t="s">
        <v>93</v>
      </c>
      <c r="D1532">
        <v>0</v>
      </c>
      <c r="E1532">
        <v>0</v>
      </c>
      <c r="F1532" s="2">
        <v>23535.599999999999</v>
      </c>
    </row>
    <row r="1533" spans="1:6" x14ac:dyDescent="0.25">
      <c r="A1533" s="1">
        <v>44958</v>
      </c>
      <c r="B1533" t="s">
        <v>17</v>
      </c>
      <c r="C1533" t="s">
        <v>782</v>
      </c>
      <c r="D1533">
        <v>0</v>
      </c>
      <c r="E1533">
        <v>0</v>
      </c>
      <c r="F1533">
        <v>0</v>
      </c>
    </row>
    <row r="1534" spans="1:6" x14ac:dyDescent="0.25">
      <c r="A1534" s="1">
        <v>44958</v>
      </c>
      <c r="B1534" t="s">
        <v>42</v>
      </c>
      <c r="C1534" t="s">
        <v>736</v>
      </c>
      <c r="D1534" s="2">
        <v>32797.26</v>
      </c>
      <c r="E1534" s="2">
        <v>28504958.109999999</v>
      </c>
      <c r="F1534" s="2">
        <v>28458529.800000001</v>
      </c>
    </row>
    <row r="1535" spans="1:6" x14ac:dyDescent="0.25">
      <c r="A1535" s="1">
        <v>44958</v>
      </c>
      <c r="B1535" t="s">
        <v>50</v>
      </c>
      <c r="C1535" t="s">
        <v>625</v>
      </c>
      <c r="D1535" s="2">
        <v>5416.2</v>
      </c>
      <c r="E1535">
        <v>0</v>
      </c>
      <c r="F1535">
        <v>0</v>
      </c>
    </row>
    <row r="1536" spans="1:6" x14ac:dyDescent="0.25">
      <c r="A1536" s="1">
        <v>44958</v>
      </c>
      <c r="B1536" t="s">
        <v>162</v>
      </c>
      <c r="C1536" t="s">
        <v>605</v>
      </c>
      <c r="D1536" s="2">
        <v>275832.69</v>
      </c>
      <c r="E1536" s="2">
        <v>26893.08</v>
      </c>
      <c r="F1536" s="2">
        <v>26893.08</v>
      </c>
    </row>
    <row r="1537" spans="1:6" x14ac:dyDescent="0.25">
      <c r="A1537" s="1">
        <v>44958</v>
      </c>
      <c r="B1537" t="s">
        <v>272</v>
      </c>
      <c r="C1537" t="s">
        <v>593</v>
      </c>
      <c r="D1537" s="2">
        <v>1629126.21</v>
      </c>
      <c r="E1537" s="2">
        <v>499083.74</v>
      </c>
      <c r="F1537" s="2">
        <v>480172.84</v>
      </c>
    </row>
    <row r="1538" spans="1:6" x14ac:dyDescent="0.25">
      <c r="A1538" s="1">
        <v>44958</v>
      </c>
      <c r="B1538" t="s">
        <v>21</v>
      </c>
      <c r="C1538" t="s">
        <v>527</v>
      </c>
      <c r="D1538" s="2">
        <v>38067695.68</v>
      </c>
      <c r="E1538" s="2">
        <v>270796.14</v>
      </c>
      <c r="F1538" s="2">
        <v>270796.14</v>
      </c>
    </row>
    <row r="1539" spans="1:6" x14ac:dyDescent="0.25">
      <c r="A1539" s="1">
        <v>44958</v>
      </c>
      <c r="B1539" t="s">
        <v>25</v>
      </c>
      <c r="C1539" t="s">
        <v>703</v>
      </c>
      <c r="D1539" s="2">
        <v>27063.96</v>
      </c>
      <c r="E1539" s="2">
        <v>9745.06</v>
      </c>
      <c r="F1539" s="2">
        <v>45871.06</v>
      </c>
    </row>
    <row r="1540" spans="1:6" x14ac:dyDescent="0.25">
      <c r="A1540" s="1">
        <v>44958</v>
      </c>
      <c r="B1540" t="s">
        <v>98</v>
      </c>
      <c r="C1540" t="s">
        <v>469</v>
      </c>
      <c r="D1540">
        <v>0</v>
      </c>
      <c r="E1540">
        <v>0</v>
      </c>
      <c r="F1540">
        <v>0</v>
      </c>
    </row>
    <row r="1541" spans="1:6" x14ac:dyDescent="0.25">
      <c r="A1541" s="1">
        <v>44958</v>
      </c>
      <c r="B1541" t="s">
        <v>726</v>
      </c>
      <c r="C1541" t="s">
        <v>789</v>
      </c>
      <c r="D1541" s="2">
        <v>748431.35999999999</v>
      </c>
      <c r="E1541" s="2">
        <v>263749.71999999997</v>
      </c>
      <c r="F1541" s="2">
        <v>87295.61</v>
      </c>
    </row>
    <row r="1542" spans="1:6" x14ac:dyDescent="0.25">
      <c r="A1542" s="1">
        <v>44958</v>
      </c>
      <c r="B1542" t="s">
        <v>196</v>
      </c>
      <c r="C1542" t="s">
        <v>468</v>
      </c>
      <c r="D1542">
        <v>0</v>
      </c>
      <c r="E1542">
        <v>0</v>
      </c>
      <c r="F1542">
        <v>0</v>
      </c>
    </row>
    <row r="1543" spans="1:6" x14ac:dyDescent="0.25">
      <c r="A1543" s="1">
        <v>44958</v>
      </c>
      <c r="B1543" t="s">
        <v>196</v>
      </c>
      <c r="C1543" t="s">
        <v>491</v>
      </c>
      <c r="D1543">
        <v>0</v>
      </c>
      <c r="E1543">
        <v>0</v>
      </c>
      <c r="F1543">
        <v>0</v>
      </c>
    </row>
    <row r="1544" spans="1:6" x14ac:dyDescent="0.25">
      <c r="A1544" s="1">
        <v>44958</v>
      </c>
      <c r="B1544" t="s">
        <v>21</v>
      </c>
      <c r="C1544" t="s">
        <v>369</v>
      </c>
      <c r="D1544" s="2">
        <v>1011922.13</v>
      </c>
      <c r="E1544">
        <v>0</v>
      </c>
      <c r="F1544">
        <v>0</v>
      </c>
    </row>
    <row r="1545" spans="1:6" x14ac:dyDescent="0.25">
      <c r="A1545" s="1">
        <v>44958</v>
      </c>
      <c r="B1545" t="s">
        <v>278</v>
      </c>
      <c r="C1545" t="s">
        <v>340</v>
      </c>
      <c r="D1545" s="2">
        <v>1233971.26</v>
      </c>
      <c r="E1545" s="2">
        <v>136991.59</v>
      </c>
      <c r="F1545" s="2">
        <v>132071.28</v>
      </c>
    </row>
    <row r="1546" spans="1:6" x14ac:dyDescent="0.25">
      <c r="A1546" s="1">
        <v>44958</v>
      </c>
      <c r="B1546" t="s">
        <v>105</v>
      </c>
      <c r="C1546" t="s">
        <v>922</v>
      </c>
      <c r="D1546">
        <v>0</v>
      </c>
      <c r="E1546">
        <v>0</v>
      </c>
      <c r="F1546">
        <v>0</v>
      </c>
    </row>
    <row r="1547" spans="1:6" x14ac:dyDescent="0.25">
      <c r="A1547" s="1">
        <v>44958</v>
      </c>
      <c r="B1547" t="s">
        <v>50</v>
      </c>
      <c r="C1547" t="s">
        <v>574</v>
      </c>
      <c r="D1547" s="2">
        <v>-74331.839999999997</v>
      </c>
      <c r="E1547" s="2">
        <v>1320541.55</v>
      </c>
      <c r="F1547" s="2">
        <v>1165816.76</v>
      </c>
    </row>
    <row r="1548" spans="1:6" x14ac:dyDescent="0.25">
      <c r="A1548" s="1">
        <v>44958</v>
      </c>
      <c r="B1548" t="s">
        <v>196</v>
      </c>
      <c r="C1548" t="s">
        <v>612</v>
      </c>
      <c r="D1548">
        <v>0</v>
      </c>
      <c r="E1548">
        <v>0</v>
      </c>
      <c r="F1548">
        <v>0</v>
      </c>
    </row>
    <row r="1549" spans="1:6" x14ac:dyDescent="0.25">
      <c r="A1549" s="1">
        <v>44958</v>
      </c>
      <c r="B1549" t="s">
        <v>40</v>
      </c>
      <c r="C1549" t="s">
        <v>450</v>
      </c>
      <c r="D1549" s="2">
        <v>414597.05</v>
      </c>
      <c r="E1549" s="2">
        <v>331288.53000000003</v>
      </c>
      <c r="F1549" s="2">
        <v>340634.64</v>
      </c>
    </row>
    <row r="1550" spans="1:6" x14ac:dyDescent="0.25">
      <c r="A1550" s="1">
        <v>44958</v>
      </c>
      <c r="B1550" t="s">
        <v>206</v>
      </c>
      <c r="C1550" t="s">
        <v>534</v>
      </c>
      <c r="D1550" s="2">
        <v>213769.79</v>
      </c>
      <c r="E1550" s="2">
        <v>14873.18</v>
      </c>
      <c r="F1550" s="2">
        <v>11747.87</v>
      </c>
    </row>
    <row r="1551" spans="1:6" x14ac:dyDescent="0.25">
      <c r="A1551" s="1">
        <v>44958</v>
      </c>
      <c r="B1551" t="s">
        <v>29</v>
      </c>
      <c r="C1551" t="s">
        <v>798</v>
      </c>
      <c r="D1551">
        <v>0</v>
      </c>
      <c r="E1551">
        <v>0</v>
      </c>
      <c r="F1551">
        <v>0</v>
      </c>
    </row>
    <row r="1552" spans="1:6" x14ac:dyDescent="0.25">
      <c r="A1552" s="1">
        <v>44958</v>
      </c>
      <c r="B1552" t="s">
        <v>15</v>
      </c>
      <c r="C1552" t="s">
        <v>693</v>
      </c>
      <c r="D1552" s="2">
        <v>4388796.4400000004</v>
      </c>
      <c r="E1552" s="2">
        <v>2391503.3199999998</v>
      </c>
      <c r="F1552" s="2">
        <v>1996029.86</v>
      </c>
    </row>
    <row r="1553" spans="1:6" x14ac:dyDescent="0.25">
      <c r="A1553" s="1">
        <v>44958</v>
      </c>
      <c r="B1553" t="s">
        <v>23</v>
      </c>
      <c r="C1553" t="s">
        <v>496</v>
      </c>
      <c r="D1553" s="2">
        <v>14827283.710000001</v>
      </c>
      <c r="E1553" s="2">
        <v>138905.84</v>
      </c>
      <c r="F1553" s="2">
        <v>64403.55</v>
      </c>
    </row>
    <row r="1554" spans="1:6" x14ac:dyDescent="0.25">
      <c r="A1554" s="1">
        <v>44958</v>
      </c>
      <c r="B1554" t="s">
        <v>15</v>
      </c>
      <c r="C1554" t="s">
        <v>796</v>
      </c>
      <c r="D1554" s="2">
        <v>4983922.5199999996</v>
      </c>
      <c r="E1554" s="2">
        <v>857326.94</v>
      </c>
      <c r="F1554">
        <v>0</v>
      </c>
    </row>
    <row r="1555" spans="1:6" x14ac:dyDescent="0.25">
      <c r="A1555" s="1">
        <v>44958</v>
      </c>
      <c r="B1555" t="s">
        <v>42</v>
      </c>
      <c r="C1555" t="s">
        <v>258</v>
      </c>
      <c r="D1555" s="2">
        <v>3359495</v>
      </c>
      <c r="E1555" s="2">
        <v>300000000</v>
      </c>
      <c r="F1555" s="2">
        <v>300000000</v>
      </c>
    </row>
    <row r="1556" spans="1:6" x14ac:dyDescent="0.25">
      <c r="A1556" s="1">
        <v>44958</v>
      </c>
      <c r="B1556" t="s">
        <v>13</v>
      </c>
      <c r="C1556" t="s">
        <v>737</v>
      </c>
      <c r="D1556" s="2">
        <v>4425661.29</v>
      </c>
      <c r="E1556" s="2">
        <v>4459303.1100000003</v>
      </c>
      <c r="F1556" s="2">
        <v>4477061.93</v>
      </c>
    </row>
    <row r="1557" spans="1:6" x14ac:dyDescent="0.25">
      <c r="A1557" s="1">
        <v>44958</v>
      </c>
      <c r="B1557" t="s">
        <v>21</v>
      </c>
      <c r="C1557" t="s">
        <v>775</v>
      </c>
      <c r="D1557" s="2">
        <v>3557190</v>
      </c>
      <c r="E1557">
        <v>0</v>
      </c>
      <c r="F1557">
        <v>0</v>
      </c>
    </row>
    <row r="1558" spans="1:6" x14ac:dyDescent="0.25">
      <c r="A1558" s="1">
        <v>44958</v>
      </c>
      <c r="B1558" t="s">
        <v>196</v>
      </c>
      <c r="C1558" t="s">
        <v>897</v>
      </c>
      <c r="D1558">
        <v>0</v>
      </c>
      <c r="E1558">
        <v>0</v>
      </c>
      <c r="F1558">
        <v>0</v>
      </c>
    </row>
    <row r="1559" spans="1:6" x14ac:dyDescent="0.25">
      <c r="A1559" s="1">
        <v>44958</v>
      </c>
      <c r="B1559" t="s">
        <v>159</v>
      </c>
      <c r="C1559" t="s">
        <v>641</v>
      </c>
      <c r="D1559" s="2">
        <v>20000</v>
      </c>
      <c r="E1559">
        <v>0</v>
      </c>
      <c r="F1559">
        <v>0</v>
      </c>
    </row>
    <row r="1560" spans="1:6" x14ac:dyDescent="0.25">
      <c r="A1560" s="1">
        <v>44958</v>
      </c>
      <c r="B1560" t="s">
        <v>35</v>
      </c>
      <c r="C1560" t="s">
        <v>293</v>
      </c>
      <c r="D1560" s="2">
        <v>13038229.039999999</v>
      </c>
      <c r="E1560">
        <v>0</v>
      </c>
      <c r="F1560">
        <v>0</v>
      </c>
    </row>
    <row r="1561" spans="1:6" x14ac:dyDescent="0.25">
      <c r="A1561" s="1">
        <v>44958</v>
      </c>
      <c r="B1561" t="s">
        <v>92</v>
      </c>
      <c r="C1561" t="s">
        <v>819</v>
      </c>
      <c r="D1561" s="2">
        <v>366572.83</v>
      </c>
      <c r="E1561" s="2">
        <v>290717.55</v>
      </c>
      <c r="F1561" s="2">
        <v>290717.55</v>
      </c>
    </row>
    <row r="1562" spans="1:6" x14ac:dyDescent="0.25">
      <c r="A1562" s="1">
        <v>44958</v>
      </c>
      <c r="B1562" t="s">
        <v>261</v>
      </c>
      <c r="C1562" t="s">
        <v>34</v>
      </c>
      <c r="D1562">
        <v>0</v>
      </c>
      <c r="E1562">
        <v>0</v>
      </c>
      <c r="F1562">
        <v>0</v>
      </c>
    </row>
    <row r="1563" spans="1:6" x14ac:dyDescent="0.25">
      <c r="A1563" s="1">
        <v>44958</v>
      </c>
      <c r="B1563" t="s">
        <v>37</v>
      </c>
      <c r="C1563" t="s">
        <v>647</v>
      </c>
      <c r="D1563">
        <v>0</v>
      </c>
      <c r="E1563">
        <v>0</v>
      </c>
      <c r="F1563">
        <v>0</v>
      </c>
    </row>
    <row r="1564" spans="1:6" x14ac:dyDescent="0.25">
      <c r="A1564" s="1">
        <v>44958</v>
      </c>
      <c r="B1564" t="s">
        <v>29</v>
      </c>
      <c r="C1564" t="s">
        <v>804</v>
      </c>
      <c r="D1564" s="2">
        <v>2545452.35</v>
      </c>
      <c r="E1564" s="2">
        <v>1208524.03</v>
      </c>
      <c r="F1564" s="2">
        <v>1150879.49</v>
      </c>
    </row>
    <row r="1565" spans="1:6" x14ac:dyDescent="0.25">
      <c r="A1565" s="1">
        <v>44958</v>
      </c>
      <c r="B1565" t="s">
        <v>107</v>
      </c>
      <c r="C1565" t="s">
        <v>239</v>
      </c>
      <c r="D1565">
        <v>0</v>
      </c>
      <c r="E1565" s="2">
        <v>11003837.880000001</v>
      </c>
      <c r="F1565" s="2">
        <v>11003837.880000001</v>
      </c>
    </row>
    <row r="1566" spans="1:6" x14ac:dyDescent="0.25">
      <c r="A1566" s="1">
        <v>44958</v>
      </c>
      <c r="B1566" t="s">
        <v>9</v>
      </c>
      <c r="C1566" t="s">
        <v>598</v>
      </c>
      <c r="D1566" s="2">
        <v>93487.21</v>
      </c>
      <c r="E1566" s="2">
        <v>43096.74</v>
      </c>
      <c r="F1566" s="2">
        <v>17370.18</v>
      </c>
    </row>
    <row r="1567" spans="1:6" x14ac:dyDescent="0.25">
      <c r="A1567" s="1">
        <v>44958</v>
      </c>
      <c r="B1567" t="s">
        <v>21</v>
      </c>
      <c r="C1567" t="s">
        <v>1049</v>
      </c>
      <c r="D1567" s="2">
        <v>13523728</v>
      </c>
      <c r="E1567">
        <v>0</v>
      </c>
      <c r="F1567">
        <v>0</v>
      </c>
    </row>
    <row r="1568" spans="1:6" x14ac:dyDescent="0.25">
      <c r="A1568" s="1">
        <v>44958</v>
      </c>
      <c r="B1568" t="s">
        <v>19</v>
      </c>
      <c r="C1568" t="s">
        <v>1050</v>
      </c>
      <c r="D1568" s="2">
        <v>43000</v>
      </c>
      <c r="E1568">
        <v>0</v>
      </c>
      <c r="F1568">
        <v>0</v>
      </c>
    </row>
    <row r="1569" spans="1:6" x14ac:dyDescent="0.25">
      <c r="A1569" s="1">
        <v>44958</v>
      </c>
      <c r="B1569" t="s">
        <v>288</v>
      </c>
      <c r="C1569" t="s">
        <v>390</v>
      </c>
      <c r="D1569" s="2">
        <v>13230.64</v>
      </c>
      <c r="E1569" s="2">
        <v>11830.64</v>
      </c>
      <c r="F1569" s="2">
        <v>11830.64</v>
      </c>
    </row>
    <row r="1570" spans="1:6" x14ac:dyDescent="0.25">
      <c r="A1570" s="1">
        <v>44958</v>
      </c>
      <c r="B1570" t="s">
        <v>13</v>
      </c>
      <c r="C1570" t="s">
        <v>711</v>
      </c>
      <c r="D1570" s="2">
        <v>-279630.46999999997</v>
      </c>
      <c r="E1570" s="2">
        <v>686595.41</v>
      </c>
      <c r="F1570" s="2">
        <v>670791.36</v>
      </c>
    </row>
    <row r="1571" spans="1:6" x14ac:dyDescent="0.25">
      <c r="A1571" s="1">
        <v>44958</v>
      </c>
      <c r="B1571" t="s">
        <v>23</v>
      </c>
      <c r="C1571" t="s">
        <v>800</v>
      </c>
      <c r="D1571" s="2">
        <v>139891.41</v>
      </c>
      <c r="E1571" s="2">
        <v>28927.34</v>
      </c>
      <c r="F1571" s="2">
        <v>28927.34</v>
      </c>
    </row>
    <row r="1572" spans="1:6" x14ac:dyDescent="0.25">
      <c r="A1572" s="1">
        <v>44958</v>
      </c>
      <c r="B1572" t="s">
        <v>726</v>
      </c>
      <c r="C1572" t="s">
        <v>763</v>
      </c>
      <c r="D1572" s="2">
        <v>635188.30000000005</v>
      </c>
      <c r="E1572" s="2">
        <v>225107.93</v>
      </c>
      <c r="F1572" s="2">
        <v>69182.31</v>
      </c>
    </row>
    <row r="1573" spans="1:6" x14ac:dyDescent="0.25">
      <c r="A1573" s="1">
        <v>44958</v>
      </c>
      <c r="B1573" t="s">
        <v>23</v>
      </c>
      <c r="C1573" t="s">
        <v>681</v>
      </c>
      <c r="D1573" s="2">
        <v>152837.39000000001</v>
      </c>
      <c r="E1573" s="2">
        <v>10835.65</v>
      </c>
      <c r="F1573" s="2">
        <v>10070.9</v>
      </c>
    </row>
    <row r="1574" spans="1:6" x14ac:dyDescent="0.25">
      <c r="A1574" s="1">
        <v>44958</v>
      </c>
      <c r="B1574" t="s">
        <v>40</v>
      </c>
      <c r="C1574" t="s">
        <v>850</v>
      </c>
      <c r="D1574" s="2">
        <v>812213.18</v>
      </c>
      <c r="E1574" s="2">
        <v>44768.18</v>
      </c>
      <c r="F1574" s="2">
        <v>23750.6</v>
      </c>
    </row>
    <row r="1575" spans="1:6" x14ac:dyDescent="0.25">
      <c r="A1575" s="1">
        <v>44958</v>
      </c>
      <c r="B1575" t="s">
        <v>40</v>
      </c>
      <c r="C1575" t="s">
        <v>531</v>
      </c>
      <c r="D1575">
        <v>0</v>
      </c>
      <c r="E1575">
        <v>0</v>
      </c>
      <c r="F1575">
        <v>0</v>
      </c>
    </row>
    <row r="1576" spans="1:6" x14ac:dyDescent="0.25">
      <c r="A1576" s="1">
        <v>44958</v>
      </c>
      <c r="B1576" t="s">
        <v>707</v>
      </c>
      <c r="C1576" t="s">
        <v>483</v>
      </c>
      <c r="D1576">
        <v>0</v>
      </c>
      <c r="E1576">
        <v>0</v>
      </c>
      <c r="F1576">
        <v>0</v>
      </c>
    </row>
    <row r="1577" spans="1:6" x14ac:dyDescent="0.25">
      <c r="A1577" s="1">
        <v>44958</v>
      </c>
      <c r="B1577" t="s">
        <v>23</v>
      </c>
      <c r="C1577" t="s">
        <v>281</v>
      </c>
      <c r="D1577">
        <v>0</v>
      </c>
      <c r="E1577">
        <v>0</v>
      </c>
      <c r="F1577">
        <v>0</v>
      </c>
    </row>
    <row r="1578" spans="1:6" x14ac:dyDescent="0.25">
      <c r="A1578" s="1">
        <v>44958</v>
      </c>
      <c r="B1578" t="s">
        <v>37</v>
      </c>
      <c r="C1578" t="s">
        <v>728</v>
      </c>
      <c r="D1578">
        <v>0</v>
      </c>
      <c r="E1578">
        <v>0</v>
      </c>
      <c r="F1578">
        <v>0</v>
      </c>
    </row>
    <row r="1579" spans="1:6" x14ac:dyDescent="0.25">
      <c r="A1579" s="1">
        <v>44958</v>
      </c>
      <c r="B1579" t="s">
        <v>187</v>
      </c>
      <c r="C1579" t="s">
        <v>830</v>
      </c>
      <c r="D1579" s="2">
        <v>3075172.28</v>
      </c>
      <c r="E1579" s="2">
        <v>175393.75</v>
      </c>
      <c r="F1579" s="2">
        <v>138190.93</v>
      </c>
    </row>
    <row r="1580" spans="1:6" x14ac:dyDescent="0.25">
      <c r="A1580" s="1">
        <v>44958</v>
      </c>
      <c r="B1580" t="s">
        <v>407</v>
      </c>
      <c r="C1580" t="s">
        <v>408</v>
      </c>
      <c r="D1580">
        <v>0</v>
      </c>
      <c r="E1580">
        <v>0</v>
      </c>
      <c r="F1580">
        <v>0</v>
      </c>
    </row>
    <row r="1581" spans="1:6" x14ac:dyDescent="0.25">
      <c r="A1581" s="1">
        <v>44958</v>
      </c>
      <c r="B1581" t="s">
        <v>13</v>
      </c>
      <c r="C1581" t="s">
        <v>791</v>
      </c>
      <c r="D1581" s="2">
        <v>10975044.470000001</v>
      </c>
      <c r="E1581" s="2">
        <v>63617551641.5</v>
      </c>
      <c r="F1581" s="2">
        <v>63686642271.199997</v>
      </c>
    </row>
    <row r="1582" spans="1:6" x14ac:dyDescent="0.25">
      <c r="A1582" s="1">
        <v>44958</v>
      </c>
      <c r="B1582" t="s">
        <v>648</v>
      </c>
      <c r="C1582" t="s">
        <v>914</v>
      </c>
      <c r="D1582" s="2">
        <v>82424502.359999999</v>
      </c>
      <c r="E1582" s="2">
        <v>35003425.270000003</v>
      </c>
      <c r="F1582" s="2">
        <v>35220512.130000003</v>
      </c>
    </row>
    <row r="1583" spans="1:6" x14ac:dyDescent="0.25">
      <c r="A1583" s="1">
        <v>44958</v>
      </c>
      <c r="B1583" t="s">
        <v>143</v>
      </c>
      <c r="C1583" t="s">
        <v>529</v>
      </c>
      <c r="D1583">
        <v>0</v>
      </c>
      <c r="E1583">
        <v>0</v>
      </c>
      <c r="F1583">
        <v>0</v>
      </c>
    </row>
    <row r="1584" spans="1:6" x14ac:dyDescent="0.25">
      <c r="A1584" s="1">
        <v>44958</v>
      </c>
      <c r="B1584" t="s">
        <v>13</v>
      </c>
      <c r="C1584" t="s">
        <v>475</v>
      </c>
      <c r="D1584" s="2">
        <v>-274699.89</v>
      </c>
      <c r="E1584" s="2">
        <v>139551.17000000001</v>
      </c>
      <c r="F1584" s="2">
        <v>129909.49</v>
      </c>
    </row>
    <row r="1585" spans="1:6" x14ac:dyDescent="0.25">
      <c r="A1585" s="1">
        <v>44958</v>
      </c>
      <c r="B1585" t="s">
        <v>23</v>
      </c>
      <c r="C1585" t="s">
        <v>157</v>
      </c>
      <c r="D1585" s="2">
        <v>4725</v>
      </c>
      <c r="E1585" s="2">
        <v>5856.43</v>
      </c>
      <c r="F1585" s="2">
        <v>5856.43</v>
      </c>
    </row>
    <row r="1586" spans="1:6" x14ac:dyDescent="0.25">
      <c r="A1586" s="1">
        <v>44958</v>
      </c>
      <c r="B1586" t="s">
        <v>31</v>
      </c>
      <c r="C1586" t="s">
        <v>855</v>
      </c>
      <c r="D1586" s="2">
        <v>339920.7</v>
      </c>
      <c r="E1586" s="2">
        <v>233474.92</v>
      </c>
      <c r="F1586" s="2">
        <v>207510.09</v>
      </c>
    </row>
    <row r="1587" spans="1:6" x14ac:dyDescent="0.25">
      <c r="A1587" s="1">
        <v>44958</v>
      </c>
      <c r="B1587" t="s">
        <v>53</v>
      </c>
      <c r="C1587" t="s">
        <v>382</v>
      </c>
      <c r="D1587">
        <v>0</v>
      </c>
      <c r="E1587" s="2">
        <v>529161229.26999998</v>
      </c>
      <c r="F1587" s="2">
        <v>529161229.26999998</v>
      </c>
    </row>
    <row r="1588" spans="1:6" x14ac:dyDescent="0.25">
      <c r="A1588" s="1">
        <v>44958</v>
      </c>
      <c r="B1588" t="s">
        <v>23</v>
      </c>
      <c r="C1588" t="s">
        <v>368</v>
      </c>
      <c r="D1588" s="2">
        <v>226458.08</v>
      </c>
      <c r="E1588" s="2">
        <v>11890.09</v>
      </c>
      <c r="F1588" s="2">
        <v>11890.09</v>
      </c>
    </row>
    <row r="1589" spans="1:6" x14ac:dyDescent="0.25">
      <c r="A1589" s="1">
        <v>44958</v>
      </c>
      <c r="B1589" t="s">
        <v>518</v>
      </c>
      <c r="C1589" t="s">
        <v>892</v>
      </c>
      <c r="D1589" s="2">
        <v>222797.96</v>
      </c>
      <c r="E1589" s="2">
        <v>3023.7</v>
      </c>
      <c r="F1589" s="2">
        <v>4200</v>
      </c>
    </row>
    <row r="1590" spans="1:6" x14ac:dyDescent="0.25">
      <c r="A1590" s="1">
        <v>44958</v>
      </c>
      <c r="B1590" t="s">
        <v>23</v>
      </c>
      <c r="C1590" t="s">
        <v>655</v>
      </c>
      <c r="D1590">
        <v>0</v>
      </c>
      <c r="E1590">
        <v>0</v>
      </c>
      <c r="F1590">
        <v>0</v>
      </c>
    </row>
    <row r="1591" spans="1:6" x14ac:dyDescent="0.25">
      <c r="A1591" s="1">
        <v>44958</v>
      </c>
      <c r="B1591" t="s">
        <v>17</v>
      </c>
      <c r="C1591" t="s">
        <v>1051</v>
      </c>
      <c r="D1591" s="2">
        <v>9097611.9100000001</v>
      </c>
      <c r="E1591" s="2">
        <v>9097611.9100000001</v>
      </c>
      <c r="F1591">
        <v>0</v>
      </c>
    </row>
    <row r="1592" spans="1:6" x14ac:dyDescent="0.25">
      <c r="A1592" s="1">
        <v>44958</v>
      </c>
      <c r="B1592" t="s">
        <v>159</v>
      </c>
      <c r="C1592" t="s">
        <v>367</v>
      </c>
      <c r="D1592">
        <v>0</v>
      </c>
      <c r="E1592">
        <v>0</v>
      </c>
      <c r="F1592">
        <v>0</v>
      </c>
    </row>
    <row r="1593" spans="1:6" x14ac:dyDescent="0.25">
      <c r="A1593" s="1">
        <v>44958</v>
      </c>
      <c r="B1593" t="s">
        <v>23</v>
      </c>
      <c r="C1593" t="s">
        <v>879</v>
      </c>
      <c r="D1593" s="2">
        <v>71729</v>
      </c>
      <c r="E1593">
        <v>0</v>
      </c>
      <c r="F1593">
        <v>0</v>
      </c>
    </row>
    <row r="1594" spans="1:6" x14ac:dyDescent="0.25">
      <c r="A1594" s="1">
        <v>44958</v>
      </c>
      <c r="B1594" t="s">
        <v>46</v>
      </c>
      <c r="C1594" t="s">
        <v>295</v>
      </c>
      <c r="D1594" s="2">
        <v>3855343.29</v>
      </c>
      <c r="E1594" s="2">
        <v>735592.13</v>
      </c>
      <c r="F1594" s="2">
        <v>716625.59</v>
      </c>
    </row>
    <row r="1595" spans="1:6" x14ac:dyDescent="0.25">
      <c r="A1595" s="1">
        <v>44958</v>
      </c>
      <c r="B1595" t="s">
        <v>50</v>
      </c>
      <c r="C1595" t="s">
        <v>735</v>
      </c>
      <c r="D1595" s="2">
        <v>58958.28</v>
      </c>
      <c r="E1595" s="2">
        <v>68675.39</v>
      </c>
      <c r="F1595" s="2">
        <v>2516.19</v>
      </c>
    </row>
    <row r="1596" spans="1:6" x14ac:dyDescent="0.25">
      <c r="A1596" s="1">
        <v>44958</v>
      </c>
      <c r="B1596" t="s">
        <v>40</v>
      </c>
      <c r="C1596" t="s">
        <v>457</v>
      </c>
      <c r="D1596" s="2">
        <v>7237911.7999999998</v>
      </c>
      <c r="E1596" s="2">
        <v>8580339.1400000006</v>
      </c>
      <c r="F1596" s="2">
        <v>4787681.3099999996</v>
      </c>
    </row>
    <row r="1597" spans="1:6" x14ac:dyDescent="0.25">
      <c r="A1597" s="1">
        <v>44958</v>
      </c>
      <c r="B1597" t="s">
        <v>40</v>
      </c>
      <c r="C1597" t="s">
        <v>604</v>
      </c>
      <c r="D1597" s="2">
        <v>132970231.39</v>
      </c>
      <c r="E1597" s="2">
        <v>74726727.129999995</v>
      </c>
      <c r="F1597" s="2">
        <v>78399612.310000002</v>
      </c>
    </row>
    <row r="1598" spans="1:6" x14ac:dyDescent="0.25">
      <c r="A1598" s="1">
        <v>44958</v>
      </c>
      <c r="B1598" t="s">
        <v>162</v>
      </c>
      <c r="C1598" t="s">
        <v>1052</v>
      </c>
      <c r="D1598" s="2">
        <v>122827956</v>
      </c>
      <c r="E1598">
        <v>0</v>
      </c>
      <c r="F1598">
        <v>0</v>
      </c>
    </row>
    <row r="1599" spans="1:6" x14ac:dyDescent="0.25">
      <c r="A1599" s="1">
        <v>44958</v>
      </c>
      <c r="B1599" t="s">
        <v>619</v>
      </c>
      <c r="C1599" t="s">
        <v>823</v>
      </c>
      <c r="D1599" s="2">
        <v>741613.08</v>
      </c>
      <c r="E1599" s="2">
        <v>345366.54</v>
      </c>
      <c r="F1599" s="2">
        <v>266843.62</v>
      </c>
    </row>
    <row r="1600" spans="1:6" x14ac:dyDescent="0.25">
      <c r="A1600" s="1">
        <v>44958</v>
      </c>
      <c r="B1600" t="s">
        <v>15</v>
      </c>
      <c r="C1600" t="s">
        <v>697</v>
      </c>
      <c r="D1600" s="2">
        <v>35525121.170000002</v>
      </c>
      <c r="E1600" s="2">
        <v>4315948.8099999996</v>
      </c>
      <c r="F1600" s="2">
        <v>2087518.05</v>
      </c>
    </row>
    <row r="1601" spans="1:6" x14ac:dyDescent="0.25">
      <c r="A1601" s="1">
        <v>44958</v>
      </c>
      <c r="B1601" t="s">
        <v>288</v>
      </c>
      <c r="C1601" t="s">
        <v>480</v>
      </c>
      <c r="D1601">
        <v>0</v>
      </c>
      <c r="E1601" s="2">
        <v>78330.22</v>
      </c>
      <c r="F1601" s="2">
        <v>78330.22</v>
      </c>
    </row>
    <row r="1602" spans="1:6" x14ac:dyDescent="0.25">
      <c r="A1602" s="1">
        <v>44958</v>
      </c>
      <c r="B1602" t="s">
        <v>98</v>
      </c>
      <c r="C1602" t="s">
        <v>899</v>
      </c>
      <c r="D1602">
        <v>0</v>
      </c>
      <c r="E1602">
        <v>0</v>
      </c>
      <c r="F1602">
        <v>0</v>
      </c>
    </row>
    <row r="1603" spans="1:6" x14ac:dyDescent="0.25">
      <c r="A1603" s="1">
        <v>44958</v>
      </c>
      <c r="B1603" t="s">
        <v>118</v>
      </c>
      <c r="C1603" t="s">
        <v>742</v>
      </c>
      <c r="D1603" s="2">
        <v>4626980.54</v>
      </c>
      <c r="E1603" s="2">
        <v>1218544.06</v>
      </c>
      <c r="F1603" s="2">
        <v>1216543.3600000001</v>
      </c>
    </row>
    <row r="1604" spans="1:6" x14ac:dyDescent="0.25">
      <c r="A1604" s="1">
        <v>44958</v>
      </c>
      <c r="B1604" t="s">
        <v>23</v>
      </c>
      <c r="C1604" t="s">
        <v>776</v>
      </c>
      <c r="D1604" s="2">
        <v>14232942.390000001</v>
      </c>
      <c r="E1604" s="2">
        <v>1746433.4</v>
      </c>
      <c r="F1604" s="2">
        <v>1746433.4</v>
      </c>
    </row>
    <row r="1605" spans="1:6" x14ac:dyDescent="0.25">
      <c r="A1605" s="1">
        <v>44958</v>
      </c>
      <c r="B1605" t="s">
        <v>23</v>
      </c>
      <c r="C1605" t="s">
        <v>779</v>
      </c>
      <c r="D1605" s="2">
        <v>125812.96</v>
      </c>
      <c r="E1605" s="2">
        <v>26530.7</v>
      </c>
      <c r="F1605" s="2">
        <v>10158.950000000001</v>
      </c>
    </row>
    <row r="1606" spans="1:6" x14ac:dyDescent="0.25">
      <c r="A1606" s="1">
        <v>44958</v>
      </c>
      <c r="B1606" t="s">
        <v>206</v>
      </c>
      <c r="C1606" t="s">
        <v>207</v>
      </c>
      <c r="D1606" s="2">
        <v>155000</v>
      </c>
      <c r="E1606">
        <v>0</v>
      </c>
      <c r="F1606">
        <v>0</v>
      </c>
    </row>
    <row r="1607" spans="1:6" x14ac:dyDescent="0.25">
      <c r="A1607" s="1">
        <v>44958</v>
      </c>
      <c r="B1607" t="s">
        <v>619</v>
      </c>
      <c r="C1607" t="s">
        <v>165</v>
      </c>
      <c r="D1607" s="2">
        <v>73864.23</v>
      </c>
      <c r="E1607" s="2">
        <v>9158.82</v>
      </c>
      <c r="F1607" s="2">
        <v>9158.82</v>
      </c>
    </row>
    <row r="1608" spans="1:6" x14ac:dyDescent="0.25">
      <c r="A1608" s="1">
        <v>44958</v>
      </c>
      <c r="B1608" t="s">
        <v>50</v>
      </c>
      <c r="C1608" t="s">
        <v>425</v>
      </c>
      <c r="D1608">
        <v>0</v>
      </c>
      <c r="E1608">
        <v>0</v>
      </c>
      <c r="F1608">
        <v>0</v>
      </c>
    </row>
    <row r="1609" spans="1:6" x14ac:dyDescent="0.25">
      <c r="A1609" s="1">
        <v>44958</v>
      </c>
      <c r="B1609" t="s">
        <v>27</v>
      </c>
      <c r="C1609" t="s">
        <v>788</v>
      </c>
      <c r="D1609">
        <v>0</v>
      </c>
      <c r="E1609" s="2">
        <v>24221.97</v>
      </c>
      <c r="F1609" s="2">
        <v>19668.12</v>
      </c>
    </row>
    <row r="1610" spans="1:6" x14ac:dyDescent="0.25">
      <c r="A1610" s="1">
        <v>44958</v>
      </c>
      <c r="B1610" t="s">
        <v>27</v>
      </c>
      <c r="C1610" t="s">
        <v>902</v>
      </c>
      <c r="D1610" s="2">
        <v>5057946.5199999996</v>
      </c>
      <c r="E1610" s="2">
        <v>739252.85</v>
      </c>
      <c r="F1610" s="2">
        <v>192581.84</v>
      </c>
    </row>
    <row r="1611" spans="1:6" x14ac:dyDescent="0.25">
      <c r="A1611" s="1">
        <v>44958</v>
      </c>
      <c r="B1611" t="s">
        <v>98</v>
      </c>
      <c r="C1611" t="s">
        <v>313</v>
      </c>
      <c r="D1611">
        <v>0</v>
      </c>
      <c r="E1611">
        <v>0</v>
      </c>
      <c r="F1611">
        <v>0</v>
      </c>
    </row>
    <row r="1612" spans="1:6" x14ac:dyDescent="0.25">
      <c r="A1612" s="1">
        <v>44958</v>
      </c>
      <c r="B1612" t="s">
        <v>23</v>
      </c>
      <c r="C1612" t="s">
        <v>665</v>
      </c>
      <c r="D1612" s="2">
        <v>1744660.02</v>
      </c>
      <c r="E1612" s="2">
        <v>102319.31</v>
      </c>
      <c r="F1612" s="2">
        <v>102319.31</v>
      </c>
    </row>
    <row r="1613" spans="1:6" x14ac:dyDescent="0.25">
      <c r="A1613" s="1">
        <v>44958</v>
      </c>
      <c r="B1613" t="s">
        <v>23</v>
      </c>
      <c r="C1613" t="s">
        <v>370</v>
      </c>
      <c r="D1613" s="2">
        <v>393962.18</v>
      </c>
      <c r="E1613" s="2">
        <v>30855.17</v>
      </c>
      <c r="F1613" s="2">
        <v>30244.18</v>
      </c>
    </row>
    <row r="1614" spans="1:6" x14ac:dyDescent="0.25">
      <c r="A1614" s="1">
        <v>44958</v>
      </c>
      <c r="B1614" t="s">
        <v>44</v>
      </c>
      <c r="C1614" t="s">
        <v>1053</v>
      </c>
      <c r="D1614">
        <v>0</v>
      </c>
      <c r="E1614">
        <v>0</v>
      </c>
      <c r="F1614">
        <v>0</v>
      </c>
    </row>
    <row r="1615" spans="1:6" x14ac:dyDescent="0.25">
      <c r="A1615" s="1">
        <v>44958</v>
      </c>
      <c r="B1615" t="s">
        <v>344</v>
      </c>
      <c r="C1615" t="s">
        <v>1054</v>
      </c>
      <c r="D1615" s="2">
        <v>56185.98</v>
      </c>
      <c r="E1615">
        <v>0</v>
      </c>
      <c r="F1615">
        <v>0</v>
      </c>
    </row>
    <row r="1616" spans="1:6" x14ac:dyDescent="0.25">
      <c r="A1616" s="1">
        <v>44958</v>
      </c>
      <c r="B1616" t="s">
        <v>40</v>
      </c>
      <c r="C1616" t="s">
        <v>528</v>
      </c>
      <c r="D1616" s="2">
        <v>-10900</v>
      </c>
      <c r="E1616">
        <v>0</v>
      </c>
      <c r="F1616">
        <v>0</v>
      </c>
    </row>
    <row r="1617" spans="1:6" x14ac:dyDescent="0.25">
      <c r="A1617" s="1">
        <v>44958</v>
      </c>
      <c r="B1617" t="s">
        <v>842</v>
      </c>
      <c r="C1617" t="s">
        <v>843</v>
      </c>
      <c r="D1617" s="2">
        <v>5874558.7699999996</v>
      </c>
      <c r="E1617" s="2">
        <v>2537143.15</v>
      </c>
      <c r="F1617" s="2">
        <v>2313000.0699999998</v>
      </c>
    </row>
    <row r="1618" spans="1:6" x14ac:dyDescent="0.25">
      <c r="A1618" s="1">
        <v>44958</v>
      </c>
      <c r="B1618" t="s">
        <v>27</v>
      </c>
      <c r="C1618" t="s">
        <v>811</v>
      </c>
      <c r="D1618" s="2">
        <v>227183.64</v>
      </c>
      <c r="E1618">
        <v>905.38</v>
      </c>
      <c r="F1618">
        <v>905.38</v>
      </c>
    </row>
    <row r="1619" spans="1:6" x14ac:dyDescent="0.25">
      <c r="A1619" s="1">
        <v>44958</v>
      </c>
      <c r="B1619" t="s">
        <v>263</v>
      </c>
      <c r="C1619" t="s">
        <v>745</v>
      </c>
      <c r="D1619" s="2">
        <v>1275531.95</v>
      </c>
      <c r="E1619" s="2">
        <v>893195.98</v>
      </c>
      <c r="F1619" s="2">
        <v>1394783.84</v>
      </c>
    </row>
    <row r="1620" spans="1:6" x14ac:dyDescent="0.25">
      <c r="A1620" s="1">
        <v>44958</v>
      </c>
      <c r="B1620" t="s">
        <v>31</v>
      </c>
      <c r="C1620" t="s">
        <v>833</v>
      </c>
      <c r="D1620" s="2">
        <v>65457.91</v>
      </c>
      <c r="E1620" s="2">
        <v>20651.080000000002</v>
      </c>
      <c r="F1620" s="2">
        <v>12164.82</v>
      </c>
    </row>
    <row r="1621" spans="1:6" x14ac:dyDescent="0.25">
      <c r="A1621" s="1">
        <v>44958</v>
      </c>
      <c r="B1621" t="s">
        <v>306</v>
      </c>
      <c r="C1621" t="s">
        <v>403</v>
      </c>
      <c r="D1621" s="2">
        <v>4000</v>
      </c>
      <c r="E1621" s="2">
        <v>3430.26</v>
      </c>
      <c r="F1621" s="2">
        <v>3430.26</v>
      </c>
    </row>
    <row r="1622" spans="1:6" x14ac:dyDescent="0.25">
      <c r="A1622" s="1">
        <v>44958</v>
      </c>
      <c r="B1622" t="s">
        <v>46</v>
      </c>
      <c r="C1622" t="s">
        <v>47</v>
      </c>
      <c r="D1622" s="2">
        <v>2403333.3199999998</v>
      </c>
      <c r="E1622" s="2">
        <v>1201666.6599999999</v>
      </c>
      <c r="F1622" s="2">
        <v>1201666.6599999999</v>
      </c>
    </row>
    <row r="1623" spans="1:6" x14ac:dyDescent="0.25">
      <c r="A1623" s="1">
        <v>44958</v>
      </c>
      <c r="B1623" t="s">
        <v>44</v>
      </c>
      <c r="C1623" t="s">
        <v>828</v>
      </c>
      <c r="D1623" s="2">
        <v>650601.55000000005</v>
      </c>
      <c r="E1623" s="2">
        <v>444191.09</v>
      </c>
      <c r="F1623" s="2">
        <v>276392.84999999998</v>
      </c>
    </row>
    <row r="1624" spans="1:6" x14ac:dyDescent="0.25">
      <c r="A1624" s="1">
        <v>44958</v>
      </c>
      <c r="B1624" t="s">
        <v>422</v>
      </c>
      <c r="C1624" t="s">
        <v>678</v>
      </c>
      <c r="D1624">
        <v>0</v>
      </c>
      <c r="E1624">
        <v>0</v>
      </c>
      <c r="F1624">
        <v>0</v>
      </c>
    </row>
    <row r="1625" spans="1:6" x14ac:dyDescent="0.25">
      <c r="A1625" s="1">
        <v>44958</v>
      </c>
      <c r="B1625" t="s">
        <v>101</v>
      </c>
      <c r="C1625" t="s">
        <v>827</v>
      </c>
      <c r="D1625">
        <v>0</v>
      </c>
      <c r="E1625">
        <v>0</v>
      </c>
      <c r="F1625">
        <v>0</v>
      </c>
    </row>
    <row r="1626" spans="1:6" x14ac:dyDescent="0.25">
      <c r="A1626" s="1">
        <v>44958</v>
      </c>
      <c r="B1626" t="s">
        <v>21</v>
      </c>
      <c r="C1626" t="s">
        <v>757</v>
      </c>
      <c r="D1626" s="2">
        <v>6800000</v>
      </c>
      <c r="E1626">
        <v>0</v>
      </c>
      <c r="F1626">
        <v>0</v>
      </c>
    </row>
    <row r="1627" spans="1:6" x14ac:dyDescent="0.25">
      <c r="A1627" s="1">
        <v>44958</v>
      </c>
      <c r="B1627" t="s">
        <v>13</v>
      </c>
      <c r="C1627" t="s">
        <v>659</v>
      </c>
      <c r="D1627">
        <v>0</v>
      </c>
      <c r="E1627">
        <v>0</v>
      </c>
      <c r="F1627">
        <v>0</v>
      </c>
    </row>
    <row r="1628" spans="1:6" x14ac:dyDescent="0.25">
      <c r="A1628" s="1">
        <v>44958</v>
      </c>
      <c r="B1628" t="s">
        <v>23</v>
      </c>
      <c r="C1628" t="s">
        <v>889</v>
      </c>
      <c r="D1628" s="2">
        <v>7434582.6299999999</v>
      </c>
      <c r="E1628" s="2">
        <v>590468.47</v>
      </c>
      <c r="F1628" s="2">
        <v>213735.58</v>
      </c>
    </row>
    <row r="1629" spans="1:6" x14ac:dyDescent="0.25">
      <c r="A1629" s="1">
        <v>44958</v>
      </c>
      <c r="B1629" t="s">
        <v>9</v>
      </c>
      <c r="C1629" t="s">
        <v>667</v>
      </c>
      <c r="D1629" s="2">
        <v>90420</v>
      </c>
      <c r="E1629" s="2">
        <v>38400</v>
      </c>
      <c r="F1629" s="2">
        <v>38400</v>
      </c>
    </row>
    <row r="1630" spans="1:6" x14ac:dyDescent="0.25">
      <c r="A1630" s="1">
        <v>44958</v>
      </c>
      <c r="B1630" t="s">
        <v>17</v>
      </c>
      <c r="C1630" t="s">
        <v>350</v>
      </c>
      <c r="D1630" s="2">
        <v>63804132.520000003</v>
      </c>
      <c r="E1630" s="2">
        <v>66812972.509999998</v>
      </c>
      <c r="F1630" s="2">
        <v>12562497.130000001</v>
      </c>
    </row>
    <row r="1631" spans="1:6" x14ac:dyDescent="0.25">
      <c r="A1631" s="1">
        <v>44958</v>
      </c>
      <c r="B1631" t="s">
        <v>23</v>
      </c>
      <c r="C1631" t="s">
        <v>198</v>
      </c>
      <c r="D1631" s="2">
        <v>129527.61</v>
      </c>
      <c r="E1631" s="2">
        <v>31047.4</v>
      </c>
      <c r="F1631" s="2">
        <v>30014.75</v>
      </c>
    </row>
    <row r="1632" spans="1:6" x14ac:dyDescent="0.25">
      <c r="A1632" s="1">
        <v>44958</v>
      </c>
      <c r="B1632" t="s">
        <v>306</v>
      </c>
      <c r="C1632" t="s">
        <v>841</v>
      </c>
      <c r="D1632" s="2">
        <v>7031594.4000000004</v>
      </c>
      <c r="E1632" s="2">
        <v>936985.85</v>
      </c>
      <c r="F1632" s="2">
        <v>712026.99</v>
      </c>
    </row>
    <row r="1633" spans="1:6" x14ac:dyDescent="0.25">
      <c r="A1633" s="1">
        <v>44958</v>
      </c>
      <c r="B1633" t="s">
        <v>48</v>
      </c>
      <c r="C1633" t="s">
        <v>472</v>
      </c>
      <c r="D1633" s="2">
        <v>4482901.87</v>
      </c>
      <c r="E1633" s="2">
        <v>1524583.39</v>
      </c>
      <c r="F1633" s="2">
        <v>1588195.19</v>
      </c>
    </row>
    <row r="1634" spans="1:6" x14ac:dyDescent="0.25">
      <c r="A1634" s="1">
        <v>44958</v>
      </c>
      <c r="B1634" t="s">
        <v>105</v>
      </c>
      <c r="C1634" t="s">
        <v>645</v>
      </c>
      <c r="D1634" s="2">
        <v>2097959.09</v>
      </c>
      <c r="E1634">
        <v>0</v>
      </c>
      <c r="F1634">
        <v>0</v>
      </c>
    </row>
    <row r="1635" spans="1:6" x14ac:dyDescent="0.25">
      <c r="A1635" s="1">
        <v>44958</v>
      </c>
      <c r="B1635" t="s">
        <v>40</v>
      </c>
      <c r="C1635" t="s">
        <v>311</v>
      </c>
      <c r="D1635">
        <v>0</v>
      </c>
      <c r="E1635">
        <v>0</v>
      </c>
      <c r="F1635">
        <v>0</v>
      </c>
    </row>
    <row r="1636" spans="1:6" x14ac:dyDescent="0.25">
      <c r="A1636" s="1">
        <v>44958</v>
      </c>
      <c r="B1636" t="s">
        <v>114</v>
      </c>
      <c r="C1636" t="s">
        <v>913</v>
      </c>
      <c r="D1636" s="2">
        <v>5930959.5499999998</v>
      </c>
      <c r="E1636" s="2">
        <v>12826879.960000001</v>
      </c>
      <c r="F1636" s="2">
        <v>12419066.970000001</v>
      </c>
    </row>
    <row r="1637" spans="1:6" x14ac:dyDescent="0.25">
      <c r="A1637" s="1">
        <v>44958</v>
      </c>
      <c r="B1637" t="s">
        <v>79</v>
      </c>
      <c r="C1637" t="s">
        <v>80</v>
      </c>
      <c r="D1637">
        <v>0</v>
      </c>
      <c r="E1637">
        <v>0</v>
      </c>
      <c r="F1637">
        <v>0</v>
      </c>
    </row>
    <row r="1638" spans="1:6" x14ac:dyDescent="0.25">
      <c r="A1638" s="1">
        <v>44958</v>
      </c>
      <c r="B1638" t="s">
        <v>23</v>
      </c>
      <c r="C1638" t="s">
        <v>1055</v>
      </c>
      <c r="D1638" s="2">
        <v>149033</v>
      </c>
      <c r="E1638" s="2">
        <v>73785.5</v>
      </c>
      <c r="F1638">
        <v>0</v>
      </c>
    </row>
    <row r="1639" spans="1:6" x14ac:dyDescent="0.25">
      <c r="A1639" s="1">
        <v>44958</v>
      </c>
      <c r="B1639" t="s">
        <v>726</v>
      </c>
      <c r="C1639" t="s">
        <v>837</v>
      </c>
      <c r="D1639" s="2">
        <v>165145.38</v>
      </c>
      <c r="E1639" s="2">
        <v>636983.68000000005</v>
      </c>
      <c r="F1639" s="2">
        <v>525581.6</v>
      </c>
    </row>
    <row r="1640" spans="1:6" x14ac:dyDescent="0.25">
      <c r="A1640" s="1">
        <v>44958</v>
      </c>
      <c r="B1640" t="s">
        <v>21</v>
      </c>
      <c r="C1640" t="s">
        <v>366</v>
      </c>
      <c r="D1640" s="2">
        <v>2400000</v>
      </c>
      <c r="E1640">
        <v>0</v>
      </c>
      <c r="F1640">
        <v>0</v>
      </c>
    </row>
    <row r="1641" spans="1:6" x14ac:dyDescent="0.25">
      <c r="A1641" s="1">
        <v>44958</v>
      </c>
      <c r="B1641" t="s">
        <v>23</v>
      </c>
      <c r="C1641" t="s">
        <v>759</v>
      </c>
      <c r="D1641" s="2">
        <v>330323.11</v>
      </c>
      <c r="E1641" s="2">
        <v>84909.95</v>
      </c>
      <c r="F1641" s="2">
        <v>4130.25</v>
      </c>
    </row>
    <row r="1642" spans="1:6" x14ac:dyDescent="0.25">
      <c r="A1642" s="1">
        <v>44958</v>
      </c>
      <c r="B1642" t="s">
        <v>92</v>
      </c>
      <c r="C1642" t="s">
        <v>701</v>
      </c>
      <c r="D1642" s="2">
        <v>5803909.4800000004</v>
      </c>
      <c r="E1642" s="2">
        <v>6683020.2400000002</v>
      </c>
      <c r="F1642" s="2">
        <v>6843323.6299999999</v>
      </c>
    </row>
    <row r="1643" spans="1:6" x14ac:dyDescent="0.25">
      <c r="A1643" s="1">
        <v>44958</v>
      </c>
      <c r="B1643" t="s">
        <v>40</v>
      </c>
      <c r="C1643" t="s">
        <v>888</v>
      </c>
      <c r="D1643" s="2">
        <v>10870543.970000001</v>
      </c>
      <c r="E1643" s="2">
        <v>3116221.57</v>
      </c>
      <c r="F1643" s="2">
        <v>3019727.88</v>
      </c>
    </row>
    <row r="1644" spans="1:6" x14ac:dyDescent="0.25">
      <c r="A1644" s="1">
        <v>44958</v>
      </c>
      <c r="B1644" t="s">
        <v>101</v>
      </c>
      <c r="C1644" t="s">
        <v>780</v>
      </c>
      <c r="D1644" s="2">
        <v>1909013.98</v>
      </c>
      <c r="E1644" s="2">
        <v>612604.48</v>
      </c>
      <c r="F1644" s="2">
        <v>502497.85</v>
      </c>
    </row>
    <row r="1645" spans="1:6" x14ac:dyDescent="0.25">
      <c r="A1645" s="1">
        <v>44958</v>
      </c>
      <c r="B1645" t="s">
        <v>118</v>
      </c>
      <c r="C1645" t="s">
        <v>730</v>
      </c>
      <c r="D1645">
        <v>0</v>
      </c>
      <c r="E1645">
        <v>0</v>
      </c>
      <c r="F1645">
        <v>0</v>
      </c>
    </row>
    <row r="1646" spans="1:6" x14ac:dyDescent="0.25">
      <c r="A1646" s="1">
        <v>44958</v>
      </c>
      <c r="B1646" t="s">
        <v>37</v>
      </c>
      <c r="C1646" t="s">
        <v>504</v>
      </c>
      <c r="D1646">
        <v>0</v>
      </c>
      <c r="E1646" s="2">
        <v>553444.61</v>
      </c>
      <c r="F1646" s="2">
        <v>553444.61</v>
      </c>
    </row>
    <row r="1647" spans="1:6" x14ac:dyDescent="0.25">
      <c r="A1647" s="1">
        <v>44958</v>
      </c>
      <c r="B1647" t="s">
        <v>490</v>
      </c>
      <c r="C1647" t="s">
        <v>512</v>
      </c>
      <c r="D1647" s="2">
        <v>14733881.82</v>
      </c>
      <c r="E1647">
        <v>0</v>
      </c>
      <c r="F1647">
        <v>0</v>
      </c>
    </row>
    <row r="1648" spans="1:6" x14ac:dyDescent="0.25">
      <c r="A1648" s="1">
        <v>44958</v>
      </c>
      <c r="B1648" t="s">
        <v>383</v>
      </c>
      <c r="C1648" t="s">
        <v>911</v>
      </c>
      <c r="D1648">
        <v>0</v>
      </c>
      <c r="E1648">
        <v>0</v>
      </c>
      <c r="F1648">
        <v>0</v>
      </c>
    </row>
    <row r="1649" spans="1:6" x14ac:dyDescent="0.25">
      <c r="A1649" s="1">
        <v>44958</v>
      </c>
      <c r="B1649" t="s">
        <v>816</v>
      </c>
      <c r="C1649" t="s">
        <v>870</v>
      </c>
      <c r="D1649" s="2">
        <v>14942293.039999999</v>
      </c>
      <c r="E1649" s="2">
        <v>2463228.39</v>
      </c>
      <c r="F1649" s="2">
        <v>2159573.2200000002</v>
      </c>
    </row>
    <row r="1650" spans="1:6" x14ac:dyDescent="0.25">
      <c r="A1650" s="1">
        <v>44958</v>
      </c>
      <c r="B1650" t="s">
        <v>107</v>
      </c>
      <c r="C1650" t="s">
        <v>926</v>
      </c>
      <c r="D1650" s="2">
        <v>75813240.219999999</v>
      </c>
      <c r="E1650" s="2">
        <v>11307937.85</v>
      </c>
      <c r="F1650" s="2">
        <v>9296926.7100000009</v>
      </c>
    </row>
    <row r="1651" spans="1:6" x14ac:dyDescent="0.25">
      <c r="A1651" s="1">
        <v>44958</v>
      </c>
      <c r="B1651" t="s">
        <v>27</v>
      </c>
      <c r="C1651" t="s">
        <v>535</v>
      </c>
      <c r="D1651" s="2">
        <v>22181013.760000002</v>
      </c>
      <c r="E1651" s="2">
        <v>442105.48</v>
      </c>
      <c r="F1651" s="2">
        <v>301805.61</v>
      </c>
    </row>
    <row r="1652" spans="1:6" x14ac:dyDescent="0.25">
      <c r="A1652" s="1">
        <v>44958</v>
      </c>
      <c r="B1652" t="s">
        <v>65</v>
      </c>
      <c r="C1652" t="s">
        <v>883</v>
      </c>
      <c r="D1652" s="2">
        <v>10867029.130000001</v>
      </c>
      <c r="E1652" s="2">
        <v>534184.41</v>
      </c>
      <c r="F1652" s="2">
        <v>472388.5</v>
      </c>
    </row>
    <row r="1653" spans="1:6" x14ac:dyDescent="0.25">
      <c r="A1653" s="1">
        <v>44958</v>
      </c>
      <c r="B1653" t="s">
        <v>37</v>
      </c>
      <c r="C1653" t="s">
        <v>809</v>
      </c>
      <c r="D1653" s="2">
        <v>110458.94</v>
      </c>
      <c r="E1653" s="2">
        <v>116350.19</v>
      </c>
      <c r="F1653" s="2">
        <v>115334.2</v>
      </c>
    </row>
    <row r="1654" spans="1:6" x14ac:dyDescent="0.25">
      <c r="A1654" s="1">
        <v>44958</v>
      </c>
      <c r="B1654" t="s">
        <v>282</v>
      </c>
      <c r="C1654" t="s">
        <v>1056</v>
      </c>
      <c r="D1654">
        <v>0</v>
      </c>
      <c r="E1654">
        <v>0</v>
      </c>
      <c r="F1654">
        <v>0</v>
      </c>
    </row>
    <row r="1655" spans="1:6" x14ac:dyDescent="0.25">
      <c r="A1655" s="1">
        <v>44958</v>
      </c>
      <c r="B1655" t="s">
        <v>118</v>
      </c>
      <c r="C1655" t="s">
        <v>62</v>
      </c>
      <c r="D1655" s="2">
        <v>603891.72</v>
      </c>
      <c r="E1655" s="2">
        <v>62482.03</v>
      </c>
      <c r="F1655" s="2">
        <v>25752.99</v>
      </c>
    </row>
    <row r="1656" spans="1:6" x14ac:dyDescent="0.25">
      <c r="A1656" s="1">
        <v>44958</v>
      </c>
      <c r="B1656" t="s">
        <v>17</v>
      </c>
      <c r="C1656" t="s">
        <v>1057</v>
      </c>
      <c r="D1656" s="2">
        <v>390135.27</v>
      </c>
      <c r="E1656" s="2">
        <v>390135.27</v>
      </c>
      <c r="F1656">
        <v>0</v>
      </c>
    </row>
    <row r="1657" spans="1:6" x14ac:dyDescent="0.25">
      <c r="A1657" s="1">
        <v>44958</v>
      </c>
      <c r="B1657" t="s">
        <v>23</v>
      </c>
      <c r="C1657" t="s">
        <v>874</v>
      </c>
      <c r="D1657" s="2">
        <v>344459.5</v>
      </c>
      <c r="E1657" s="2">
        <v>77487.11</v>
      </c>
      <c r="F1657" s="2">
        <v>90914.03</v>
      </c>
    </row>
    <row r="1658" spans="1:6" x14ac:dyDescent="0.25">
      <c r="A1658" s="1">
        <v>44958</v>
      </c>
      <c r="B1658" t="s">
        <v>40</v>
      </c>
      <c r="C1658" t="s">
        <v>836</v>
      </c>
      <c r="D1658" s="2">
        <v>49318081.990000002</v>
      </c>
      <c r="E1658" s="2">
        <v>126588.29</v>
      </c>
      <c r="F1658" s="2">
        <v>67147.06</v>
      </c>
    </row>
    <row r="1659" spans="1:6" x14ac:dyDescent="0.25">
      <c r="A1659" s="1">
        <v>44958</v>
      </c>
      <c r="B1659" t="s">
        <v>11</v>
      </c>
      <c r="C1659" t="s">
        <v>705</v>
      </c>
      <c r="D1659">
        <v>0</v>
      </c>
      <c r="E1659" s="2">
        <v>131481506.04000001</v>
      </c>
      <c r="F1659" s="2">
        <v>131481506.04000001</v>
      </c>
    </row>
    <row r="1660" spans="1:6" x14ac:dyDescent="0.25">
      <c r="A1660" s="1">
        <v>44958</v>
      </c>
      <c r="B1660" t="s">
        <v>40</v>
      </c>
      <c r="C1660" t="s">
        <v>766</v>
      </c>
      <c r="D1660" s="2">
        <v>233400</v>
      </c>
      <c r="E1660" s="2">
        <v>49779.96</v>
      </c>
      <c r="F1660" s="2">
        <v>44064</v>
      </c>
    </row>
    <row r="1661" spans="1:6" x14ac:dyDescent="0.25">
      <c r="A1661" s="1">
        <v>44958</v>
      </c>
      <c r="B1661" t="s">
        <v>40</v>
      </c>
      <c r="C1661" t="s">
        <v>825</v>
      </c>
      <c r="D1661" s="2">
        <v>1416566.65</v>
      </c>
      <c r="E1661" s="2">
        <v>41426.379999999997</v>
      </c>
      <c r="F1661" s="2">
        <v>24550.6</v>
      </c>
    </row>
    <row r="1662" spans="1:6" x14ac:dyDescent="0.25">
      <c r="A1662" s="1">
        <v>44958</v>
      </c>
      <c r="B1662" t="s">
        <v>21</v>
      </c>
      <c r="C1662" t="s">
        <v>173</v>
      </c>
      <c r="D1662" s="2">
        <v>12857297</v>
      </c>
      <c r="E1662">
        <v>0</v>
      </c>
      <c r="F1662">
        <v>0</v>
      </c>
    </row>
    <row r="1663" spans="1:6" x14ac:dyDescent="0.25">
      <c r="A1663" s="1">
        <v>44958</v>
      </c>
      <c r="B1663" t="s">
        <v>545</v>
      </c>
      <c r="C1663" t="s">
        <v>738</v>
      </c>
      <c r="D1663">
        <v>0</v>
      </c>
      <c r="E1663">
        <v>0</v>
      </c>
      <c r="F1663">
        <v>0</v>
      </c>
    </row>
    <row r="1664" spans="1:6" x14ac:dyDescent="0.25">
      <c r="A1664" s="1">
        <v>44958</v>
      </c>
      <c r="B1664" t="s">
        <v>50</v>
      </c>
      <c r="C1664" t="s">
        <v>530</v>
      </c>
      <c r="D1664" s="2">
        <v>169707.98</v>
      </c>
      <c r="E1664" s="2">
        <v>122937.3</v>
      </c>
      <c r="F1664" s="2">
        <v>142787.35</v>
      </c>
    </row>
    <row r="1665" spans="1:6" x14ac:dyDescent="0.25">
      <c r="A1665" s="1">
        <v>44958</v>
      </c>
      <c r="B1665" t="s">
        <v>769</v>
      </c>
      <c r="C1665" t="s">
        <v>770</v>
      </c>
      <c r="D1665" s="2">
        <v>35257943.009999998</v>
      </c>
      <c r="E1665" s="2">
        <v>18900069.149999999</v>
      </c>
      <c r="F1665" s="2">
        <v>18184646.510000002</v>
      </c>
    </row>
    <row r="1666" spans="1:6" x14ac:dyDescent="0.25">
      <c r="A1666" s="1">
        <v>44958</v>
      </c>
      <c r="B1666" t="s">
        <v>23</v>
      </c>
      <c r="C1666" t="s">
        <v>603</v>
      </c>
      <c r="D1666" s="2">
        <v>1163455.1599999999</v>
      </c>
      <c r="E1666">
        <v>0</v>
      </c>
      <c r="F1666">
        <v>0</v>
      </c>
    </row>
    <row r="1667" spans="1:6" x14ac:dyDescent="0.25">
      <c r="A1667" s="1">
        <v>44958</v>
      </c>
      <c r="B1667" t="s">
        <v>37</v>
      </c>
      <c r="C1667" t="s">
        <v>570</v>
      </c>
      <c r="D1667" s="2">
        <v>46739.48</v>
      </c>
      <c r="E1667" s="2">
        <v>35147.870000000003</v>
      </c>
      <c r="F1667" s="2">
        <v>27665.87</v>
      </c>
    </row>
    <row r="1668" spans="1:6" x14ac:dyDescent="0.25">
      <c r="A1668" s="1">
        <v>44958</v>
      </c>
      <c r="B1668" t="s">
        <v>50</v>
      </c>
      <c r="C1668" t="s">
        <v>793</v>
      </c>
      <c r="D1668" s="2">
        <v>3804187.69</v>
      </c>
      <c r="E1668" s="2">
        <v>1544594.83</v>
      </c>
      <c r="F1668" s="2">
        <v>1320158.3500000001</v>
      </c>
    </row>
    <row r="1669" spans="1:6" x14ac:dyDescent="0.25">
      <c r="A1669" s="1">
        <v>44958</v>
      </c>
      <c r="B1669" t="s">
        <v>92</v>
      </c>
      <c r="C1669" t="s">
        <v>903</v>
      </c>
      <c r="D1669" s="2">
        <v>839824.88</v>
      </c>
      <c r="E1669" s="2">
        <v>768815.87</v>
      </c>
      <c r="F1669" s="2">
        <v>764989.58</v>
      </c>
    </row>
    <row r="1670" spans="1:6" x14ac:dyDescent="0.25">
      <c r="A1670" s="1">
        <v>44958</v>
      </c>
      <c r="B1670" t="s">
        <v>21</v>
      </c>
      <c r="C1670" t="s">
        <v>22</v>
      </c>
      <c r="D1670" s="2">
        <v>457000</v>
      </c>
      <c r="E1670">
        <v>0</v>
      </c>
      <c r="F1670">
        <v>0</v>
      </c>
    </row>
    <row r="1671" spans="1:6" x14ac:dyDescent="0.25">
      <c r="A1671" s="1">
        <v>44958</v>
      </c>
      <c r="B1671" t="s">
        <v>114</v>
      </c>
      <c r="C1671" t="s">
        <v>597</v>
      </c>
      <c r="D1671" s="2">
        <v>2402179.65</v>
      </c>
      <c r="E1671" s="2">
        <v>2031215.25</v>
      </c>
      <c r="F1671" s="2">
        <v>1980238.95</v>
      </c>
    </row>
    <row r="1672" spans="1:6" x14ac:dyDescent="0.25">
      <c r="A1672" s="1">
        <v>44958</v>
      </c>
      <c r="B1672" t="s">
        <v>46</v>
      </c>
      <c r="C1672" t="s">
        <v>424</v>
      </c>
      <c r="D1672">
        <v>0</v>
      </c>
      <c r="E1672">
        <v>0</v>
      </c>
      <c r="F1672">
        <v>0</v>
      </c>
    </row>
    <row r="1673" spans="1:6" x14ac:dyDescent="0.25">
      <c r="A1673" s="1">
        <v>44958</v>
      </c>
      <c r="B1673" t="s">
        <v>40</v>
      </c>
      <c r="C1673" t="s">
        <v>606</v>
      </c>
      <c r="D1673" s="2">
        <v>1600793.31</v>
      </c>
      <c r="E1673" s="2">
        <v>1322844.1200000001</v>
      </c>
      <c r="F1673" s="2">
        <v>1331961.3999999999</v>
      </c>
    </row>
    <row r="1674" spans="1:6" x14ac:dyDescent="0.25">
      <c r="A1674" s="1">
        <v>44958</v>
      </c>
      <c r="B1674" t="s">
        <v>23</v>
      </c>
      <c r="C1674" t="s">
        <v>896</v>
      </c>
      <c r="D1674" s="2">
        <v>13543025.73</v>
      </c>
      <c r="E1674" s="2">
        <v>6032.65</v>
      </c>
      <c r="F1674" s="2">
        <v>6032.65</v>
      </c>
    </row>
    <row r="1675" spans="1:6" x14ac:dyDescent="0.25">
      <c r="A1675" s="1">
        <v>44958</v>
      </c>
      <c r="B1675" t="s">
        <v>296</v>
      </c>
      <c r="C1675" t="s">
        <v>297</v>
      </c>
      <c r="D1675" s="2">
        <v>60022955.880000003</v>
      </c>
      <c r="E1675" s="2">
        <v>2700.37</v>
      </c>
      <c r="F1675" s="2">
        <v>2700.37</v>
      </c>
    </row>
    <row r="1676" spans="1:6" x14ac:dyDescent="0.25">
      <c r="A1676" s="1">
        <v>44958</v>
      </c>
      <c r="B1676" t="s">
        <v>17</v>
      </c>
      <c r="C1676" t="s">
        <v>268</v>
      </c>
      <c r="D1676">
        <v>0</v>
      </c>
      <c r="E1676">
        <v>0</v>
      </c>
      <c r="F1676">
        <v>0</v>
      </c>
    </row>
    <row r="1677" spans="1:6" x14ac:dyDescent="0.25">
      <c r="A1677" s="1">
        <v>44958</v>
      </c>
      <c r="B1677" t="s">
        <v>107</v>
      </c>
      <c r="C1677" t="s">
        <v>921</v>
      </c>
      <c r="D1677" s="2">
        <v>67025490.049999997</v>
      </c>
      <c r="E1677" s="2">
        <v>65535551.659999996</v>
      </c>
      <c r="F1677" s="2">
        <v>65880578.530000001</v>
      </c>
    </row>
    <row r="1678" spans="1:6" x14ac:dyDescent="0.25">
      <c r="A1678" s="1">
        <v>44958</v>
      </c>
      <c r="B1678" t="s">
        <v>619</v>
      </c>
      <c r="C1678" t="s">
        <v>917</v>
      </c>
      <c r="D1678" s="2">
        <v>4726353.8499999996</v>
      </c>
      <c r="E1678" s="2">
        <v>1864993.77</v>
      </c>
      <c r="F1678" s="2">
        <v>1412697.61</v>
      </c>
    </row>
    <row r="1679" spans="1:6" x14ac:dyDescent="0.25">
      <c r="A1679" s="1">
        <v>44958</v>
      </c>
      <c r="B1679" t="s">
        <v>46</v>
      </c>
      <c r="C1679" t="s">
        <v>712</v>
      </c>
      <c r="D1679" s="2">
        <v>18610610.100000001</v>
      </c>
      <c r="E1679" s="2">
        <v>16887697.109999999</v>
      </c>
      <c r="F1679" s="2">
        <v>364653.36</v>
      </c>
    </row>
    <row r="1680" spans="1:6" x14ac:dyDescent="0.25">
      <c r="A1680" s="1">
        <v>44958</v>
      </c>
      <c r="B1680" t="s">
        <v>23</v>
      </c>
      <c r="C1680" t="s">
        <v>708</v>
      </c>
      <c r="D1680" s="2">
        <v>48665.7</v>
      </c>
      <c r="E1680" s="2">
        <v>97931.64</v>
      </c>
      <c r="F1680" s="2">
        <v>59111.39</v>
      </c>
    </row>
    <row r="1681" spans="1:6" x14ac:dyDescent="0.25">
      <c r="A1681" s="1">
        <v>44958</v>
      </c>
      <c r="B1681" t="s">
        <v>213</v>
      </c>
      <c r="C1681" t="s">
        <v>533</v>
      </c>
      <c r="D1681">
        <v>0</v>
      </c>
      <c r="E1681">
        <v>0</v>
      </c>
      <c r="F1681">
        <v>0</v>
      </c>
    </row>
    <row r="1682" spans="1:6" x14ac:dyDescent="0.25">
      <c r="A1682" s="1">
        <v>44958</v>
      </c>
      <c r="B1682" t="s">
        <v>187</v>
      </c>
      <c r="C1682" t="s">
        <v>812</v>
      </c>
      <c r="D1682" s="2">
        <v>2856194.61</v>
      </c>
      <c r="E1682" s="2">
        <v>716741.25</v>
      </c>
      <c r="F1682" s="2">
        <v>699548.3</v>
      </c>
    </row>
    <row r="1683" spans="1:6" x14ac:dyDescent="0.25">
      <c r="A1683" s="1">
        <v>44958</v>
      </c>
      <c r="B1683" t="s">
        <v>40</v>
      </c>
      <c r="C1683" t="s">
        <v>801</v>
      </c>
      <c r="D1683" s="2">
        <v>5448537.5199999996</v>
      </c>
      <c r="E1683" s="2">
        <v>1890468.82</v>
      </c>
      <c r="F1683" s="2">
        <v>1644474.57</v>
      </c>
    </row>
    <row r="1684" spans="1:6" x14ac:dyDescent="0.25">
      <c r="A1684" s="1">
        <v>44958</v>
      </c>
      <c r="B1684" t="s">
        <v>23</v>
      </c>
      <c r="C1684" t="s">
        <v>482</v>
      </c>
      <c r="D1684" s="2">
        <v>10060000</v>
      </c>
      <c r="E1684" s="2">
        <v>-12996.21</v>
      </c>
      <c r="F1684" s="2">
        <v>-15652.41</v>
      </c>
    </row>
    <row r="1685" spans="1:6" x14ac:dyDescent="0.25">
      <c r="A1685" s="1">
        <v>44958</v>
      </c>
      <c r="B1685" t="s">
        <v>816</v>
      </c>
      <c r="C1685" t="s">
        <v>817</v>
      </c>
      <c r="D1685" s="2">
        <v>217047009.31999999</v>
      </c>
      <c r="E1685" s="2">
        <v>75089697.359999999</v>
      </c>
      <c r="F1685" s="2">
        <v>91678161.579999998</v>
      </c>
    </row>
    <row r="1686" spans="1:6" x14ac:dyDescent="0.25">
      <c r="A1686" s="1">
        <v>44958</v>
      </c>
      <c r="B1686" t="s">
        <v>752</v>
      </c>
      <c r="C1686" t="s">
        <v>753</v>
      </c>
      <c r="D1686">
        <v>0</v>
      </c>
      <c r="E1686">
        <v>0</v>
      </c>
      <c r="F1686">
        <v>0</v>
      </c>
    </row>
    <row r="1687" spans="1:6" x14ac:dyDescent="0.25">
      <c r="A1687" s="1">
        <v>44958</v>
      </c>
      <c r="B1687" t="s">
        <v>23</v>
      </c>
      <c r="C1687" t="s">
        <v>305</v>
      </c>
      <c r="D1687" s="2">
        <v>18773728.760000002</v>
      </c>
      <c r="E1687" s="2">
        <v>29322736.27</v>
      </c>
      <c r="F1687" s="2">
        <v>30465861.510000002</v>
      </c>
    </row>
    <row r="1688" spans="1:6" x14ac:dyDescent="0.25">
      <c r="A1688" s="1">
        <v>44958</v>
      </c>
      <c r="B1688" t="s">
        <v>37</v>
      </c>
      <c r="C1688" t="s">
        <v>734</v>
      </c>
      <c r="D1688">
        <v>0</v>
      </c>
      <c r="E1688">
        <v>0</v>
      </c>
      <c r="F1688">
        <v>0</v>
      </c>
    </row>
    <row r="1689" spans="1:6" x14ac:dyDescent="0.25">
      <c r="A1689" s="1">
        <v>44958</v>
      </c>
      <c r="B1689" t="s">
        <v>40</v>
      </c>
      <c r="C1689" t="s">
        <v>729</v>
      </c>
      <c r="D1689" s="2">
        <v>125204968.72</v>
      </c>
      <c r="E1689" s="2">
        <v>39498993.369999997</v>
      </c>
      <c r="F1689" s="2">
        <v>41016839.689999998</v>
      </c>
    </row>
    <row r="1690" spans="1:6" x14ac:dyDescent="0.25">
      <c r="A1690" s="1">
        <v>44958</v>
      </c>
      <c r="B1690" t="s">
        <v>21</v>
      </c>
      <c r="C1690" t="s">
        <v>470</v>
      </c>
      <c r="D1690" s="2">
        <v>1893154431.53</v>
      </c>
      <c r="E1690" s="2">
        <v>10849714.32</v>
      </c>
      <c r="F1690" s="2">
        <v>10715158.859999999</v>
      </c>
    </row>
    <row r="1691" spans="1:6" x14ac:dyDescent="0.25">
      <c r="A1691" s="1">
        <v>44958</v>
      </c>
      <c r="B1691" t="s">
        <v>101</v>
      </c>
      <c r="C1691" t="s">
        <v>861</v>
      </c>
      <c r="D1691" s="2">
        <v>2533193.4900000002</v>
      </c>
      <c r="E1691" s="2">
        <v>7633.05</v>
      </c>
      <c r="F1691" s="2">
        <v>7633.05</v>
      </c>
    </row>
    <row r="1692" spans="1:6" x14ac:dyDescent="0.25">
      <c r="A1692" s="1">
        <v>44958</v>
      </c>
      <c r="B1692" t="s">
        <v>154</v>
      </c>
      <c r="C1692" t="s">
        <v>716</v>
      </c>
      <c r="D1692" s="2">
        <v>2980093.64</v>
      </c>
      <c r="E1692" s="2">
        <v>329801.44</v>
      </c>
      <c r="F1692" s="2">
        <v>331017.53000000003</v>
      </c>
    </row>
    <row r="1693" spans="1:6" x14ac:dyDescent="0.25">
      <c r="A1693" s="1">
        <v>44958</v>
      </c>
      <c r="B1693" t="s">
        <v>92</v>
      </c>
      <c r="C1693" t="s">
        <v>909</v>
      </c>
      <c r="D1693" s="2">
        <v>72972768.109999999</v>
      </c>
      <c r="E1693" s="2">
        <v>68317785.459999993</v>
      </c>
      <c r="F1693" s="2">
        <v>68065629.760000005</v>
      </c>
    </row>
    <row r="1694" spans="1:6" x14ac:dyDescent="0.25">
      <c r="A1694" s="1">
        <v>44958</v>
      </c>
      <c r="B1694" t="s">
        <v>23</v>
      </c>
      <c r="C1694" t="s">
        <v>864</v>
      </c>
      <c r="D1694" s="2">
        <v>1254905.74</v>
      </c>
      <c r="E1694" s="2">
        <v>487613.07</v>
      </c>
      <c r="F1694" s="2">
        <v>74704.97</v>
      </c>
    </row>
    <row r="1695" spans="1:6" x14ac:dyDescent="0.25">
      <c r="A1695" s="1">
        <v>44958</v>
      </c>
      <c r="B1695" t="s">
        <v>44</v>
      </c>
      <c r="C1695" t="s">
        <v>684</v>
      </c>
      <c r="D1695" s="2">
        <v>269530.32</v>
      </c>
      <c r="E1695" s="2">
        <v>151027.69</v>
      </c>
      <c r="F1695" s="2">
        <v>150057.82</v>
      </c>
    </row>
    <row r="1696" spans="1:6" x14ac:dyDescent="0.25">
      <c r="A1696" s="1">
        <v>44958</v>
      </c>
      <c r="B1696" t="s">
        <v>46</v>
      </c>
      <c r="C1696" t="s">
        <v>590</v>
      </c>
      <c r="D1696" s="2">
        <v>237573.53</v>
      </c>
      <c r="E1696" s="2">
        <v>46979.9</v>
      </c>
      <c r="F1696" s="2">
        <v>46979.9</v>
      </c>
    </row>
    <row r="1697" spans="1:6" x14ac:dyDescent="0.25">
      <c r="A1697" s="1">
        <v>44958</v>
      </c>
      <c r="B1697" t="s">
        <v>490</v>
      </c>
      <c r="C1697" t="s">
        <v>875</v>
      </c>
      <c r="D1697" s="2">
        <v>9555578.5700000003</v>
      </c>
      <c r="E1697" s="2">
        <v>1423509.76</v>
      </c>
      <c r="F1697" s="2">
        <v>450976.06</v>
      </c>
    </row>
    <row r="1698" spans="1:6" x14ac:dyDescent="0.25">
      <c r="A1698" s="1">
        <v>44958</v>
      </c>
      <c r="B1698" t="s">
        <v>11</v>
      </c>
      <c r="C1698" t="s">
        <v>300</v>
      </c>
      <c r="D1698">
        <v>0</v>
      </c>
      <c r="E1698" s="2">
        <v>87623717.359999999</v>
      </c>
      <c r="F1698" s="2">
        <v>87623717.359999999</v>
      </c>
    </row>
    <row r="1699" spans="1:6" x14ac:dyDescent="0.25">
      <c r="A1699" s="1">
        <v>44958</v>
      </c>
      <c r="B1699" t="s">
        <v>46</v>
      </c>
      <c r="C1699" t="s">
        <v>820</v>
      </c>
      <c r="D1699" s="2">
        <v>400000</v>
      </c>
      <c r="E1699" s="2">
        <v>32513.279999999999</v>
      </c>
      <c r="F1699" s="2">
        <v>21097.27</v>
      </c>
    </row>
    <row r="1700" spans="1:6" x14ac:dyDescent="0.25">
      <c r="A1700" s="1">
        <v>44958</v>
      </c>
      <c r="B1700" t="s">
        <v>23</v>
      </c>
      <c r="C1700" t="s">
        <v>891</v>
      </c>
      <c r="D1700" s="2">
        <v>175349.25</v>
      </c>
      <c r="E1700" s="2">
        <v>1469.75</v>
      </c>
      <c r="F1700" s="2">
        <v>1469.75</v>
      </c>
    </row>
    <row r="1701" spans="1:6" x14ac:dyDescent="0.25">
      <c r="A1701" s="1">
        <v>44958</v>
      </c>
      <c r="B1701" t="s">
        <v>118</v>
      </c>
      <c r="C1701" t="s">
        <v>277</v>
      </c>
      <c r="D1701" s="2">
        <v>48000</v>
      </c>
      <c r="E1701">
        <v>0</v>
      </c>
      <c r="F1701">
        <v>0</v>
      </c>
    </row>
    <row r="1702" spans="1:6" x14ac:dyDescent="0.25">
      <c r="A1702" s="1">
        <v>44958</v>
      </c>
      <c r="B1702" t="s">
        <v>476</v>
      </c>
      <c r="C1702" t="s">
        <v>853</v>
      </c>
      <c r="D1702" s="2">
        <v>1789450.9</v>
      </c>
      <c r="E1702" s="2">
        <v>820794</v>
      </c>
      <c r="F1702" s="2">
        <v>601091.65</v>
      </c>
    </row>
    <row r="1703" spans="1:6" x14ac:dyDescent="0.25">
      <c r="A1703" s="1">
        <v>44958</v>
      </c>
      <c r="B1703" t="s">
        <v>29</v>
      </c>
      <c r="C1703" t="s">
        <v>292</v>
      </c>
      <c r="D1703" s="2">
        <v>302822</v>
      </c>
      <c r="E1703" s="2">
        <v>302822</v>
      </c>
      <c r="F1703" s="2">
        <v>302822</v>
      </c>
    </row>
    <row r="1704" spans="1:6" x14ac:dyDescent="0.25">
      <c r="A1704" s="1">
        <v>44958</v>
      </c>
      <c r="B1704" t="s">
        <v>234</v>
      </c>
      <c r="C1704" t="s">
        <v>646</v>
      </c>
      <c r="D1704" s="2">
        <v>909677.66</v>
      </c>
      <c r="E1704" s="2">
        <v>800109.86</v>
      </c>
      <c r="F1704" s="2">
        <v>794273.65</v>
      </c>
    </row>
    <row r="1705" spans="1:6" x14ac:dyDescent="0.25">
      <c r="A1705" s="1">
        <v>44958</v>
      </c>
      <c r="B1705" t="s">
        <v>206</v>
      </c>
      <c r="C1705" t="s">
        <v>878</v>
      </c>
      <c r="D1705" s="2">
        <v>7996182.2999999998</v>
      </c>
      <c r="E1705" s="2">
        <v>1780114.41</v>
      </c>
      <c r="F1705" s="2">
        <v>1440086.74</v>
      </c>
    </row>
    <row r="1706" spans="1:6" x14ac:dyDescent="0.25">
      <c r="A1706" s="1">
        <v>44958</v>
      </c>
      <c r="B1706" t="s">
        <v>40</v>
      </c>
      <c r="C1706" t="s">
        <v>629</v>
      </c>
      <c r="D1706" s="2">
        <v>380790.31</v>
      </c>
      <c r="E1706" s="2">
        <v>153417.73000000001</v>
      </c>
      <c r="F1706" s="2">
        <v>142031.1</v>
      </c>
    </row>
    <row r="1707" spans="1:6" x14ac:dyDescent="0.25">
      <c r="A1707" s="1">
        <v>44958</v>
      </c>
      <c r="B1707" t="s">
        <v>263</v>
      </c>
      <c r="C1707" t="s">
        <v>824</v>
      </c>
      <c r="D1707" s="2">
        <v>11544622.800000001</v>
      </c>
      <c r="E1707" s="2">
        <v>6264240.79</v>
      </c>
      <c r="F1707" s="2">
        <v>2725179.87</v>
      </c>
    </row>
    <row r="1708" spans="1:6" x14ac:dyDescent="0.25">
      <c r="A1708" s="1">
        <v>44958</v>
      </c>
      <c r="B1708" t="s">
        <v>1058</v>
      </c>
      <c r="C1708" t="s">
        <v>1059</v>
      </c>
      <c r="D1708">
        <v>0</v>
      </c>
      <c r="E1708">
        <v>0</v>
      </c>
      <c r="F1708">
        <v>0</v>
      </c>
    </row>
    <row r="1709" spans="1:6" x14ac:dyDescent="0.25">
      <c r="A1709" s="1">
        <v>44958</v>
      </c>
      <c r="B1709" t="s">
        <v>44</v>
      </c>
      <c r="C1709" t="s">
        <v>838</v>
      </c>
      <c r="D1709" s="2">
        <v>7296670.0999999996</v>
      </c>
      <c r="E1709" s="2">
        <v>3474379.18</v>
      </c>
      <c r="F1709" s="2">
        <v>1366735.89</v>
      </c>
    </row>
    <row r="1710" spans="1:6" x14ac:dyDescent="0.25">
      <c r="A1710" s="1">
        <v>44958</v>
      </c>
      <c r="B1710" t="s">
        <v>40</v>
      </c>
      <c r="C1710" t="s">
        <v>923</v>
      </c>
      <c r="D1710" s="2">
        <v>1491348.86</v>
      </c>
      <c r="E1710" s="2">
        <v>35767.129999999997</v>
      </c>
      <c r="F1710" s="2">
        <v>14880.52</v>
      </c>
    </row>
    <row r="1711" spans="1:6" x14ac:dyDescent="0.25">
      <c r="A1711" s="1">
        <v>44958</v>
      </c>
      <c r="B1711" t="s">
        <v>107</v>
      </c>
      <c r="C1711" t="s">
        <v>890</v>
      </c>
      <c r="D1711" s="2">
        <v>25603313.199999999</v>
      </c>
      <c r="E1711" s="2">
        <v>7301084.9199999999</v>
      </c>
      <c r="F1711" s="2">
        <v>1189253.05</v>
      </c>
    </row>
    <row r="1712" spans="1:6" x14ac:dyDescent="0.25">
      <c r="A1712" s="1">
        <v>44958</v>
      </c>
      <c r="B1712" t="s">
        <v>25</v>
      </c>
      <c r="C1712" t="s">
        <v>865</v>
      </c>
      <c r="D1712" s="2">
        <v>201462.42</v>
      </c>
      <c r="E1712" s="2">
        <v>141385.78</v>
      </c>
      <c r="F1712" s="2">
        <v>121626.96</v>
      </c>
    </row>
    <row r="1713" spans="1:6" x14ac:dyDescent="0.25">
      <c r="A1713" s="1">
        <v>44958</v>
      </c>
      <c r="B1713" t="s">
        <v>490</v>
      </c>
      <c r="C1713" t="s">
        <v>538</v>
      </c>
      <c r="D1713" s="2">
        <v>64304500</v>
      </c>
      <c r="E1713" s="2">
        <v>31356590.620000001</v>
      </c>
      <c r="F1713" s="2">
        <v>20998901</v>
      </c>
    </row>
    <row r="1714" spans="1:6" x14ac:dyDescent="0.25">
      <c r="A1714" s="1">
        <v>44958</v>
      </c>
      <c r="B1714" t="s">
        <v>48</v>
      </c>
      <c r="C1714" t="s">
        <v>818</v>
      </c>
      <c r="D1714" s="2">
        <v>981446.67</v>
      </c>
      <c r="E1714" s="2">
        <v>400874.95</v>
      </c>
      <c r="F1714" s="2">
        <v>280990.05</v>
      </c>
    </row>
    <row r="1715" spans="1:6" x14ac:dyDescent="0.25">
      <c r="A1715" s="1">
        <v>44958</v>
      </c>
      <c r="B1715" t="s">
        <v>23</v>
      </c>
      <c r="C1715" t="s">
        <v>575</v>
      </c>
      <c r="D1715">
        <v>0</v>
      </c>
      <c r="E1715">
        <v>0</v>
      </c>
      <c r="F1715">
        <v>0</v>
      </c>
    </row>
    <row r="1716" spans="1:6" x14ac:dyDescent="0.25">
      <c r="A1716" s="1">
        <v>44958</v>
      </c>
      <c r="B1716" t="s">
        <v>17</v>
      </c>
      <c r="C1716" t="s">
        <v>256</v>
      </c>
      <c r="D1716" s="2">
        <v>10139526.779999999</v>
      </c>
      <c r="E1716" s="2">
        <v>155708.78</v>
      </c>
      <c r="F1716" s="2">
        <v>155708.78</v>
      </c>
    </row>
    <row r="1717" spans="1:6" x14ac:dyDescent="0.25">
      <c r="A1717" s="1">
        <v>44958</v>
      </c>
      <c r="B1717" t="s">
        <v>107</v>
      </c>
      <c r="C1717" t="s">
        <v>912</v>
      </c>
      <c r="D1717" s="2">
        <v>75609295.489999995</v>
      </c>
      <c r="E1717" s="2">
        <v>37706731.770000003</v>
      </c>
      <c r="F1717" s="2">
        <v>20185927.75</v>
      </c>
    </row>
    <row r="1718" spans="1:6" x14ac:dyDescent="0.25">
      <c r="A1718" s="1">
        <v>44958</v>
      </c>
      <c r="B1718" t="s">
        <v>118</v>
      </c>
      <c r="C1718" t="s">
        <v>885</v>
      </c>
      <c r="D1718">
        <v>0</v>
      </c>
      <c r="E1718">
        <v>0</v>
      </c>
      <c r="F1718">
        <v>0</v>
      </c>
    </row>
    <row r="1719" spans="1:6" x14ac:dyDescent="0.25">
      <c r="A1719" s="1">
        <v>44958</v>
      </c>
      <c r="B1719" t="s">
        <v>114</v>
      </c>
      <c r="C1719" t="s">
        <v>829</v>
      </c>
      <c r="D1719" s="2">
        <v>20712619.84</v>
      </c>
      <c r="E1719" s="2">
        <v>9724079.7300000004</v>
      </c>
      <c r="F1719" s="2">
        <v>6100785.4500000002</v>
      </c>
    </row>
    <row r="1720" spans="1:6" x14ac:dyDescent="0.25">
      <c r="A1720" s="1">
        <v>44958</v>
      </c>
      <c r="B1720" t="s">
        <v>23</v>
      </c>
      <c r="C1720" t="s">
        <v>56</v>
      </c>
      <c r="D1720" s="2">
        <v>10349575.789999999</v>
      </c>
      <c r="E1720" s="2">
        <v>459897.02</v>
      </c>
      <c r="F1720" s="2">
        <v>352653.78</v>
      </c>
    </row>
    <row r="1721" spans="1:6" x14ac:dyDescent="0.25">
      <c r="A1721" s="1">
        <v>44958</v>
      </c>
      <c r="B1721" t="s">
        <v>23</v>
      </c>
      <c r="C1721" t="s">
        <v>869</v>
      </c>
      <c r="D1721">
        <v>0</v>
      </c>
      <c r="E1721" s="2">
        <v>169282.01</v>
      </c>
      <c r="F1721" s="2">
        <v>171883.11</v>
      </c>
    </row>
    <row r="1722" spans="1:6" x14ac:dyDescent="0.25">
      <c r="A1722" s="1">
        <v>44958</v>
      </c>
      <c r="B1722" t="s">
        <v>100</v>
      </c>
      <c r="C1722" t="s">
        <v>1060</v>
      </c>
      <c r="D1722">
        <v>0</v>
      </c>
      <c r="E1722">
        <v>0</v>
      </c>
      <c r="F1722">
        <v>0</v>
      </c>
    </row>
    <row r="1723" spans="1:6" x14ac:dyDescent="0.25">
      <c r="A1723" s="1">
        <v>44958</v>
      </c>
      <c r="B1723" t="s">
        <v>143</v>
      </c>
      <c r="C1723" t="s">
        <v>858</v>
      </c>
      <c r="D1723" s="2">
        <v>952756.26</v>
      </c>
      <c r="E1723" s="2">
        <v>100926909.44</v>
      </c>
      <c r="F1723" s="2">
        <v>105228304.39</v>
      </c>
    </row>
    <row r="1724" spans="1:6" x14ac:dyDescent="0.25">
      <c r="A1724" s="1">
        <v>44958</v>
      </c>
      <c r="B1724" t="s">
        <v>585</v>
      </c>
      <c r="C1724" t="s">
        <v>1061</v>
      </c>
      <c r="D1724">
        <v>0</v>
      </c>
      <c r="E1724">
        <v>0</v>
      </c>
      <c r="F1724">
        <v>0</v>
      </c>
    </row>
    <row r="1725" spans="1:6" x14ac:dyDescent="0.25">
      <c r="A1725" s="1">
        <v>44958</v>
      </c>
      <c r="B1725" t="s">
        <v>40</v>
      </c>
      <c r="C1725" t="s">
        <v>718</v>
      </c>
      <c r="D1725" s="2">
        <v>21531659.5</v>
      </c>
      <c r="E1725" s="2">
        <v>1000</v>
      </c>
      <c r="F1725" s="2">
        <v>1000</v>
      </c>
    </row>
    <row r="1726" spans="1:6" x14ac:dyDescent="0.25">
      <c r="A1726" s="1">
        <v>44958</v>
      </c>
      <c r="B1726" t="s">
        <v>216</v>
      </c>
      <c r="C1726" t="s">
        <v>806</v>
      </c>
      <c r="D1726" s="2">
        <v>4621785.67</v>
      </c>
      <c r="E1726" s="2">
        <v>551854.84</v>
      </c>
      <c r="F1726" s="2">
        <v>201203.86</v>
      </c>
    </row>
    <row r="1727" spans="1:6" x14ac:dyDescent="0.25">
      <c r="A1727" s="1">
        <v>44958</v>
      </c>
      <c r="B1727" t="s">
        <v>251</v>
      </c>
      <c r="C1727" t="s">
        <v>750</v>
      </c>
      <c r="D1727" s="2">
        <v>19644975.68</v>
      </c>
      <c r="E1727" s="2">
        <v>20319767.550000001</v>
      </c>
      <c r="F1727" s="2">
        <v>18794115.66</v>
      </c>
    </row>
    <row r="1728" spans="1:6" x14ac:dyDescent="0.25">
      <c r="A1728" s="1">
        <v>44958</v>
      </c>
      <c r="B1728" t="s">
        <v>23</v>
      </c>
      <c r="C1728" t="s">
        <v>371</v>
      </c>
      <c r="D1728" s="2">
        <v>34947.620000000003</v>
      </c>
      <c r="E1728" s="2">
        <v>1328.1</v>
      </c>
      <c r="F1728">
        <v>0</v>
      </c>
    </row>
    <row r="1729" spans="1:6" x14ac:dyDescent="0.25">
      <c r="A1729" s="1">
        <v>44958</v>
      </c>
      <c r="B1729" t="s">
        <v>225</v>
      </c>
      <c r="C1729" t="s">
        <v>315</v>
      </c>
      <c r="D1729">
        <v>0</v>
      </c>
      <c r="E1729">
        <v>0</v>
      </c>
      <c r="F1729">
        <v>0</v>
      </c>
    </row>
    <row r="1730" spans="1:6" x14ac:dyDescent="0.25">
      <c r="A1730" s="1">
        <v>44958</v>
      </c>
      <c r="B1730" t="s">
        <v>114</v>
      </c>
      <c r="C1730" t="s">
        <v>690</v>
      </c>
      <c r="D1730" s="2">
        <v>167912055.69999999</v>
      </c>
      <c r="E1730" s="2">
        <v>15568632</v>
      </c>
      <c r="F1730" s="2">
        <v>14929247.060000001</v>
      </c>
    </row>
    <row r="1731" spans="1:6" x14ac:dyDescent="0.25">
      <c r="A1731" s="1">
        <v>44958</v>
      </c>
      <c r="B1731" t="s">
        <v>132</v>
      </c>
      <c r="C1731" t="s">
        <v>543</v>
      </c>
      <c r="D1731" s="2">
        <v>4432337802.1599998</v>
      </c>
      <c r="E1731" s="2">
        <v>4386830949.2399998</v>
      </c>
      <c r="F1731" s="2">
        <v>4341388837.2799997</v>
      </c>
    </row>
    <row r="1732" spans="1:6" x14ac:dyDescent="0.25">
      <c r="A1732" s="1">
        <v>44958</v>
      </c>
      <c r="B1732" t="s">
        <v>132</v>
      </c>
      <c r="C1732" t="s">
        <v>613</v>
      </c>
      <c r="D1732" s="2">
        <v>16131380.550000001</v>
      </c>
      <c r="E1732">
        <v>0</v>
      </c>
      <c r="F1732">
        <v>0</v>
      </c>
    </row>
    <row r="1733" spans="1:6" x14ac:dyDescent="0.25">
      <c r="A1733" s="1">
        <v>44958</v>
      </c>
      <c r="B1733" t="s">
        <v>42</v>
      </c>
      <c r="C1733" t="s">
        <v>894</v>
      </c>
      <c r="D1733" s="2">
        <v>7146965.3399999999</v>
      </c>
      <c r="E1733" s="2">
        <v>74244813.790000007</v>
      </c>
      <c r="F1733" s="2">
        <v>75896913.069999993</v>
      </c>
    </row>
    <row r="1734" spans="1:6" x14ac:dyDescent="0.25">
      <c r="A1734" s="1">
        <v>44958</v>
      </c>
      <c r="B1734" t="s">
        <v>619</v>
      </c>
      <c r="C1734" t="s">
        <v>848</v>
      </c>
      <c r="D1734" s="2">
        <v>918742.68</v>
      </c>
      <c r="E1734" s="2">
        <v>522187.46</v>
      </c>
      <c r="F1734" s="2">
        <v>461874.44</v>
      </c>
    </row>
    <row r="1735" spans="1:6" x14ac:dyDescent="0.25">
      <c r="A1735" s="1">
        <v>44958</v>
      </c>
      <c r="B1735" t="s">
        <v>46</v>
      </c>
      <c r="C1735" t="s">
        <v>618</v>
      </c>
      <c r="D1735" s="2">
        <v>130242282.93000001</v>
      </c>
      <c r="E1735" s="2">
        <v>123808587.34999999</v>
      </c>
      <c r="F1735" s="2">
        <v>120162055.19</v>
      </c>
    </row>
    <row r="1736" spans="1:6" x14ac:dyDescent="0.25">
      <c r="A1736" s="1">
        <v>44958</v>
      </c>
      <c r="B1736" t="s">
        <v>114</v>
      </c>
      <c r="C1736" t="s">
        <v>1062</v>
      </c>
      <c r="D1736">
        <v>0</v>
      </c>
      <c r="E1736">
        <v>0</v>
      </c>
      <c r="F1736">
        <v>0</v>
      </c>
    </row>
    <row r="1737" spans="1:6" x14ac:dyDescent="0.25">
      <c r="A1737" s="1">
        <v>44958</v>
      </c>
      <c r="B1737" t="s">
        <v>23</v>
      </c>
      <c r="C1737" t="s">
        <v>915</v>
      </c>
      <c r="D1737" s="2">
        <v>49254640.609999999</v>
      </c>
      <c r="E1737" s="2">
        <v>4927104.3600000003</v>
      </c>
      <c r="F1737" s="2">
        <v>1992957.43</v>
      </c>
    </row>
    <row r="1738" spans="1:6" x14ac:dyDescent="0.25">
      <c r="A1738" s="1">
        <v>44958</v>
      </c>
      <c r="B1738" t="s">
        <v>476</v>
      </c>
      <c r="C1738" t="s">
        <v>904</v>
      </c>
      <c r="D1738" s="2">
        <v>1865192.07</v>
      </c>
      <c r="E1738" s="2">
        <v>321698.53000000003</v>
      </c>
      <c r="F1738" s="2">
        <v>295266.71000000002</v>
      </c>
    </row>
    <row r="1739" spans="1:6" x14ac:dyDescent="0.25">
      <c r="A1739" s="1">
        <v>44958</v>
      </c>
      <c r="B1739" t="s">
        <v>31</v>
      </c>
      <c r="C1739" t="s">
        <v>82</v>
      </c>
      <c r="D1739" s="2">
        <v>53500</v>
      </c>
      <c r="E1739" s="2">
        <v>9484.82</v>
      </c>
      <c r="F1739" s="2">
        <v>8536.3700000000008</v>
      </c>
    </row>
    <row r="1740" spans="1:6" x14ac:dyDescent="0.25">
      <c r="A1740" s="1">
        <v>44958</v>
      </c>
      <c r="B1740" t="s">
        <v>107</v>
      </c>
      <c r="C1740" t="s">
        <v>615</v>
      </c>
      <c r="D1740" s="2">
        <v>16010338.77</v>
      </c>
      <c r="E1740" s="2">
        <v>8750320.6500000004</v>
      </c>
      <c r="F1740" s="2">
        <v>6542038.3399999999</v>
      </c>
    </row>
    <row r="1741" spans="1:6" x14ac:dyDescent="0.25">
      <c r="A1741" s="1">
        <v>44958</v>
      </c>
      <c r="B1741" t="s">
        <v>68</v>
      </c>
      <c r="C1741" t="s">
        <v>137</v>
      </c>
      <c r="D1741" s="2">
        <v>13051256.52</v>
      </c>
      <c r="E1741" s="2">
        <v>5259088.84</v>
      </c>
      <c r="F1741" s="2">
        <v>1774624.64</v>
      </c>
    </row>
    <row r="1742" spans="1:6" x14ac:dyDescent="0.25">
      <c r="A1742" s="1">
        <v>44958</v>
      </c>
      <c r="B1742" t="s">
        <v>46</v>
      </c>
      <c r="C1742" t="s">
        <v>584</v>
      </c>
      <c r="D1742" s="2">
        <v>8551135.9000000004</v>
      </c>
      <c r="E1742" s="2">
        <v>1358860.01</v>
      </c>
      <c r="F1742" s="2">
        <v>658564.18000000005</v>
      </c>
    </row>
    <row r="1743" spans="1:6" x14ac:dyDescent="0.25">
      <c r="A1743" s="1">
        <v>44958</v>
      </c>
      <c r="B1743" t="s">
        <v>37</v>
      </c>
      <c r="C1743" t="s">
        <v>784</v>
      </c>
      <c r="D1743" s="2">
        <v>1302023.18</v>
      </c>
      <c r="E1743" s="2">
        <v>1172505.02</v>
      </c>
      <c r="F1743" s="2">
        <v>1418961.15</v>
      </c>
    </row>
    <row r="1744" spans="1:6" x14ac:dyDescent="0.25">
      <c r="A1744" s="1">
        <v>44958</v>
      </c>
      <c r="B1744" t="s">
        <v>490</v>
      </c>
      <c r="C1744" t="s">
        <v>880</v>
      </c>
      <c r="D1744">
        <v>0</v>
      </c>
      <c r="E1744">
        <v>0</v>
      </c>
      <c r="F1744">
        <v>0</v>
      </c>
    </row>
    <row r="1745" spans="1:6" x14ac:dyDescent="0.25">
      <c r="A1745" s="1">
        <v>44958</v>
      </c>
      <c r="B1745" t="s">
        <v>23</v>
      </c>
      <c r="C1745" t="s">
        <v>633</v>
      </c>
      <c r="D1745" s="2">
        <v>6554545.5</v>
      </c>
      <c r="E1745">
        <v>0</v>
      </c>
      <c r="F1745">
        <v>0</v>
      </c>
    </row>
    <row r="1746" spans="1:6" x14ac:dyDescent="0.25">
      <c r="A1746" s="1">
        <v>44958</v>
      </c>
      <c r="B1746" t="s">
        <v>23</v>
      </c>
      <c r="C1746" t="s">
        <v>761</v>
      </c>
      <c r="D1746" s="2">
        <v>63113790.509999998</v>
      </c>
      <c r="E1746" s="2">
        <v>13637430.59</v>
      </c>
      <c r="F1746" s="2">
        <v>11316344.199999999</v>
      </c>
    </row>
    <row r="1747" spans="1:6" x14ac:dyDescent="0.25">
      <c r="A1747" s="1">
        <v>44958</v>
      </c>
      <c r="B1747" t="s">
        <v>107</v>
      </c>
      <c r="C1747" t="s">
        <v>197</v>
      </c>
      <c r="D1747" s="2">
        <v>39850630.600000001</v>
      </c>
      <c r="E1747" s="2">
        <v>17543316.870000001</v>
      </c>
      <c r="F1747" s="2">
        <v>1814715.34</v>
      </c>
    </row>
    <row r="1748" spans="1:6" x14ac:dyDescent="0.25">
      <c r="A1748" s="1">
        <v>44958</v>
      </c>
      <c r="B1748" t="s">
        <v>37</v>
      </c>
      <c r="C1748" t="s">
        <v>851</v>
      </c>
      <c r="D1748" s="2">
        <v>22787406.859999999</v>
      </c>
      <c r="E1748" s="2">
        <v>6520241.1100000003</v>
      </c>
      <c r="F1748" s="2">
        <v>453275.46</v>
      </c>
    </row>
    <row r="1749" spans="1:6" x14ac:dyDescent="0.25">
      <c r="A1749" s="1">
        <v>44958</v>
      </c>
      <c r="B1749" t="s">
        <v>545</v>
      </c>
      <c r="C1749" t="s">
        <v>908</v>
      </c>
      <c r="D1749">
        <v>0</v>
      </c>
      <c r="E1749">
        <v>0</v>
      </c>
      <c r="F1749">
        <v>0</v>
      </c>
    </row>
    <row r="1750" spans="1:6" x14ac:dyDescent="0.25">
      <c r="A1750" s="1">
        <v>44958</v>
      </c>
      <c r="B1750" t="s">
        <v>9</v>
      </c>
      <c r="C1750" t="s">
        <v>663</v>
      </c>
      <c r="D1750" s="2">
        <v>4335710.92</v>
      </c>
      <c r="E1750" s="2">
        <v>2751859.73</v>
      </c>
      <c r="F1750" s="2">
        <v>140207.28</v>
      </c>
    </row>
    <row r="1751" spans="1:6" x14ac:dyDescent="0.25">
      <c r="A1751" s="1">
        <v>44958</v>
      </c>
      <c r="B1751" t="s">
        <v>490</v>
      </c>
      <c r="C1751" t="s">
        <v>542</v>
      </c>
      <c r="D1751" s="2">
        <v>1650000</v>
      </c>
      <c r="E1751">
        <v>0</v>
      </c>
      <c r="F1751">
        <v>0</v>
      </c>
    </row>
    <row r="1752" spans="1:6" x14ac:dyDescent="0.25">
      <c r="A1752" s="1">
        <v>44958</v>
      </c>
      <c r="B1752" t="s">
        <v>107</v>
      </c>
      <c r="C1752" t="s">
        <v>501</v>
      </c>
      <c r="D1752" s="2">
        <v>248800839.78</v>
      </c>
      <c r="E1752" s="2">
        <v>291801387.74000001</v>
      </c>
      <c r="F1752" s="2">
        <v>94809578.730000004</v>
      </c>
    </row>
    <row r="1753" spans="1:6" x14ac:dyDescent="0.25">
      <c r="A1753" s="1">
        <v>44958</v>
      </c>
      <c r="B1753" t="s">
        <v>490</v>
      </c>
      <c r="C1753" t="s">
        <v>267</v>
      </c>
      <c r="D1753" s="2">
        <v>3810379042.5599999</v>
      </c>
      <c r="E1753" s="2">
        <v>368897850.38999999</v>
      </c>
      <c r="F1753" s="2">
        <v>368897850.38999999</v>
      </c>
    </row>
    <row r="1754" spans="1:6" x14ac:dyDescent="0.25">
      <c r="A1754" s="1">
        <v>44958</v>
      </c>
      <c r="B1754" t="s">
        <v>65</v>
      </c>
      <c r="C1754" t="s">
        <v>834</v>
      </c>
      <c r="D1754" s="2">
        <v>5156378.71</v>
      </c>
      <c r="E1754" s="2">
        <v>181340.35</v>
      </c>
      <c r="F1754" s="2">
        <v>172400.35</v>
      </c>
    </row>
    <row r="1755" spans="1:6" x14ac:dyDescent="0.25">
      <c r="A1755" s="1">
        <v>44958</v>
      </c>
      <c r="B1755" t="s">
        <v>40</v>
      </c>
      <c r="C1755" t="s">
        <v>919</v>
      </c>
      <c r="D1755" s="2">
        <v>1748206466.5</v>
      </c>
      <c r="E1755" s="2">
        <v>5689576290.1999998</v>
      </c>
      <c r="F1755" s="2">
        <v>5553718986.21</v>
      </c>
    </row>
    <row r="1756" spans="1:6" x14ac:dyDescent="0.25">
      <c r="A1756" s="1">
        <v>44958</v>
      </c>
      <c r="B1756" t="s">
        <v>23</v>
      </c>
      <c r="C1756" t="s">
        <v>886</v>
      </c>
      <c r="D1756" s="2">
        <v>4746275.7300000004</v>
      </c>
      <c r="E1756" s="2">
        <v>654075.18000000005</v>
      </c>
      <c r="F1756" s="2">
        <v>282336.59999999998</v>
      </c>
    </row>
    <row r="1757" spans="1:6" x14ac:dyDescent="0.25">
      <c r="A1757" s="1">
        <v>44958</v>
      </c>
      <c r="B1757" t="s">
        <v>101</v>
      </c>
      <c r="C1757" t="s">
        <v>786</v>
      </c>
      <c r="D1757" s="2">
        <v>139073.87</v>
      </c>
      <c r="E1757" s="2">
        <v>104936.7</v>
      </c>
      <c r="F1757" s="2">
        <v>60063.37</v>
      </c>
    </row>
    <row r="1758" spans="1:6" x14ac:dyDescent="0.25">
      <c r="A1758" s="1">
        <v>44958</v>
      </c>
      <c r="B1758" t="s">
        <v>216</v>
      </c>
      <c r="C1758" t="s">
        <v>638</v>
      </c>
      <c r="D1758">
        <v>0</v>
      </c>
      <c r="E1758">
        <v>0</v>
      </c>
      <c r="F1758">
        <v>0</v>
      </c>
    </row>
    <row r="1759" spans="1:6" x14ac:dyDescent="0.25">
      <c r="A1759" s="1">
        <v>44958</v>
      </c>
      <c r="B1759" t="s">
        <v>40</v>
      </c>
      <c r="C1759" t="s">
        <v>177</v>
      </c>
      <c r="D1759" s="2">
        <v>356944155.62</v>
      </c>
      <c r="E1759" s="2">
        <v>327172263.30000001</v>
      </c>
      <c r="F1759" s="2">
        <v>269002135.32999998</v>
      </c>
    </row>
    <row r="1760" spans="1:6" x14ac:dyDescent="0.25">
      <c r="A1760" s="1">
        <v>44958</v>
      </c>
      <c r="B1760" t="s">
        <v>162</v>
      </c>
      <c r="C1760" t="s">
        <v>291</v>
      </c>
      <c r="D1760" s="2">
        <v>1584317234.1400001</v>
      </c>
      <c r="E1760" s="2">
        <v>98540873.150000006</v>
      </c>
      <c r="F1760" s="2">
        <v>97347012.890000001</v>
      </c>
    </row>
    <row r="1761" spans="1:6" x14ac:dyDescent="0.25">
      <c r="A1761" s="1">
        <v>44958</v>
      </c>
      <c r="B1761" t="s">
        <v>306</v>
      </c>
      <c r="C1761" t="s">
        <v>814</v>
      </c>
      <c r="D1761" s="2">
        <v>699818.17</v>
      </c>
      <c r="E1761" s="2">
        <v>452943.97</v>
      </c>
      <c r="F1761" s="2">
        <v>356940.22</v>
      </c>
    </row>
    <row r="1762" spans="1:6" x14ac:dyDescent="0.25">
      <c r="A1762" s="1">
        <v>44958</v>
      </c>
      <c r="B1762" t="s">
        <v>216</v>
      </c>
      <c r="C1762" t="s">
        <v>468</v>
      </c>
      <c r="D1762" s="2">
        <v>117334831.15000001</v>
      </c>
      <c r="E1762" s="2">
        <v>55378619.329999998</v>
      </c>
      <c r="F1762" s="2">
        <v>25881759.760000002</v>
      </c>
    </row>
    <row r="1763" spans="1:6" x14ac:dyDescent="0.25">
      <c r="A1763" s="1">
        <v>44958</v>
      </c>
      <c r="B1763" t="s">
        <v>23</v>
      </c>
      <c r="C1763" t="s">
        <v>637</v>
      </c>
      <c r="D1763" s="2">
        <v>266206.74</v>
      </c>
      <c r="E1763">
        <v>0</v>
      </c>
      <c r="F1763">
        <v>0</v>
      </c>
    </row>
    <row r="1764" spans="1:6" x14ac:dyDescent="0.25">
      <c r="A1764" s="1">
        <v>44958</v>
      </c>
      <c r="B1764" t="s">
        <v>46</v>
      </c>
      <c r="C1764" t="s">
        <v>232</v>
      </c>
      <c r="D1764" s="2">
        <v>54666.3</v>
      </c>
      <c r="E1764" s="2">
        <v>4118.6000000000004</v>
      </c>
      <c r="F1764" s="2">
        <v>4118.6000000000004</v>
      </c>
    </row>
    <row r="1765" spans="1:6" x14ac:dyDescent="0.25">
      <c r="A1765" s="1">
        <v>44958</v>
      </c>
      <c r="B1765" t="s">
        <v>23</v>
      </c>
      <c r="C1765" t="s">
        <v>867</v>
      </c>
      <c r="D1765" s="2">
        <v>2292593.52</v>
      </c>
      <c r="E1765" s="2">
        <v>94374.13</v>
      </c>
      <c r="F1765" s="2">
        <v>45225.53</v>
      </c>
    </row>
    <row r="1766" spans="1:6" x14ac:dyDescent="0.25">
      <c r="A1766" s="1">
        <v>44958</v>
      </c>
      <c r="B1766" t="s">
        <v>545</v>
      </c>
      <c r="C1766" t="s">
        <v>362</v>
      </c>
      <c r="D1766" s="2">
        <v>14436333.609999999</v>
      </c>
      <c r="E1766" s="2">
        <v>7337575.0499999998</v>
      </c>
      <c r="F1766" s="2">
        <v>7355381.5499999998</v>
      </c>
    </row>
    <row r="1767" spans="1:6" x14ac:dyDescent="0.25">
      <c r="A1767" s="1">
        <v>44958</v>
      </c>
      <c r="B1767" t="s">
        <v>422</v>
      </c>
      <c r="C1767" t="s">
        <v>920</v>
      </c>
      <c r="D1767" s="2">
        <v>1001069.45</v>
      </c>
      <c r="E1767" s="2">
        <v>64674.31</v>
      </c>
      <c r="F1767" s="2">
        <v>64674.31</v>
      </c>
    </row>
    <row r="1768" spans="1:6" x14ac:dyDescent="0.25">
      <c r="A1768" s="1">
        <v>44958</v>
      </c>
      <c r="B1768" t="s">
        <v>107</v>
      </c>
      <c r="C1768" t="s">
        <v>262</v>
      </c>
      <c r="D1768" s="2">
        <v>124100.01</v>
      </c>
      <c r="E1768">
        <v>0</v>
      </c>
      <c r="F1768">
        <v>0</v>
      </c>
    </row>
    <row r="1769" spans="1:6" x14ac:dyDescent="0.25">
      <c r="A1769" s="1">
        <v>44958</v>
      </c>
      <c r="B1769" t="s">
        <v>23</v>
      </c>
      <c r="C1769" t="s">
        <v>845</v>
      </c>
      <c r="D1769" s="2">
        <v>1357554.36</v>
      </c>
      <c r="E1769" s="2">
        <v>124631</v>
      </c>
      <c r="F1769" s="2">
        <v>144180.07999999999</v>
      </c>
    </row>
    <row r="1770" spans="1:6" x14ac:dyDescent="0.25">
      <c r="A1770" s="1">
        <v>44958</v>
      </c>
      <c r="B1770" t="s">
        <v>90</v>
      </c>
      <c r="C1770" t="s">
        <v>1063</v>
      </c>
      <c r="D1770">
        <v>0</v>
      </c>
      <c r="E1770">
        <v>0</v>
      </c>
      <c r="F1770">
        <v>0</v>
      </c>
    </row>
    <row r="1771" spans="1:6" x14ac:dyDescent="0.25">
      <c r="A1771" s="1">
        <v>44958</v>
      </c>
      <c r="B1771" t="s">
        <v>23</v>
      </c>
      <c r="C1771" t="s">
        <v>901</v>
      </c>
      <c r="D1771" s="2">
        <v>5802253.5700000003</v>
      </c>
      <c r="E1771" s="2">
        <v>480777.84</v>
      </c>
      <c r="F1771" s="2">
        <v>319067.74</v>
      </c>
    </row>
    <row r="1772" spans="1:6" x14ac:dyDescent="0.25">
      <c r="A1772" s="1">
        <v>44958</v>
      </c>
      <c r="B1772" t="s">
        <v>40</v>
      </c>
      <c r="C1772" t="s">
        <v>686</v>
      </c>
      <c r="D1772" s="2">
        <v>11993673.26</v>
      </c>
      <c r="E1772" s="2">
        <v>4351656.1900000004</v>
      </c>
      <c r="F1772" s="2">
        <v>3823869.91</v>
      </c>
    </row>
    <row r="1773" spans="1:6" x14ac:dyDescent="0.25">
      <c r="A1773" s="1">
        <v>44958</v>
      </c>
      <c r="B1773" t="s">
        <v>23</v>
      </c>
      <c r="C1773" t="s">
        <v>916</v>
      </c>
      <c r="D1773" s="2">
        <v>27237768.949999999</v>
      </c>
      <c r="E1773" s="2">
        <v>33198797.059999999</v>
      </c>
      <c r="F1773" s="2">
        <v>48357604.609999999</v>
      </c>
    </row>
    <row r="1774" spans="1:6" x14ac:dyDescent="0.25">
      <c r="A1774" s="1">
        <v>44958</v>
      </c>
      <c r="B1774" t="s">
        <v>398</v>
      </c>
      <c r="C1774" t="s">
        <v>826</v>
      </c>
      <c r="D1774" s="2">
        <v>195683</v>
      </c>
      <c r="E1774" s="2">
        <v>8267.69</v>
      </c>
      <c r="F1774" s="2">
        <v>2324.16</v>
      </c>
    </row>
    <row r="1775" spans="1:6" x14ac:dyDescent="0.25">
      <c r="A1775" s="1">
        <v>44958</v>
      </c>
      <c r="B1775" t="s">
        <v>40</v>
      </c>
      <c r="C1775" t="s">
        <v>749</v>
      </c>
      <c r="D1775" s="2">
        <v>527989287.66000003</v>
      </c>
      <c r="E1775" s="2">
        <v>1164798777.6500001</v>
      </c>
      <c r="F1775" s="2">
        <v>1083002290.1400001</v>
      </c>
    </row>
    <row r="1776" spans="1:6" x14ac:dyDescent="0.25">
      <c r="A1776" s="1">
        <v>44958</v>
      </c>
      <c r="B1776" t="s">
        <v>143</v>
      </c>
      <c r="C1776" t="s">
        <v>351</v>
      </c>
      <c r="D1776" s="2">
        <v>1518411811.4400001</v>
      </c>
      <c r="E1776" s="2">
        <v>1533530644.6199999</v>
      </c>
      <c r="F1776" s="2">
        <v>1533549894.6199999</v>
      </c>
    </row>
    <row r="1777" spans="1:6" x14ac:dyDescent="0.25">
      <c r="A1777" s="1">
        <v>44958</v>
      </c>
      <c r="B1777" t="s">
        <v>40</v>
      </c>
      <c r="C1777" t="s">
        <v>95</v>
      </c>
      <c r="D1777" s="2">
        <v>1173404268.73</v>
      </c>
      <c r="E1777" s="2">
        <v>290970475.60000002</v>
      </c>
      <c r="F1777" s="2">
        <v>239473538.38999999</v>
      </c>
    </row>
    <row r="1778" spans="1:6" x14ac:dyDescent="0.25">
      <c r="A1778" s="1">
        <v>44958</v>
      </c>
      <c r="B1778" t="s">
        <v>40</v>
      </c>
      <c r="C1778" t="s">
        <v>910</v>
      </c>
      <c r="D1778" s="2">
        <v>2875732237</v>
      </c>
      <c r="E1778" s="2">
        <v>7433545339.75</v>
      </c>
      <c r="F1778" s="2">
        <v>7445039460.46</v>
      </c>
    </row>
    <row r="1779" spans="1:6" x14ac:dyDescent="0.25">
      <c r="A1779" s="1">
        <v>44958</v>
      </c>
      <c r="B1779" t="s">
        <v>40</v>
      </c>
      <c r="C1779" t="s">
        <v>78</v>
      </c>
      <c r="D1779" s="2">
        <v>3255434.82</v>
      </c>
      <c r="E1779" s="2">
        <v>566552.56000000006</v>
      </c>
      <c r="F1779" s="2">
        <v>446642.32</v>
      </c>
    </row>
    <row r="1780" spans="1:6" x14ac:dyDescent="0.25">
      <c r="A1780" s="1">
        <v>44958</v>
      </c>
      <c r="B1780" t="s">
        <v>216</v>
      </c>
      <c r="C1780" t="s">
        <v>887</v>
      </c>
      <c r="D1780" s="2">
        <v>1250603.04</v>
      </c>
      <c r="E1780" s="2">
        <v>364348.27</v>
      </c>
      <c r="F1780" s="2">
        <v>189112.73</v>
      </c>
    </row>
    <row r="1781" spans="1:6" x14ac:dyDescent="0.25">
      <c r="A1781" s="1">
        <v>44958</v>
      </c>
      <c r="B1781" t="s">
        <v>107</v>
      </c>
      <c r="C1781" t="s">
        <v>897</v>
      </c>
      <c r="D1781" s="2">
        <v>333827403.99000001</v>
      </c>
      <c r="E1781" s="2">
        <v>173047185.28</v>
      </c>
      <c r="F1781" s="2">
        <v>120488378.5</v>
      </c>
    </row>
    <row r="1782" spans="1:6" x14ac:dyDescent="0.25">
      <c r="A1782" s="1">
        <v>44958</v>
      </c>
      <c r="B1782" t="s">
        <v>92</v>
      </c>
      <c r="C1782" t="s">
        <v>860</v>
      </c>
      <c r="D1782" s="2">
        <v>3314378.38</v>
      </c>
      <c r="E1782" s="2">
        <v>2778575.21</v>
      </c>
      <c r="F1782" s="2">
        <v>2760205.73</v>
      </c>
    </row>
    <row r="1783" spans="1:6" x14ac:dyDescent="0.25">
      <c r="A1783" s="1">
        <v>44958</v>
      </c>
      <c r="B1783" t="s">
        <v>40</v>
      </c>
      <c r="C1783" t="s">
        <v>898</v>
      </c>
      <c r="D1783" s="2">
        <v>48382276.619999997</v>
      </c>
      <c r="E1783" s="2">
        <v>43698009.350000001</v>
      </c>
      <c r="F1783" s="2">
        <v>43665225.079999998</v>
      </c>
    </row>
    <row r="1784" spans="1:6" x14ac:dyDescent="0.25">
      <c r="A1784" s="1">
        <v>44958</v>
      </c>
      <c r="B1784" t="s">
        <v>19</v>
      </c>
      <c r="C1784" t="s">
        <v>397</v>
      </c>
      <c r="D1784" s="2">
        <v>-3608584</v>
      </c>
      <c r="E1784">
        <v>602.73</v>
      </c>
      <c r="F1784">
        <v>602.73</v>
      </c>
    </row>
    <row r="1785" spans="1:6" x14ac:dyDescent="0.25">
      <c r="A1785" s="1">
        <v>44958</v>
      </c>
      <c r="B1785" t="s">
        <v>37</v>
      </c>
      <c r="C1785" t="s">
        <v>884</v>
      </c>
      <c r="D1785" s="2">
        <v>649057.9</v>
      </c>
      <c r="E1785" s="2">
        <v>200114.05</v>
      </c>
      <c r="F1785" s="2">
        <v>205855.61</v>
      </c>
    </row>
    <row r="1786" spans="1:6" x14ac:dyDescent="0.25">
      <c r="A1786" s="1">
        <v>44958</v>
      </c>
      <c r="B1786" t="s">
        <v>216</v>
      </c>
      <c r="C1786" t="s">
        <v>756</v>
      </c>
      <c r="D1786">
        <v>0</v>
      </c>
      <c r="E1786">
        <v>0</v>
      </c>
      <c r="F1786">
        <v>0</v>
      </c>
    </row>
    <row r="1787" spans="1:6" x14ac:dyDescent="0.25">
      <c r="A1787" s="1">
        <v>44958</v>
      </c>
      <c r="B1787" t="s">
        <v>216</v>
      </c>
      <c r="C1787" t="s">
        <v>563</v>
      </c>
      <c r="D1787" s="2">
        <v>28343993.559999999</v>
      </c>
      <c r="E1787" s="2">
        <v>10157805.109999999</v>
      </c>
      <c r="F1787" s="2">
        <v>4386891.4000000004</v>
      </c>
    </row>
    <row r="1788" spans="1:6" x14ac:dyDescent="0.25">
      <c r="A1788" s="1">
        <v>44958</v>
      </c>
      <c r="B1788" t="s">
        <v>40</v>
      </c>
      <c r="C1788" t="s">
        <v>924</v>
      </c>
      <c r="D1788" s="2">
        <v>401050539.63</v>
      </c>
      <c r="E1788" s="2">
        <v>528656600.17000002</v>
      </c>
      <c r="F1788" s="2">
        <v>525293945.64999998</v>
      </c>
    </row>
    <row r="1789" spans="1:6" x14ac:dyDescent="0.25">
      <c r="A1789" s="1">
        <v>44986</v>
      </c>
      <c r="B1789" t="s">
        <v>691</v>
      </c>
      <c r="C1789" t="s">
        <v>692</v>
      </c>
      <c r="D1789">
        <v>0</v>
      </c>
      <c r="E1789">
        <v>0</v>
      </c>
      <c r="F1789">
        <v>0</v>
      </c>
    </row>
    <row r="1790" spans="1:6" x14ac:dyDescent="0.25">
      <c r="A1790" s="1">
        <v>44986</v>
      </c>
      <c r="B1790" t="s">
        <v>21</v>
      </c>
      <c r="C1790" t="s">
        <v>985</v>
      </c>
      <c r="D1790">
        <v>0</v>
      </c>
      <c r="E1790">
        <v>0</v>
      </c>
      <c r="F1790">
        <v>0</v>
      </c>
    </row>
    <row r="1791" spans="1:6" x14ac:dyDescent="0.25">
      <c r="A1791" s="1">
        <v>44986</v>
      </c>
      <c r="B1791" t="s">
        <v>48</v>
      </c>
      <c r="C1791" t="s">
        <v>1064</v>
      </c>
      <c r="D1791">
        <v>0</v>
      </c>
      <c r="E1791">
        <v>0</v>
      </c>
      <c r="F1791">
        <v>0</v>
      </c>
    </row>
    <row r="1792" spans="1:6" x14ac:dyDescent="0.25">
      <c r="A1792" s="1">
        <v>44986</v>
      </c>
      <c r="B1792" t="s">
        <v>21</v>
      </c>
      <c r="C1792" t="s">
        <v>301</v>
      </c>
      <c r="D1792" s="2">
        <v>340000</v>
      </c>
      <c r="E1792" s="2">
        <v>-166283.6</v>
      </c>
      <c r="F1792" s="2">
        <v>-166283.6</v>
      </c>
    </row>
    <row r="1793" spans="1:6" x14ac:dyDescent="0.25">
      <c r="A1793" s="1">
        <v>44986</v>
      </c>
      <c r="B1793" t="s">
        <v>79</v>
      </c>
      <c r="C1793" t="s">
        <v>572</v>
      </c>
      <c r="D1793">
        <v>0</v>
      </c>
      <c r="E1793">
        <v>0</v>
      </c>
      <c r="F1793">
        <v>0</v>
      </c>
    </row>
    <row r="1794" spans="1:6" x14ac:dyDescent="0.25">
      <c r="A1794" s="1">
        <v>44986</v>
      </c>
      <c r="B1794" t="s">
        <v>40</v>
      </c>
      <c r="C1794" t="s">
        <v>215</v>
      </c>
      <c r="D1794">
        <v>0</v>
      </c>
      <c r="E1794">
        <v>0</v>
      </c>
      <c r="F1794">
        <v>0</v>
      </c>
    </row>
    <row r="1795" spans="1:6" x14ac:dyDescent="0.25">
      <c r="A1795" s="1">
        <v>44986</v>
      </c>
      <c r="B1795" t="s">
        <v>40</v>
      </c>
      <c r="C1795" t="s">
        <v>515</v>
      </c>
      <c r="D1795">
        <v>0</v>
      </c>
      <c r="E1795">
        <v>0</v>
      </c>
      <c r="F1795">
        <v>0</v>
      </c>
    </row>
    <row r="1796" spans="1:6" x14ac:dyDescent="0.25">
      <c r="A1796" s="1">
        <v>44986</v>
      </c>
      <c r="B1796" t="s">
        <v>100</v>
      </c>
      <c r="C1796" t="s">
        <v>416</v>
      </c>
      <c r="D1796">
        <v>0</v>
      </c>
      <c r="E1796">
        <v>0</v>
      </c>
      <c r="F1796">
        <v>0</v>
      </c>
    </row>
    <row r="1797" spans="1:6" x14ac:dyDescent="0.25">
      <c r="A1797" s="1">
        <v>44986</v>
      </c>
      <c r="B1797" t="s">
        <v>21</v>
      </c>
      <c r="C1797" t="s">
        <v>497</v>
      </c>
      <c r="D1797" s="2">
        <v>627000</v>
      </c>
      <c r="E1797" s="2">
        <v>541985.07999999996</v>
      </c>
      <c r="F1797" s="2">
        <v>541985.07999999996</v>
      </c>
    </row>
    <row r="1798" spans="1:6" x14ac:dyDescent="0.25">
      <c r="A1798" s="1">
        <v>44986</v>
      </c>
      <c r="B1798" t="s">
        <v>726</v>
      </c>
      <c r="C1798" t="s">
        <v>1011</v>
      </c>
      <c r="D1798" s="2">
        <v>-3685284.18</v>
      </c>
      <c r="E1798" s="2">
        <v>804908.37</v>
      </c>
      <c r="F1798" s="2">
        <v>804908.37</v>
      </c>
    </row>
    <row r="1799" spans="1:6" x14ac:dyDescent="0.25">
      <c r="A1799" s="1">
        <v>44986</v>
      </c>
      <c r="B1799" t="s">
        <v>21</v>
      </c>
      <c r="C1799" t="s">
        <v>184</v>
      </c>
      <c r="D1799">
        <v>0</v>
      </c>
      <c r="E1799">
        <v>0</v>
      </c>
      <c r="F1799">
        <v>0</v>
      </c>
    </row>
    <row r="1800" spans="1:6" x14ac:dyDescent="0.25">
      <c r="A1800" s="1">
        <v>44986</v>
      </c>
      <c r="B1800" t="s">
        <v>79</v>
      </c>
      <c r="C1800" t="s">
        <v>80</v>
      </c>
      <c r="D1800">
        <v>0</v>
      </c>
      <c r="E1800">
        <v>0</v>
      </c>
      <c r="F1800">
        <v>0</v>
      </c>
    </row>
    <row r="1801" spans="1:6" x14ac:dyDescent="0.25">
      <c r="A1801" s="1">
        <v>44986</v>
      </c>
      <c r="B1801" t="s">
        <v>29</v>
      </c>
      <c r="C1801" t="s">
        <v>52</v>
      </c>
      <c r="D1801">
        <v>0</v>
      </c>
      <c r="E1801">
        <v>0</v>
      </c>
      <c r="F1801">
        <v>0</v>
      </c>
    </row>
    <row r="1802" spans="1:6" x14ac:dyDescent="0.25">
      <c r="A1802" s="1">
        <v>44986</v>
      </c>
      <c r="B1802" t="s">
        <v>21</v>
      </c>
      <c r="C1802" t="s">
        <v>1005</v>
      </c>
      <c r="D1802" s="2">
        <v>220000</v>
      </c>
      <c r="E1802">
        <v>0</v>
      </c>
      <c r="F1802">
        <v>0</v>
      </c>
    </row>
    <row r="1803" spans="1:6" x14ac:dyDescent="0.25">
      <c r="A1803" s="1">
        <v>44986</v>
      </c>
      <c r="B1803" t="s">
        <v>458</v>
      </c>
      <c r="C1803" t="s">
        <v>798</v>
      </c>
      <c r="D1803">
        <v>0</v>
      </c>
      <c r="E1803">
        <v>0</v>
      </c>
      <c r="F1803">
        <v>0</v>
      </c>
    </row>
    <row r="1804" spans="1:6" x14ac:dyDescent="0.25">
      <c r="A1804" s="1">
        <v>44986</v>
      </c>
      <c r="B1804" t="s">
        <v>92</v>
      </c>
      <c r="C1804" t="s">
        <v>317</v>
      </c>
      <c r="D1804">
        <v>0</v>
      </c>
      <c r="E1804">
        <v>0</v>
      </c>
      <c r="F1804">
        <v>0</v>
      </c>
    </row>
    <row r="1805" spans="1:6" x14ac:dyDescent="0.25">
      <c r="A1805" s="1">
        <v>44986</v>
      </c>
      <c r="B1805" t="s">
        <v>132</v>
      </c>
      <c r="C1805" t="s">
        <v>265</v>
      </c>
      <c r="D1805" s="2">
        <v>108333333.33</v>
      </c>
      <c r="E1805" s="2">
        <v>108333333.33</v>
      </c>
      <c r="F1805" s="2">
        <v>108333333.33</v>
      </c>
    </row>
    <row r="1806" spans="1:6" x14ac:dyDescent="0.25">
      <c r="A1806" s="1">
        <v>44986</v>
      </c>
      <c r="B1806" t="s">
        <v>120</v>
      </c>
      <c r="C1806" t="s">
        <v>927</v>
      </c>
      <c r="D1806">
        <v>0</v>
      </c>
      <c r="E1806">
        <v>0</v>
      </c>
      <c r="F1806">
        <v>0</v>
      </c>
    </row>
    <row r="1807" spans="1:6" x14ac:dyDescent="0.25">
      <c r="A1807" s="1">
        <v>44986</v>
      </c>
      <c r="B1807" t="s">
        <v>81</v>
      </c>
      <c r="C1807" t="s">
        <v>290</v>
      </c>
      <c r="D1807">
        <v>0</v>
      </c>
      <c r="E1807">
        <v>0</v>
      </c>
      <c r="F1807">
        <v>0</v>
      </c>
    </row>
    <row r="1808" spans="1:6" x14ac:dyDescent="0.25">
      <c r="A1808" s="1">
        <v>44986</v>
      </c>
      <c r="B1808" t="s">
        <v>132</v>
      </c>
      <c r="C1808" t="s">
        <v>285</v>
      </c>
      <c r="D1808" s="2">
        <v>7824049</v>
      </c>
      <c r="E1808" s="2">
        <v>8555319.5</v>
      </c>
      <c r="F1808" s="2">
        <v>8492960.1400000006</v>
      </c>
    </row>
    <row r="1809" spans="1:6" x14ac:dyDescent="0.25">
      <c r="A1809" s="1">
        <v>44986</v>
      </c>
      <c r="B1809" t="s">
        <v>31</v>
      </c>
      <c r="C1809" t="s">
        <v>553</v>
      </c>
      <c r="D1809">
        <v>0</v>
      </c>
      <c r="E1809">
        <v>0</v>
      </c>
      <c r="F1809">
        <v>0</v>
      </c>
    </row>
    <row r="1810" spans="1:6" x14ac:dyDescent="0.25">
      <c r="A1810" s="1">
        <v>44986</v>
      </c>
      <c r="B1810" t="s">
        <v>42</v>
      </c>
      <c r="C1810" t="s">
        <v>43</v>
      </c>
      <c r="D1810" s="2">
        <v>23683607.129999999</v>
      </c>
      <c r="E1810" s="2">
        <v>23683607.129999999</v>
      </c>
      <c r="F1810" s="2">
        <v>23683607.129999999</v>
      </c>
    </row>
    <row r="1811" spans="1:6" x14ac:dyDescent="0.25">
      <c r="A1811" s="1">
        <v>44986</v>
      </c>
      <c r="B1811" t="s">
        <v>21</v>
      </c>
      <c r="C1811" t="s">
        <v>456</v>
      </c>
      <c r="D1811" s="2">
        <v>1480000</v>
      </c>
      <c r="E1811" s="2">
        <v>16654.849999999999</v>
      </c>
      <c r="F1811" s="2">
        <v>16654.849999999999</v>
      </c>
    </row>
    <row r="1812" spans="1:6" x14ac:dyDescent="0.25">
      <c r="A1812" s="1">
        <v>44986</v>
      </c>
      <c r="B1812" t="s">
        <v>199</v>
      </c>
      <c r="C1812" t="s">
        <v>200</v>
      </c>
      <c r="D1812">
        <v>0</v>
      </c>
      <c r="E1812">
        <v>973.94</v>
      </c>
      <c r="F1812">
        <v>973.94</v>
      </c>
    </row>
    <row r="1813" spans="1:6" x14ac:dyDescent="0.25">
      <c r="A1813" s="1">
        <v>44986</v>
      </c>
      <c r="B1813" t="s">
        <v>9</v>
      </c>
      <c r="C1813" t="s">
        <v>73</v>
      </c>
      <c r="D1813" s="2">
        <v>24500587</v>
      </c>
      <c r="E1813">
        <v>0</v>
      </c>
      <c r="F1813">
        <v>0</v>
      </c>
    </row>
    <row r="1814" spans="1:6" x14ac:dyDescent="0.25">
      <c r="A1814" s="1">
        <v>44986</v>
      </c>
      <c r="B1814" t="s">
        <v>37</v>
      </c>
      <c r="C1814" t="s">
        <v>38</v>
      </c>
      <c r="D1814" s="2">
        <v>120000</v>
      </c>
      <c r="E1814" s="2">
        <v>176702382.30000001</v>
      </c>
      <c r="F1814" s="2">
        <v>176702382.30000001</v>
      </c>
    </row>
    <row r="1815" spans="1:6" x14ac:dyDescent="0.25">
      <c r="A1815" s="1">
        <v>44986</v>
      </c>
      <c r="B1815" t="s">
        <v>46</v>
      </c>
      <c r="C1815" t="s">
        <v>241</v>
      </c>
      <c r="D1815" s="2">
        <v>1238122.1000000001</v>
      </c>
      <c r="E1815" s="2">
        <v>3060617.94</v>
      </c>
      <c r="F1815" s="2">
        <v>3730941.13</v>
      </c>
    </row>
    <row r="1816" spans="1:6" x14ac:dyDescent="0.25">
      <c r="A1816" s="1">
        <v>44986</v>
      </c>
      <c r="B1816" t="s">
        <v>40</v>
      </c>
      <c r="C1816" t="s">
        <v>666</v>
      </c>
      <c r="D1816">
        <v>0</v>
      </c>
      <c r="E1816">
        <v>0</v>
      </c>
      <c r="F1816">
        <v>0</v>
      </c>
    </row>
    <row r="1817" spans="1:6" x14ac:dyDescent="0.25">
      <c r="A1817" s="1">
        <v>44986</v>
      </c>
      <c r="B1817" t="s">
        <v>37</v>
      </c>
      <c r="C1817" t="s">
        <v>955</v>
      </c>
      <c r="D1817">
        <v>0</v>
      </c>
      <c r="E1817">
        <v>0</v>
      </c>
      <c r="F1817">
        <v>0</v>
      </c>
    </row>
    <row r="1818" spans="1:6" x14ac:dyDescent="0.25">
      <c r="A1818" s="1">
        <v>44986</v>
      </c>
      <c r="B1818" t="s">
        <v>42</v>
      </c>
      <c r="C1818" t="s">
        <v>1030</v>
      </c>
      <c r="D1818" s="2">
        <v>6911036.1200000001</v>
      </c>
      <c r="E1818" s="2">
        <v>6911036.1200000001</v>
      </c>
      <c r="F1818" s="2">
        <v>6911036.1200000001</v>
      </c>
    </row>
    <row r="1819" spans="1:6" x14ac:dyDescent="0.25">
      <c r="A1819" s="1">
        <v>44986</v>
      </c>
      <c r="B1819" t="s">
        <v>107</v>
      </c>
      <c r="C1819" t="s">
        <v>348</v>
      </c>
      <c r="D1819">
        <v>0</v>
      </c>
      <c r="E1819">
        <v>0</v>
      </c>
      <c r="F1819">
        <v>0</v>
      </c>
    </row>
    <row r="1820" spans="1:6" x14ac:dyDescent="0.25">
      <c r="A1820" s="1">
        <v>44986</v>
      </c>
      <c r="B1820" t="s">
        <v>490</v>
      </c>
      <c r="C1820" t="s">
        <v>1065</v>
      </c>
      <c r="D1820" s="2">
        <v>43301696.939999998</v>
      </c>
      <c r="E1820" s="2">
        <v>38121567.799999997</v>
      </c>
      <c r="F1820" s="2">
        <v>38121567.799999997</v>
      </c>
    </row>
    <row r="1821" spans="1:6" x14ac:dyDescent="0.25">
      <c r="A1821" s="1">
        <v>44986</v>
      </c>
      <c r="B1821" t="s">
        <v>21</v>
      </c>
      <c r="C1821" t="s">
        <v>1066</v>
      </c>
      <c r="D1821" s="2">
        <v>11650000</v>
      </c>
      <c r="E1821">
        <v>0</v>
      </c>
      <c r="F1821">
        <v>0</v>
      </c>
    </row>
    <row r="1822" spans="1:6" x14ac:dyDescent="0.25">
      <c r="A1822" s="1">
        <v>44986</v>
      </c>
      <c r="B1822" t="s">
        <v>682</v>
      </c>
      <c r="C1822" t="s">
        <v>1067</v>
      </c>
      <c r="D1822" s="2">
        <v>112500</v>
      </c>
      <c r="E1822" s="2">
        <v>1178.72</v>
      </c>
      <c r="F1822" s="2">
        <v>1178.72</v>
      </c>
    </row>
    <row r="1823" spans="1:6" x14ac:dyDescent="0.25">
      <c r="A1823" s="1">
        <v>44986</v>
      </c>
      <c r="B1823" t="s">
        <v>40</v>
      </c>
      <c r="C1823" t="s">
        <v>41</v>
      </c>
      <c r="D1823" s="2">
        <v>1561694.49</v>
      </c>
      <c r="E1823" s="2">
        <v>2523542.6800000002</v>
      </c>
      <c r="F1823" s="2">
        <v>2416286.5499999998</v>
      </c>
    </row>
    <row r="1824" spans="1:6" x14ac:dyDescent="0.25">
      <c r="A1824" s="1">
        <v>44986</v>
      </c>
      <c r="B1824" t="s">
        <v>176</v>
      </c>
      <c r="C1824" t="s">
        <v>95</v>
      </c>
      <c r="D1824">
        <v>0</v>
      </c>
      <c r="E1824">
        <v>0</v>
      </c>
      <c r="F1824">
        <v>0</v>
      </c>
    </row>
    <row r="1825" spans="1:6" x14ac:dyDescent="0.25">
      <c r="A1825" s="1">
        <v>44986</v>
      </c>
      <c r="B1825" t="s">
        <v>48</v>
      </c>
      <c r="C1825" t="s">
        <v>1068</v>
      </c>
      <c r="D1825" s="2">
        <v>4568119</v>
      </c>
      <c r="E1825" s="2">
        <v>264503.78000000003</v>
      </c>
      <c r="F1825" s="2">
        <v>264503.78000000003</v>
      </c>
    </row>
    <row r="1826" spans="1:6" x14ac:dyDescent="0.25">
      <c r="A1826" s="1">
        <v>44986</v>
      </c>
      <c r="B1826" t="s">
        <v>40</v>
      </c>
      <c r="C1826" t="s">
        <v>1069</v>
      </c>
      <c r="D1826" s="2">
        <v>5000000</v>
      </c>
      <c r="E1826" s="2">
        <v>844485.24</v>
      </c>
      <c r="F1826">
        <v>0</v>
      </c>
    </row>
    <row r="1827" spans="1:6" x14ac:dyDescent="0.25">
      <c r="A1827" s="1">
        <v>44986</v>
      </c>
      <c r="B1827" t="s">
        <v>21</v>
      </c>
      <c r="C1827" t="s">
        <v>595</v>
      </c>
      <c r="D1827">
        <v>0</v>
      </c>
      <c r="E1827">
        <v>0</v>
      </c>
      <c r="F1827">
        <v>0</v>
      </c>
    </row>
    <row r="1828" spans="1:6" x14ac:dyDescent="0.25">
      <c r="A1828" s="1">
        <v>44986</v>
      </c>
      <c r="B1828" t="s">
        <v>278</v>
      </c>
      <c r="C1828" t="s">
        <v>722</v>
      </c>
      <c r="D1828">
        <v>0</v>
      </c>
      <c r="E1828">
        <v>0</v>
      </c>
      <c r="F1828">
        <v>0</v>
      </c>
    </row>
    <row r="1829" spans="1:6" x14ac:dyDescent="0.25">
      <c r="A1829" s="1">
        <v>44986</v>
      </c>
      <c r="B1829" t="s">
        <v>114</v>
      </c>
      <c r="C1829" t="s">
        <v>1070</v>
      </c>
      <c r="D1829">
        <v>0</v>
      </c>
      <c r="E1829">
        <v>0</v>
      </c>
      <c r="F1829">
        <v>0</v>
      </c>
    </row>
    <row r="1830" spans="1:6" x14ac:dyDescent="0.25">
      <c r="A1830" s="1">
        <v>44986</v>
      </c>
      <c r="B1830" t="s">
        <v>21</v>
      </c>
      <c r="C1830" t="s">
        <v>1071</v>
      </c>
      <c r="D1830">
        <v>0</v>
      </c>
      <c r="E1830">
        <v>0</v>
      </c>
      <c r="F1830">
        <v>0</v>
      </c>
    </row>
    <row r="1831" spans="1:6" x14ac:dyDescent="0.25">
      <c r="A1831" s="1">
        <v>44986</v>
      </c>
      <c r="B1831" t="s">
        <v>11</v>
      </c>
      <c r="C1831" t="s">
        <v>744</v>
      </c>
      <c r="D1831" s="2">
        <v>57152697.539999999</v>
      </c>
      <c r="E1831" s="2">
        <v>57150156.340000004</v>
      </c>
      <c r="F1831" s="2">
        <v>57765388.719999999</v>
      </c>
    </row>
    <row r="1832" spans="1:6" x14ac:dyDescent="0.25">
      <c r="A1832" s="1">
        <v>44986</v>
      </c>
      <c r="B1832" t="s">
        <v>92</v>
      </c>
      <c r="C1832" t="s">
        <v>981</v>
      </c>
      <c r="D1832">
        <v>0</v>
      </c>
      <c r="E1832" s="2">
        <v>231384</v>
      </c>
      <c r="F1832" s="2">
        <v>116314</v>
      </c>
    </row>
    <row r="1833" spans="1:6" x14ac:dyDescent="0.25">
      <c r="A1833" s="1">
        <v>44986</v>
      </c>
      <c r="B1833" t="s">
        <v>19</v>
      </c>
      <c r="C1833" t="s">
        <v>168</v>
      </c>
      <c r="D1833" s="2">
        <v>-128416</v>
      </c>
      <c r="E1833" s="2">
        <v>247939.11</v>
      </c>
      <c r="F1833" s="2">
        <v>216124.75</v>
      </c>
    </row>
    <row r="1834" spans="1:6" x14ac:dyDescent="0.25">
      <c r="A1834" s="1">
        <v>44986</v>
      </c>
      <c r="B1834" t="s">
        <v>107</v>
      </c>
      <c r="C1834" t="s">
        <v>153</v>
      </c>
      <c r="D1834">
        <v>0</v>
      </c>
      <c r="E1834">
        <v>0</v>
      </c>
      <c r="F1834">
        <v>0</v>
      </c>
    </row>
    <row r="1835" spans="1:6" x14ac:dyDescent="0.25">
      <c r="A1835" s="1">
        <v>44986</v>
      </c>
      <c r="B1835" t="s">
        <v>185</v>
      </c>
      <c r="C1835" t="s">
        <v>863</v>
      </c>
      <c r="D1835" s="2">
        <v>210860824.27000001</v>
      </c>
      <c r="E1835" s="2">
        <v>204546408.63</v>
      </c>
      <c r="F1835" s="2">
        <v>139107408.63</v>
      </c>
    </row>
    <row r="1836" spans="1:6" x14ac:dyDescent="0.25">
      <c r="A1836" s="1">
        <v>44986</v>
      </c>
      <c r="B1836" t="s">
        <v>40</v>
      </c>
      <c r="C1836" t="s">
        <v>931</v>
      </c>
      <c r="D1836">
        <v>0</v>
      </c>
      <c r="E1836" s="2">
        <v>246583.79</v>
      </c>
      <c r="F1836" s="2">
        <v>249961.17</v>
      </c>
    </row>
    <row r="1837" spans="1:6" x14ac:dyDescent="0.25">
      <c r="A1837" s="1">
        <v>44986</v>
      </c>
      <c r="B1837" t="s">
        <v>81</v>
      </c>
      <c r="C1837" t="s">
        <v>1072</v>
      </c>
      <c r="D1837">
        <v>0</v>
      </c>
      <c r="E1837">
        <v>0</v>
      </c>
      <c r="F1837">
        <v>0</v>
      </c>
    </row>
    <row r="1838" spans="1:6" x14ac:dyDescent="0.25">
      <c r="A1838" s="1">
        <v>44986</v>
      </c>
      <c r="B1838" t="s">
        <v>11</v>
      </c>
      <c r="C1838" t="s">
        <v>321</v>
      </c>
      <c r="D1838">
        <v>0</v>
      </c>
      <c r="E1838" s="2">
        <v>1426133265.0999999</v>
      </c>
      <c r="F1838" s="2">
        <v>1426133265.0999999</v>
      </c>
    </row>
    <row r="1839" spans="1:6" x14ac:dyDescent="0.25">
      <c r="A1839" s="1">
        <v>44986</v>
      </c>
      <c r="B1839" t="s">
        <v>661</v>
      </c>
      <c r="C1839" t="s">
        <v>95</v>
      </c>
      <c r="D1839">
        <v>0</v>
      </c>
      <c r="E1839">
        <v>0</v>
      </c>
      <c r="F1839">
        <v>0</v>
      </c>
    </row>
    <row r="1840" spans="1:6" x14ac:dyDescent="0.25">
      <c r="A1840" s="1">
        <v>44986</v>
      </c>
      <c r="B1840" t="s">
        <v>44</v>
      </c>
      <c r="C1840" t="s">
        <v>846</v>
      </c>
      <c r="D1840">
        <v>0</v>
      </c>
      <c r="E1840" s="2">
        <v>12497.58</v>
      </c>
      <c r="F1840" s="2">
        <v>12497.58</v>
      </c>
    </row>
    <row r="1841" spans="1:6" x14ac:dyDescent="0.25">
      <c r="A1841" s="1">
        <v>44986</v>
      </c>
      <c r="B1841" t="s">
        <v>23</v>
      </c>
      <c r="C1841" t="s">
        <v>554</v>
      </c>
      <c r="D1841">
        <v>0</v>
      </c>
      <c r="E1841">
        <v>0</v>
      </c>
      <c r="F1841">
        <v>0</v>
      </c>
    </row>
    <row r="1842" spans="1:6" x14ac:dyDescent="0.25">
      <c r="A1842" s="1">
        <v>44986</v>
      </c>
      <c r="B1842" t="s">
        <v>53</v>
      </c>
      <c r="C1842" t="s">
        <v>495</v>
      </c>
      <c r="D1842" s="2">
        <v>250000</v>
      </c>
      <c r="E1842" s="2">
        <v>210000</v>
      </c>
      <c r="F1842" s="2">
        <v>210000</v>
      </c>
    </row>
    <row r="1843" spans="1:6" x14ac:dyDescent="0.25">
      <c r="A1843" s="1">
        <v>44986</v>
      </c>
      <c r="B1843" t="s">
        <v>17</v>
      </c>
      <c r="C1843" t="s">
        <v>270</v>
      </c>
      <c r="D1843" s="2">
        <v>-87364.95</v>
      </c>
      <c r="E1843" s="2">
        <v>1723468.35</v>
      </c>
      <c r="F1843" s="2">
        <v>1694144.26</v>
      </c>
    </row>
    <row r="1844" spans="1:6" x14ac:dyDescent="0.25">
      <c r="A1844" s="1">
        <v>44986</v>
      </c>
      <c r="B1844" t="s">
        <v>21</v>
      </c>
      <c r="C1844" t="s">
        <v>353</v>
      </c>
      <c r="D1844" s="2">
        <v>3008794</v>
      </c>
      <c r="E1844">
        <v>0</v>
      </c>
      <c r="F1844">
        <v>0</v>
      </c>
    </row>
    <row r="1845" spans="1:6" x14ac:dyDescent="0.25">
      <c r="A1845" s="1">
        <v>44986</v>
      </c>
      <c r="B1845" t="s">
        <v>50</v>
      </c>
      <c r="C1845" t="s">
        <v>243</v>
      </c>
      <c r="D1845" s="2">
        <v>6000000</v>
      </c>
      <c r="E1845" s="2">
        <v>1839299.39</v>
      </c>
      <c r="F1845" s="2">
        <v>15744.42</v>
      </c>
    </row>
    <row r="1846" spans="1:6" x14ac:dyDescent="0.25">
      <c r="A1846" s="1">
        <v>44986</v>
      </c>
      <c r="B1846" t="s">
        <v>17</v>
      </c>
      <c r="C1846" t="s">
        <v>954</v>
      </c>
      <c r="D1846">
        <v>0</v>
      </c>
      <c r="E1846">
        <v>0</v>
      </c>
      <c r="F1846">
        <v>0</v>
      </c>
    </row>
    <row r="1847" spans="1:6" x14ac:dyDescent="0.25">
      <c r="A1847" s="1">
        <v>44986</v>
      </c>
      <c r="B1847" t="s">
        <v>55</v>
      </c>
      <c r="C1847" t="s">
        <v>56</v>
      </c>
      <c r="D1847">
        <v>0</v>
      </c>
      <c r="E1847">
        <v>0</v>
      </c>
      <c r="F1847">
        <v>0</v>
      </c>
    </row>
    <row r="1848" spans="1:6" x14ac:dyDescent="0.25">
      <c r="A1848" s="1">
        <v>44986</v>
      </c>
      <c r="B1848" t="s">
        <v>1073</v>
      </c>
      <c r="C1848" t="s">
        <v>1021</v>
      </c>
      <c r="D1848">
        <v>0</v>
      </c>
      <c r="E1848">
        <v>0</v>
      </c>
      <c r="F1848">
        <v>0</v>
      </c>
    </row>
    <row r="1849" spans="1:6" x14ac:dyDescent="0.25">
      <c r="A1849" s="1">
        <v>44986</v>
      </c>
      <c r="B1849" t="s">
        <v>37</v>
      </c>
      <c r="C1849" t="s">
        <v>134</v>
      </c>
      <c r="D1849">
        <v>0</v>
      </c>
      <c r="E1849">
        <v>0</v>
      </c>
      <c r="F1849">
        <v>0</v>
      </c>
    </row>
    <row r="1850" spans="1:6" x14ac:dyDescent="0.25">
      <c r="A1850" s="1">
        <v>44986</v>
      </c>
      <c r="B1850" t="s">
        <v>48</v>
      </c>
      <c r="C1850" t="s">
        <v>1074</v>
      </c>
      <c r="D1850" s="2">
        <v>4339390</v>
      </c>
      <c r="E1850" s="2">
        <v>160530.62</v>
      </c>
      <c r="F1850" s="2">
        <v>160530.62</v>
      </c>
    </row>
    <row r="1851" spans="1:6" x14ac:dyDescent="0.25">
      <c r="A1851" s="1">
        <v>44986</v>
      </c>
      <c r="B1851" t="s">
        <v>272</v>
      </c>
      <c r="C1851" t="s">
        <v>537</v>
      </c>
      <c r="D1851" s="2">
        <v>2025.66</v>
      </c>
      <c r="E1851" s="2">
        <v>4894.1899999999996</v>
      </c>
      <c r="F1851" s="2">
        <v>4894.1899999999996</v>
      </c>
    </row>
    <row r="1852" spans="1:6" x14ac:dyDescent="0.25">
      <c r="A1852" s="1">
        <v>44986</v>
      </c>
      <c r="B1852" t="s">
        <v>17</v>
      </c>
      <c r="C1852" t="s">
        <v>1025</v>
      </c>
      <c r="D1852">
        <v>0</v>
      </c>
      <c r="E1852">
        <v>0</v>
      </c>
      <c r="F1852">
        <v>0</v>
      </c>
    </row>
    <row r="1853" spans="1:6" x14ac:dyDescent="0.25">
      <c r="A1853" s="1">
        <v>44986</v>
      </c>
      <c r="B1853" t="s">
        <v>196</v>
      </c>
      <c r="C1853" t="s">
        <v>912</v>
      </c>
      <c r="D1853">
        <v>0</v>
      </c>
      <c r="E1853">
        <v>0</v>
      </c>
      <c r="F1853">
        <v>0</v>
      </c>
    </row>
    <row r="1854" spans="1:6" x14ac:dyDescent="0.25">
      <c r="A1854" s="1">
        <v>44986</v>
      </c>
      <c r="B1854" t="s">
        <v>21</v>
      </c>
      <c r="C1854" t="s">
        <v>608</v>
      </c>
      <c r="D1854" s="2">
        <v>250000</v>
      </c>
      <c r="E1854" s="2">
        <v>446678.43</v>
      </c>
      <c r="F1854" s="2">
        <v>446678.43</v>
      </c>
    </row>
    <row r="1855" spans="1:6" x14ac:dyDescent="0.25">
      <c r="A1855" s="1">
        <v>44986</v>
      </c>
      <c r="B1855" t="s">
        <v>46</v>
      </c>
      <c r="C1855" t="s">
        <v>333</v>
      </c>
      <c r="D1855">
        <v>0</v>
      </c>
      <c r="E1855">
        <v>0</v>
      </c>
      <c r="F1855" s="2">
        <v>800000</v>
      </c>
    </row>
    <row r="1856" spans="1:6" x14ac:dyDescent="0.25">
      <c r="A1856" s="1">
        <v>44986</v>
      </c>
      <c r="B1856" t="s">
        <v>42</v>
      </c>
      <c r="C1856" t="s">
        <v>952</v>
      </c>
      <c r="D1856" s="2">
        <v>6984901.4500000002</v>
      </c>
      <c r="E1856" s="2">
        <v>6984901.4500000002</v>
      </c>
      <c r="F1856" s="2">
        <v>6984901.4500000002</v>
      </c>
    </row>
    <row r="1857" spans="1:6" x14ac:dyDescent="0.25">
      <c r="A1857" s="1">
        <v>44986</v>
      </c>
      <c r="B1857" t="s">
        <v>19</v>
      </c>
      <c r="C1857" t="s">
        <v>1050</v>
      </c>
      <c r="D1857">
        <v>0</v>
      </c>
      <c r="E1857" s="2">
        <v>2832.91</v>
      </c>
      <c r="F1857" s="2">
        <v>2832.91</v>
      </c>
    </row>
    <row r="1858" spans="1:6" x14ac:dyDescent="0.25">
      <c r="A1858" s="1">
        <v>44986</v>
      </c>
      <c r="B1858" t="s">
        <v>40</v>
      </c>
      <c r="C1858" t="s">
        <v>135</v>
      </c>
      <c r="D1858" s="2">
        <v>430914.84</v>
      </c>
      <c r="E1858" s="2">
        <v>430914.84</v>
      </c>
      <c r="F1858" s="2">
        <v>430918.44</v>
      </c>
    </row>
    <row r="1859" spans="1:6" x14ac:dyDescent="0.25">
      <c r="A1859" s="1">
        <v>44986</v>
      </c>
      <c r="B1859" t="s">
        <v>402</v>
      </c>
      <c r="C1859" t="s">
        <v>403</v>
      </c>
      <c r="D1859">
        <v>0</v>
      </c>
      <c r="E1859">
        <v>0</v>
      </c>
      <c r="F1859">
        <v>0</v>
      </c>
    </row>
    <row r="1860" spans="1:6" x14ac:dyDescent="0.25">
      <c r="A1860" s="1">
        <v>44986</v>
      </c>
      <c r="B1860" t="s">
        <v>21</v>
      </c>
      <c r="C1860" t="s">
        <v>329</v>
      </c>
      <c r="D1860" s="2">
        <v>40000000</v>
      </c>
      <c r="E1860" s="2">
        <v>3414619.06</v>
      </c>
      <c r="F1860" s="2">
        <v>3477890.55</v>
      </c>
    </row>
    <row r="1861" spans="1:6" x14ac:dyDescent="0.25">
      <c r="A1861" s="1">
        <v>44986</v>
      </c>
      <c r="B1861" t="s">
        <v>98</v>
      </c>
      <c r="C1861" t="s">
        <v>589</v>
      </c>
      <c r="D1861">
        <v>0</v>
      </c>
      <c r="E1861">
        <v>0</v>
      </c>
      <c r="F1861">
        <v>0</v>
      </c>
    </row>
    <row r="1862" spans="1:6" x14ac:dyDescent="0.25">
      <c r="A1862" s="1">
        <v>44986</v>
      </c>
      <c r="B1862" t="s">
        <v>29</v>
      </c>
      <c r="C1862" t="s">
        <v>30</v>
      </c>
      <c r="D1862">
        <v>0</v>
      </c>
      <c r="E1862">
        <v>0</v>
      </c>
      <c r="F1862">
        <v>0</v>
      </c>
    </row>
    <row r="1863" spans="1:6" x14ac:dyDescent="0.25">
      <c r="A1863" s="1">
        <v>44986</v>
      </c>
      <c r="B1863" t="s">
        <v>21</v>
      </c>
      <c r="C1863" t="s">
        <v>1075</v>
      </c>
      <c r="D1863">
        <v>0</v>
      </c>
      <c r="E1863">
        <v>0</v>
      </c>
      <c r="F1863">
        <v>0</v>
      </c>
    </row>
    <row r="1864" spans="1:6" x14ac:dyDescent="0.25">
      <c r="A1864" s="1">
        <v>44986</v>
      </c>
      <c r="B1864" t="s">
        <v>21</v>
      </c>
      <c r="C1864" t="s">
        <v>963</v>
      </c>
      <c r="D1864">
        <v>0</v>
      </c>
      <c r="E1864">
        <v>0</v>
      </c>
      <c r="F1864">
        <v>0</v>
      </c>
    </row>
    <row r="1865" spans="1:6" x14ac:dyDescent="0.25">
      <c r="A1865" s="1">
        <v>44986</v>
      </c>
      <c r="B1865" t="s">
        <v>11</v>
      </c>
      <c r="C1865" t="s">
        <v>83</v>
      </c>
      <c r="D1865">
        <v>0</v>
      </c>
      <c r="E1865" s="2">
        <v>9786898525.6299992</v>
      </c>
      <c r="F1865" s="2">
        <v>9786898525.6299992</v>
      </c>
    </row>
    <row r="1866" spans="1:6" x14ac:dyDescent="0.25">
      <c r="A1866" s="1">
        <v>44986</v>
      </c>
      <c r="B1866" t="s">
        <v>11</v>
      </c>
      <c r="C1866" t="s">
        <v>204</v>
      </c>
      <c r="D1866">
        <v>0</v>
      </c>
      <c r="E1866" s="2">
        <v>140474616.33000001</v>
      </c>
      <c r="F1866" s="2">
        <v>140474616.33000001</v>
      </c>
    </row>
    <row r="1867" spans="1:6" x14ac:dyDescent="0.25">
      <c r="A1867" s="1">
        <v>44986</v>
      </c>
      <c r="B1867" t="s">
        <v>118</v>
      </c>
      <c r="C1867" t="s">
        <v>379</v>
      </c>
      <c r="D1867" s="2">
        <v>8000</v>
      </c>
      <c r="E1867" s="2">
        <v>5857.67</v>
      </c>
      <c r="F1867" s="2">
        <v>1239.25</v>
      </c>
    </row>
    <row r="1868" spans="1:6" x14ac:dyDescent="0.25">
      <c r="A1868" s="1">
        <v>44986</v>
      </c>
      <c r="B1868" t="s">
        <v>48</v>
      </c>
      <c r="C1868" t="s">
        <v>1076</v>
      </c>
      <c r="D1868">
        <v>0</v>
      </c>
      <c r="E1868">
        <v>0</v>
      </c>
      <c r="F1868">
        <v>0</v>
      </c>
    </row>
    <row r="1869" spans="1:6" x14ac:dyDescent="0.25">
      <c r="A1869" s="1">
        <v>44986</v>
      </c>
      <c r="B1869" t="s">
        <v>37</v>
      </c>
      <c r="C1869" t="s">
        <v>151</v>
      </c>
      <c r="D1869">
        <v>0</v>
      </c>
      <c r="E1869" s="2">
        <v>431605.22</v>
      </c>
      <c r="F1869" s="2">
        <v>431605.22</v>
      </c>
    </row>
    <row r="1870" spans="1:6" x14ac:dyDescent="0.25">
      <c r="A1870" s="1">
        <v>44986</v>
      </c>
      <c r="B1870" t="s">
        <v>278</v>
      </c>
      <c r="C1870" t="s">
        <v>481</v>
      </c>
      <c r="D1870" s="2">
        <v>313236476.44</v>
      </c>
      <c r="E1870" s="2">
        <v>312128655.62</v>
      </c>
      <c r="F1870" s="2">
        <v>312128655.62</v>
      </c>
    </row>
    <row r="1871" spans="1:6" x14ac:dyDescent="0.25">
      <c r="A1871" s="1">
        <v>44986</v>
      </c>
      <c r="B1871" t="s">
        <v>17</v>
      </c>
      <c r="C1871" t="s">
        <v>1051</v>
      </c>
      <c r="D1871">
        <v>0</v>
      </c>
      <c r="E1871">
        <v>0</v>
      </c>
      <c r="F1871">
        <v>0</v>
      </c>
    </row>
    <row r="1872" spans="1:6" x14ac:dyDescent="0.25">
      <c r="A1872" s="1">
        <v>44986</v>
      </c>
      <c r="B1872" t="s">
        <v>1058</v>
      </c>
      <c r="C1872" t="s">
        <v>1059</v>
      </c>
      <c r="D1872" s="2">
        <v>80586846.969999999</v>
      </c>
      <c r="E1872" s="2">
        <v>69635788.469999999</v>
      </c>
      <c r="F1872" s="2">
        <v>69253822.730000004</v>
      </c>
    </row>
    <row r="1873" spans="1:6" x14ac:dyDescent="0.25">
      <c r="A1873" s="1">
        <v>44986</v>
      </c>
      <c r="B1873" t="s">
        <v>490</v>
      </c>
      <c r="C1873" t="s">
        <v>491</v>
      </c>
      <c r="D1873" s="2">
        <v>114984325.19</v>
      </c>
      <c r="E1873" s="2">
        <v>102814910.72</v>
      </c>
      <c r="F1873" s="2">
        <v>102309441.56999999</v>
      </c>
    </row>
    <row r="1874" spans="1:6" x14ac:dyDescent="0.25">
      <c r="A1874" s="1">
        <v>44986</v>
      </c>
      <c r="B1874" t="s">
        <v>282</v>
      </c>
      <c r="C1874" t="s">
        <v>1056</v>
      </c>
      <c r="D1874">
        <v>0</v>
      </c>
      <c r="E1874">
        <v>0</v>
      </c>
      <c r="F1874">
        <v>0</v>
      </c>
    </row>
    <row r="1875" spans="1:6" x14ac:dyDescent="0.25">
      <c r="A1875" s="1">
        <v>44986</v>
      </c>
      <c r="B1875" t="s">
        <v>40</v>
      </c>
      <c r="C1875" t="s">
        <v>859</v>
      </c>
      <c r="D1875">
        <v>0</v>
      </c>
      <c r="E1875">
        <v>0</v>
      </c>
      <c r="F1875">
        <v>0</v>
      </c>
    </row>
    <row r="1876" spans="1:6" x14ac:dyDescent="0.25">
      <c r="A1876" s="1">
        <v>44986</v>
      </c>
      <c r="B1876" t="s">
        <v>23</v>
      </c>
      <c r="C1876" t="s">
        <v>347</v>
      </c>
      <c r="D1876">
        <v>0</v>
      </c>
      <c r="E1876">
        <v>0</v>
      </c>
      <c r="F1876">
        <v>0</v>
      </c>
    </row>
    <row r="1877" spans="1:6" x14ac:dyDescent="0.25">
      <c r="A1877" s="1">
        <v>44986</v>
      </c>
      <c r="B1877" t="s">
        <v>441</v>
      </c>
      <c r="C1877" t="s">
        <v>442</v>
      </c>
      <c r="D1877">
        <v>0</v>
      </c>
      <c r="E1877">
        <v>0</v>
      </c>
      <c r="F1877">
        <v>0</v>
      </c>
    </row>
    <row r="1878" spans="1:6" x14ac:dyDescent="0.25">
      <c r="A1878" s="1">
        <v>44986</v>
      </c>
      <c r="B1878" t="s">
        <v>181</v>
      </c>
      <c r="C1878" t="s">
        <v>363</v>
      </c>
      <c r="D1878">
        <v>0</v>
      </c>
      <c r="E1878">
        <v>0</v>
      </c>
      <c r="F1878">
        <v>0</v>
      </c>
    </row>
    <row r="1879" spans="1:6" x14ac:dyDescent="0.25">
      <c r="A1879" s="1">
        <v>44986</v>
      </c>
      <c r="B1879" t="s">
        <v>55</v>
      </c>
      <c r="C1879" t="s">
        <v>482</v>
      </c>
      <c r="D1879">
        <v>0</v>
      </c>
      <c r="E1879">
        <v>0</v>
      </c>
      <c r="F1879">
        <v>0</v>
      </c>
    </row>
    <row r="1880" spans="1:6" x14ac:dyDescent="0.25">
      <c r="A1880" s="1">
        <v>44986</v>
      </c>
      <c r="B1880" t="s">
        <v>694</v>
      </c>
      <c r="C1880" t="s">
        <v>658</v>
      </c>
      <c r="D1880">
        <v>0</v>
      </c>
      <c r="E1880">
        <v>0</v>
      </c>
      <c r="F1880">
        <v>0</v>
      </c>
    </row>
    <row r="1881" spans="1:6" x14ac:dyDescent="0.25">
      <c r="A1881" s="1">
        <v>44986</v>
      </c>
      <c r="B1881" t="s">
        <v>101</v>
      </c>
      <c r="C1881" t="s">
        <v>477</v>
      </c>
      <c r="D1881">
        <v>0</v>
      </c>
      <c r="E1881">
        <v>0</v>
      </c>
      <c r="F1881">
        <v>0</v>
      </c>
    </row>
    <row r="1882" spans="1:6" x14ac:dyDescent="0.25">
      <c r="A1882" s="1">
        <v>44986</v>
      </c>
      <c r="B1882" t="s">
        <v>185</v>
      </c>
      <c r="C1882" t="s">
        <v>190</v>
      </c>
      <c r="D1882" s="2">
        <v>41910107.740000002</v>
      </c>
      <c r="E1882" s="2">
        <v>43269332.229999997</v>
      </c>
      <c r="F1882" s="2">
        <v>43269332.229999997</v>
      </c>
    </row>
    <row r="1883" spans="1:6" x14ac:dyDescent="0.25">
      <c r="A1883" s="1">
        <v>44986</v>
      </c>
      <c r="B1883" t="s">
        <v>29</v>
      </c>
      <c r="C1883" t="s">
        <v>180</v>
      </c>
      <c r="D1883">
        <v>0</v>
      </c>
      <c r="E1883">
        <v>0</v>
      </c>
      <c r="F1883">
        <v>0</v>
      </c>
    </row>
    <row r="1884" spans="1:6" x14ac:dyDescent="0.25">
      <c r="A1884" s="1">
        <v>44986</v>
      </c>
      <c r="B1884" t="s">
        <v>48</v>
      </c>
      <c r="C1884" t="s">
        <v>1077</v>
      </c>
      <c r="D1884" s="2">
        <v>8500000</v>
      </c>
      <c r="E1884" s="2">
        <v>8500000</v>
      </c>
      <c r="F1884">
        <v>0</v>
      </c>
    </row>
    <row r="1885" spans="1:6" x14ac:dyDescent="0.25">
      <c r="A1885" s="1">
        <v>44986</v>
      </c>
      <c r="B1885" t="s">
        <v>344</v>
      </c>
      <c r="C1885" t="s">
        <v>672</v>
      </c>
      <c r="D1885">
        <v>0</v>
      </c>
      <c r="E1885">
        <v>0</v>
      </c>
      <c r="F1885">
        <v>0</v>
      </c>
    </row>
    <row r="1886" spans="1:6" x14ac:dyDescent="0.25">
      <c r="A1886" s="1">
        <v>44986</v>
      </c>
      <c r="B1886" t="s">
        <v>48</v>
      </c>
      <c r="C1886" t="s">
        <v>1078</v>
      </c>
      <c r="D1886">
        <v>0</v>
      </c>
      <c r="E1886">
        <v>0</v>
      </c>
      <c r="F1886">
        <v>0</v>
      </c>
    </row>
    <row r="1887" spans="1:6" x14ac:dyDescent="0.25">
      <c r="A1887" s="1">
        <v>44986</v>
      </c>
      <c r="B1887" t="s">
        <v>23</v>
      </c>
      <c r="C1887" t="s">
        <v>1055</v>
      </c>
      <c r="D1887" s="2">
        <v>254545.86</v>
      </c>
      <c r="E1887" s="2">
        <v>75247.5</v>
      </c>
      <c r="F1887" s="2">
        <v>149033</v>
      </c>
    </row>
    <row r="1888" spans="1:6" x14ac:dyDescent="0.25">
      <c r="A1888" s="1">
        <v>44986</v>
      </c>
      <c r="B1888" t="s">
        <v>48</v>
      </c>
      <c r="C1888" t="s">
        <v>1079</v>
      </c>
      <c r="D1888" s="2">
        <v>63000</v>
      </c>
      <c r="E1888" s="2">
        <v>58944.67</v>
      </c>
      <c r="F1888" s="2">
        <v>58944.67</v>
      </c>
    </row>
    <row r="1889" spans="1:6" x14ac:dyDescent="0.25">
      <c r="A1889" s="1">
        <v>44986</v>
      </c>
      <c r="B1889" t="s">
        <v>15</v>
      </c>
      <c r="C1889" t="s">
        <v>16</v>
      </c>
      <c r="D1889" s="2">
        <v>578779.57999999996</v>
      </c>
      <c r="E1889" s="2">
        <v>578779.57999999996</v>
      </c>
      <c r="F1889" s="2">
        <v>482894.1</v>
      </c>
    </row>
    <row r="1890" spans="1:6" x14ac:dyDescent="0.25">
      <c r="A1890" s="1">
        <v>44986</v>
      </c>
      <c r="B1890" t="s">
        <v>234</v>
      </c>
      <c r="C1890" t="s">
        <v>235</v>
      </c>
      <c r="D1890" s="2">
        <v>20236.63</v>
      </c>
      <c r="E1890" s="2">
        <v>85236.5</v>
      </c>
      <c r="F1890" s="2">
        <v>86568.73</v>
      </c>
    </row>
    <row r="1891" spans="1:6" x14ac:dyDescent="0.25">
      <c r="A1891" s="1">
        <v>44986</v>
      </c>
      <c r="B1891" t="s">
        <v>42</v>
      </c>
      <c r="C1891" t="s">
        <v>1080</v>
      </c>
      <c r="D1891" s="2">
        <v>29603.16</v>
      </c>
      <c r="E1891" s="2">
        <v>29603.16</v>
      </c>
      <c r="F1891" s="2">
        <v>29603.16</v>
      </c>
    </row>
    <row r="1892" spans="1:6" x14ac:dyDescent="0.25">
      <c r="A1892" s="1">
        <v>44986</v>
      </c>
      <c r="B1892" t="s">
        <v>55</v>
      </c>
      <c r="C1892" t="s">
        <v>203</v>
      </c>
      <c r="D1892">
        <v>0</v>
      </c>
      <c r="E1892">
        <v>0</v>
      </c>
      <c r="F1892">
        <v>0</v>
      </c>
    </row>
    <row r="1893" spans="1:6" x14ac:dyDescent="0.25">
      <c r="A1893" s="1">
        <v>44986</v>
      </c>
      <c r="B1893" t="s">
        <v>21</v>
      </c>
      <c r="C1893" t="s">
        <v>976</v>
      </c>
      <c r="D1893">
        <v>0</v>
      </c>
      <c r="E1893">
        <v>0</v>
      </c>
      <c r="F1893">
        <v>0</v>
      </c>
    </row>
    <row r="1894" spans="1:6" x14ac:dyDescent="0.25">
      <c r="A1894" s="1">
        <v>44986</v>
      </c>
      <c r="B1894" t="s">
        <v>118</v>
      </c>
      <c r="C1894" t="s">
        <v>1081</v>
      </c>
      <c r="D1894">
        <v>0</v>
      </c>
      <c r="E1894">
        <v>0</v>
      </c>
      <c r="F1894">
        <v>0</v>
      </c>
    </row>
    <row r="1895" spans="1:6" x14ac:dyDescent="0.25">
      <c r="A1895" s="1">
        <v>44986</v>
      </c>
      <c r="B1895" t="s">
        <v>40</v>
      </c>
      <c r="C1895" t="s">
        <v>1082</v>
      </c>
      <c r="D1895" s="2">
        <v>749802.78</v>
      </c>
      <c r="E1895">
        <v>0</v>
      </c>
      <c r="F1895">
        <v>0</v>
      </c>
    </row>
    <row r="1896" spans="1:6" x14ac:dyDescent="0.25">
      <c r="A1896" s="1">
        <v>44986</v>
      </c>
      <c r="B1896" t="s">
        <v>118</v>
      </c>
      <c r="C1896" t="s">
        <v>308</v>
      </c>
      <c r="D1896" s="2">
        <v>20000</v>
      </c>
      <c r="E1896">
        <v>142.19999999999999</v>
      </c>
      <c r="F1896">
        <v>142.19999999999999</v>
      </c>
    </row>
    <row r="1897" spans="1:6" x14ac:dyDescent="0.25">
      <c r="A1897" s="1">
        <v>44986</v>
      </c>
      <c r="B1897" t="s">
        <v>7</v>
      </c>
      <c r="C1897" t="s">
        <v>448</v>
      </c>
      <c r="D1897" s="2">
        <v>-2949513.5</v>
      </c>
      <c r="E1897" s="2">
        <v>5603140.9100000001</v>
      </c>
      <c r="F1897" s="2">
        <v>5603140.9100000001</v>
      </c>
    </row>
    <row r="1898" spans="1:6" x14ac:dyDescent="0.25">
      <c r="A1898" s="1">
        <v>44986</v>
      </c>
      <c r="B1898" t="s">
        <v>225</v>
      </c>
      <c r="C1898" t="s">
        <v>315</v>
      </c>
      <c r="D1898">
        <v>0</v>
      </c>
      <c r="E1898">
        <v>0</v>
      </c>
      <c r="F1898">
        <v>0</v>
      </c>
    </row>
    <row r="1899" spans="1:6" x14ac:dyDescent="0.25">
      <c r="A1899" s="1">
        <v>44986</v>
      </c>
      <c r="B1899" t="s">
        <v>40</v>
      </c>
      <c r="C1899" t="s">
        <v>1083</v>
      </c>
      <c r="D1899" s="2">
        <v>2391601.31</v>
      </c>
      <c r="E1899">
        <v>0</v>
      </c>
      <c r="F1899">
        <v>0</v>
      </c>
    </row>
    <row r="1900" spans="1:6" x14ac:dyDescent="0.25">
      <c r="A1900" s="1">
        <v>44986</v>
      </c>
      <c r="B1900" t="s">
        <v>46</v>
      </c>
      <c r="C1900" t="s">
        <v>89</v>
      </c>
      <c r="D1900">
        <v>0</v>
      </c>
      <c r="E1900" s="2">
        <v>63980.4</v>
      </c>
      <c r="F1900">
        <v>0</v>
      </c>
    </row>
    <row r="1901" spans="1:6" x14ac:dyDescent="0.25">
      <c r="A1901" s="1">
        <v>44986</v>
      </c>
      <c r="B1901" t="s">
        <v>98</v>
      </c>
      <c r="C1901" t="s">
        <v>469</v>
      </c>
      <c r="D1901">
        <v>0</v>
      </c>
      <c r="E1901">
        <v>0</v>
      </c>
      <c r="F1901">
        <v>0</v>
      </c>
    </row>
    <row r="1902" spans="1:6" x14ac:dyDescent="0.25">
      <c r="A1902" s="1">
        <v>44986</v>
      </c>
      <c r="B1902" t="s">
        <v>107</v>
      </c>
      <c r="C1902" t="s">
        <v>513</v>
      </c>
      <c r="D1902" s="2">
        <v>-306454.87</v>
      </c>
      <c r="E1902" s="2">
        <v>35840.339999999997</v>
      </c>
      <c r="F1902" s="2">
        <v>58632.66</v>
      </c>
    </row>
    <row r="1903" spans="1:6" x14ac:dyDescent="0.25">
      <c r="A1903" s="1">
        <v>44986</v>
      </c>
      <c r="B1903" t="s">
        <v>29</v>
      </c>
      <c r="C1903" t="s">
        <v>60</v>
      </c>
      <c r="D1903" s="2">
        <v>260000</v>
      </c>
      <c r="E1903" s="2">
        <v>160202.39000000001</v>
      </c>
      <c r="F1903" s="2">
        <v>156270.21</v>
      </c>
    </row>
    <row r="1904" spans="1:6" x14ac:dyDescent="0.25">
      <c r="A1904" s="1">
        <v>44986</v>
      </c>
      <c r="B1904" t="s">
        <v>105</v>
      </c>
      <c r="C1904" t="s">
        <v>1084</v>
      </c>
      <c r="D1904">
        <v>0</v>
      </c>
      <c r="E1904">
        <v>0</v>
      </c>
      <c r="F1904">
        <v>0</v>
      </c>
    </row>
    <row r="1905" spans="1:6" x14ac:dyDescent="0.25">
      <c r="A1905" s="1">
        <v>44986</v>
      </c>
      <c r="B1905" t="s">
        <v>40</v>
      </c>
      <c r="C1905" t="s">
        <v>541</v>
      </c>
      <c r="D1905" s="2">
        <v>49306.44</v>
      </c>
      <c r="E1905" s="2">
        <v>78360.009999999995</v>
      </c>
      <c r="F1905" s="2">
        <v>78360.009999999995</v>
      </c>
    </row>
    <row r="1906" spans="1:6" x14ac:dyDescent="0.25">
      <c r="A1906" s="1">
        <v>44986</v>
      </c>
      <c r="B1906" t="s">
        <v>31</v>
      </c>
      <c r="C1906" t="s">
        <v>290</v>
      </c>
      <c r="D1906">
        <v>0</v>
      </c>
      <c r="E1906">
        <v>0</v>
      </c>
      <c r="F1906">
        <v>0</v>
      </c>
    </row>
    <row r="1907" spans="1:6" x14ac:dyDescent="0.25">
      <c r="A1907" s="1">
        <v>44986</v>
      </c>
      <c r="B1907" t="s">
        <v>21</v>
      </c>
      <c r="C1907" t="s">
        <v>211</v>
      </c>
      <c r="D1907">
        <v>0</v>
      </c>
      <c r="E1907">
        <v>0</v>
      </c>
      <c r="F1907">
        <v>0</v>
      </c>
    </row>
    <row r="1908" spans="1:6" x14ac:dyDescent="0.25">
      <c r="A1908" s="1">
        <v>44986</v>
      </c>
      <c r="B1908" t="s">
        <v>17</v>
      </c>
      <c r="C1908" t="s">
        <v>477</v>
      </c>
      <c r="D1908">
        <v>0</v>
      </c>
      <c r="E1908">
        <v>0</v>
      </c>
      <c r="F1908">
        <v>0</v>
      </c>
    </row>
    <row r="1909" spans="1:6" x14ac:dyDescent="0.25">
      <c r="A1909" s="1">
        <v>44986</v>
      </c>
      <c r="B1909" t="s">
        <v>21</v>
      </c>
      <c r="C1909" t="s">
        <v>366</v>
      </c>
      <c r="D1909" s="2">
        <v>143600.85</v>
      </c>
      <c r="E1909" s="2">
        <v>8000</v>
      </c>
      <c r="F1909" s="2">
        <v>8000</v>
      </c>
    </row>
    <row r="1910" spans="1:6" x14ac:dyDescent="0.25">
      <c r="A1910" s="1">
        <v>44986</v>
      </c>
      <c r="B1910" t="s">
        <v>132</v>
      </c>
      <c r="C1910" t="s">
        <v>133</v>
      </c>
      <c r="D1910">
        <v>0</v>
      </c>
      <c r="E1910">
        <v>0</v>
      </c>
      <c r="F1910">
        <v>0</v>
      </c>
    </row>
    <row r="1911" spans="1:6" x14ac:dyDescent="0.25">
      <c r="A1911" s="1">
        <v>44986</v>
      </c>
      <c r="B1911" t="s">
        <v>114</v>
      </c>
      <c r="C1911" t="s">
        <v>1085</v>
      </c>
      <c r="D1911">
        <v>0</v>
      </c>
      <c r="E1911">
        <v>0</v>
      </c>
      <c r="F1911">
        <v>0</v>
      </c>
    </row>
    <row r="1912" spans="1:6" x14ac:dyDescent="0.25">
      <c r="A1912" s="1">
        <v>44986</v>
      </c>
      <c r="B1912" t="s">
        <v>81</v>
      </c>
      <c r="C1912" t="s">
        <v>500</v>
      </c>
      <c r="D1912">
        <v>0</v>
      </c>
      <c r="E1912">
        <v>0</v>
      </c>
      <c r="F1912">
        <v>0</v>
      </c>
    </row>
    <row r="1913" spans="1:6" x14ac:dyDescent="0.25">
      <c r="A1913" s="1">
        <v>44986</v>
      </c>
      <c r="B1913" t="s">
        <v>187</v>
      </c>
      <c r="C1913" t="s">
        <v>1008</v>
      </c>
      <c r="D1913">
        <v>0</v>
      </c>
      <c r="E1913" s="2">
        <v>11871.69</v>
      </c>
      <c r="F1913" s="2">
        <v>11871.69</v>
      </c>
    </row>
    <row r="1914" spans="1:6" x14ac:dyDescent="0.25">
      <c r="A1914" s="1">
        <v>44986</v>
      </c>
      <c r="B1914" t="s">
        <v>398</v>
      </c>
      <c r="C1914" t="s">
        <v>1046</v>
      </c>
      <c r="D1914" s="2">
        <v>5017724</v>
      </c>
      <c r="E1914">
        <v>0</v>
      </c>
      <c r="F1914">
        <v>0</v>
      </c>
    </row>
    <row r="1915" spans="1:6" x14ac:dyDescent="0.25">
      <c r="A1915" s="1">
        <v>44986</v>
      </c>
      <c r="B1915" t="s">
        <v>932</v>
      </c>
      <c r="C1915" t="s">
        <v>685</v>
      </c>
      <c r="D1915">
        <v>0</v>
      </c>
      <c r="E1915">
        <v>0</v>
      </c>
      <c r="F1915">
        <v>0</v>
      </c>
    </row>
    <row r="1916" spans="1:6" x14ac:dyDescent="0.25">
      <c r="A1916" s="1">
        <v>44986</v>
      </c>
      <c r="B1916" t="s">
        <v>234</v>
      </c>
      <c r="C1916" t="s">
        <v>454</v>
      </c>
      <c r="D1916">
        <v>0</v>
      </c>
      <c r="E1916">
        <v>0</v>
      </c>
      <c r="F1916">
        <v>0</v>
      </c>
    </row>
    <row r="1917" spans="1:6" x14ac:dyDescent="0.25">
      <c r="A1917" s="1">
        <v>44986</v>
      </c>
      <c r="B1917" t="s">
        <v>234</v>
      </c>
      <c r="C1917" t="s">
        <v>284</v>
      </c>
      <c r="D1917" s="2">
        <v>3689264481</v>
      </c>
      <c r="E1917" s="2">
        <v>3689264481</v>
      </c>
      <c r="F1917" s="2">
        <v>3689264481</v>
      </c>
    </row>
    <row r="1918" spans="1:6" x14ac:dyDescent="0.25">
      <c r="A1918" s="1">
        <v>44986</v>
      </c>
      <c r="B1918" t="s">
        <v>50</v>
      </c>
      <c r="C1918" t="s">
        <v>1086</v>
      </c>
      <c r="D1918" s="2">
        <v>50000000</v>
      </c>
      <c r="E1918">
        <v>0</v>
      </c>
      <c r="F1918">
        <v>0</v>
      </c>
    </row>
    <row r="1919" spans="1:6" x14ac:dyDescent="0.25">
      <c r="A1919" s="1">
        <v>44986</v>
      </c>
      <c r="B1919" t="s">
        <v>21</v>
      </c>
      <c r="C1919" t="s">
        <v>622</v>
      </c>
      <c r="D1919">
        <v>0</v>
      </c>
      <c r="E1919" s="2">
        <v>189849.57</v>
      </c>
      <c r="F1919" s="2">
        <v>60764.66</v>
      </c>
    </row>
    <row r="1920" spans="1:6" x14ac:dyDescent="0.25">
      <c r="A1920" s="1">
        <v>44986</v>
      </c>
      <c r="B1920" t="s">
        <v>42</v>
      </c>
      <c r="C1920" t="s">
        <v>1087</v>
      </c>
      <c r="D1920">
        <v>0</v>
      </c>
      <c r="E1920">
        <v>0</v>
      </c>
      <c r="F1920">
        <v>0</v>
      </c>
    </row>
    <row r="1921" spans="1:6" x14ac:dyDescent="0.25">
      <c r="A1921" s="1">
        <v>44986</v>
      </c>
      <c r="B1921" t="s">
        <v>53</v>
      </c>
      <c r="C1921" t="s">
        <v>237</v>
      </c>
      <c r="D1921">
        <v>0</v>
      </c>
      <c r="E1921" s="2">
        <v>9282443.1999999993</v>
      </c>
      <c r="F1921" s="2">
        <v>9282443.1999999993</v>
      </c>
    </row>
    <row r="1922" spans="1:6" x14ac:dyDescent="0.25">
      <c r="A1922" s="1">
        <v>44986</v>
      </c>
      <c r="B1922" t="s">
        <v>17</v>
      </c>
      <c r="C1922" t="s">
        <v>1034</v>
      </c>
      <c r="D1922">
        <v>0</v>
      </c>
      <c r="E1922">
        <v>0</v>
      </c>
      <c r="F1922">
        <v>0</v>
      </c>
    </row>
    <row r="1923" spans="1:6" x14ac:dyDescent="0.25">
      <c r="A1923" s="1">
        <v>44986</v>
      </c>
      <c r="B1923" t="s">
        <v>11</v>
      </c>
      <c r="C1923" t="s">
        <v>12</v>
      </c>
      <c r="D1923">
        <v>0</v>
      </c>
      <c r="E1923" s="2">
        <v>4879854403.4700003</v>
      </c>
      <c r="F1923" s="2">
        <v>4879854403.4700003</v>
      </c>
    </row>
    <row r="1924" spans="1:6" x14ac:dyDescent="0.25">
      <c r="A1924" s="1">
        <v>44986</v>
      </c>
      <c r="B1924" t="s">
        <v>11</v>
      </c>
      <c r="C1924" t="s">
        <v>231</v>
      </c>
      <c r="D1924" s="2">
        <v>3155206532.1999998</v>
      </c>
      <c r="E1924" s="2">
        <v>3122605976.9299998</v>
      </c>
      <c r="F1924" s="2">
        <v>3122605976.9299998</v>
      </c>
    </row>
    <row r="1925" spans="1:6" x14ac:dyDescent="0.25">
      <c r="A1925" s="1">
        <v>44986</v>
      </c>
      <c r="B1925" t="s">
        <v>50</v>
      </c>
      <c r="C1925" t="s">
        <v>352</v>
      </c>
      <c r="D1925">
        <v>0</v>
      </c>
      <c r="E1925">
        <v>0</v>
      </c>
      <c r="F1925">
        <v>0</v>
      </c>
    </row>
    <row r="1926" spans="1:6" x14ac:dyDescent="0.25">
      <c r="A1926" s="1">
        <v>44986</v>
      </c>
      <c r="B1926" t="s">
        <v>21</v>
      </c>
      <c r="C1926" t="s">
        <v>122</v>
      </c>
      <c r="D1926">
        <v>0</v>
      </c>
      <c r="E1926">
        <v>0</v>
      </c>
      <c r="F1926">
        <v>0</v>
      </c>
    </row>
    <row r="1927" spans="1:6" x14ac:dyDescent="0.25">
      <c r="A1927" s="1">
        <v>44986</v>
      </c>
      <c r="B1927" t="s">
        <v>40</v>
      </c>
      <c r="C1927" t="s">
        <v>531</v>
      </c>
      <c r="D1927">
        <v>0</v>
      </c>
      <c r="E1927">
        <v>0</v>
      </c>
      <c r="F1927">
        <v>0</v>
      </c>
    </row>
    <row r="1928" spans="1:6" x14ac:dyDescent="0.25">
      <c r="A1928" s="1">
        <v>44986</v>
      </c>
      <c r="B1928" t="s">
        <v>143</v>
      </c>
      <c r="C1928" t="s">
        <v>792</v>
      </c>
      <c r="D1928">
        <v>0</v>
      </c>
      <c r="E1928" s="2">
        <v>100678863</v>
      </c>
      <c r="F1928" s="2">
        <v>100678863</v>
      </c>
    </row>
    <row r="1929" spans="1:6" x14ac:dyDescent="0.25">
      <c r="A1929" s="1">
        <v>44986</v>
      </c>
      <c r="B1929" t="s">
        <v>234</v>
      </c>
      <c r="C1929" t="s">
        <v>412</v>
      </c>
      <c r="D1929">
        <v>0</v>
      </c>
      <c r="E1929">
        <v>0</v>
      </c>
      <c r="F1929">
        <v>0</v>
      </c>
    </row>
    <row r="1930" spans="1:6" x14ac:dyDescent="0.25">
      <c r="A1930" s="1">
        <v>44986</v>
      </c>
      <c r="B1930" t="s">
        <v>23</v>
      </c>
      <c r="C1930" t="s">
        <v>1088</v>
      </c>
      <c r="D1930" s="2">
        <v>2000000</v>
      </c>
      <c r="E1930">
        <v>0</v>
      </c>
      <c r="F1930">
        <v>0</v>
      </c>
    </row>
    <row r="1931" spans="1:6" x14ac:dyDescent="0.25">
      <c r="A1931" s="1">
        <v>44986</v>
      </c>
      <c r="B1931" t="s">
        <v>196</v>
      </c>
      <c r="C1931" t="s">
        <v>267</v>
      </c>
      <c r="D1931">
        <v>0</v>
      </c>
      <c r="E1931">
        <v>0</v>
      </c>
      <c r="F1931">
        <v>0</v>
      </c>
    </row>
    <row r="1932" spans="1:6" x14ac:dyDescent="0.25">
      <c r="A1932" s="1">
        <v>44986</v>
      </c>
      <c r="B1932" t="s">
        <v>118</v>
      </c>
      <c r="C1932" t="s">
        <v>957</v>
      </c>
      <c r="D1932">
        <v>0</v>
      </c>
      <c r="E1932">
        <v>0</v>
      </c>
      <c r="F1932">
        <v>0</v>
      </c>
    </row>
    <row r="1933" spans="1:6" x14ac:dyDescent="0.25">
      <c r="A1933" s="1">
        <v>44986</v>
      </c>
      <c r="B1933" t="s">
        <v>98</v>
      </c>
      <c r="C1933" t="s">
        <v>304</v>
      </c>
      <c r="D1933">
        <v>0</v>
      </c>
      <c r="E1933">
        <v>0</v>
      </c>
      <c r="F1933">
        <v>0</v>
      </c>
    </row>
    <row r="1934" spans="1:6" x14ac:dyDescent="0.25">
      <c r="A1934" s="1">
        <v>44986</v>
      </c>
      <c r="B1934" t="s">
        <v>11</v>
      </c>
      <c r="C1934" t="s">
        <v>479</v>
      </c>
      <c r="D1934">
        <v>0</v>
      </c>
      <c r="E1934" s="2">
        <v>615784876.62</v>
      </c>
      <c r="F1934" s="2">
        <v>615784876.62</v>
      </c>
    </row>
    <row r="1935" spans="1:6" x14ac:dyDescent="0.25">
      <c r="A1935" s="1">
        <v>44986</v>
      </c>
      <c r="B1935" t="s">
        <v>11</v>
      </c>
      <c r="C1935" t="s">
        <v>342</v>
      </c>
      <c r="D1935" s="2">
        <v>559968449.40999997</v>
      </c>
      <c r="E1935" s="2">
        <v>575691669.40999997</v>
      </c>
      <c r="F1935" s="2">
        <v>574328668.41999996</v>
      </c>
    </row>
    <row r="1936" spans="1:6" x14ac:dyDescent="0.25">
      <c r="A1936" s="1">
        <v>44986</v>
      </c>
      <c r="B1936" t="s">
        <v>50</v>
      </c>
      <c r="C1936" t="s">
        <v>787</v>
      </c>
      <c r="D1936" s="2">
        <v>74367713.879999995</v>
      </c>
      <c r="E1936" s="2">
        <v>1767455.99</v>
      </c>
      <c r="F1936" s="2">
        <v>20296.75</v>
      </c>
    </row>
    <row r="1937" spans="1:6" x14ac:dyDescent="0.25">
      <c r="A1937" s="1">
        <v>44986</v>
      </c>
      <c r="B1937" t="s">
        <v>44</v>
      </c>
      <c r="C1937" t="s">
        <v>254</v>
      </c>
      <c r="D1937" s="2">
        <v>204956.27</v>
      </c>
      <c r="E1937" s="2">
        <v>4695.88</v>
      </c>
      <c r="F1937" s="2">
        <v>4695.88</v>
      </c>
    </row>
    <row r="1938" spans="1:6" x14ac:dyDescent="0.25">
      <c r="A1938" s="1">
        <v>44986</v>
      </c>
      <c r="B1938" t="s">
        <v>118</v>
      </c>
      <c r="C1938" t="s">
        <v>508</v>
      </c>
      <c r="D1938">
        <v>0</v>
      </c>
      <c r="E1938">
        <v>0</v>
      </c>
      <c r="F1938">
        <v>0</v>
      </c>
    </row>
    <row r="1939" spans="1:6" x14ac:dyDescent="0.25">
      <c r="A1939" s="1">
        <v>44986</v>
      </c>
      <c r="B1939" t="s">
        <v>278</v>
      </c>
      <c r="C1939" t="s">
        <v>279</v>
      </c>
      <c r="D1939" s="2">
        <v>1526692.67</v>
      </c>
      <c r="E1939" s="2">
        <v>121019.5</v>
      </c>
      <c r="F1939" s="2">
        <v>121019.5</v>
      </c>
    </row>
    <row r="1940" spans="1:6" x14ac:dyDescent="0.25">
      <c r="A1940" s="1">
        <v>44986</v>
      </c>
      <c r="B1940" t="s">
        <v>48</v>
      </c>
      <c r="C1940" t="s">
        <v>1089</v>
      </c>
      <c r="D1940">
        <v>0</v>
      </c>
      <c r="E1940">
        <v>0</v>
      </c>
      <c r="F1940">
        <v>0</v>
      </c>
    </row>
    <row r="1941" spans="1:6" x14ac:dyDescent="0.25">
      <c r="A1941" s="1">
        <v>44986</v>
      </c>
      <c r="B1941" t="s">
        <v>17</v>
      </c>
      <c r="C1941" t="s">
        <v>935</v>
      </c>
      <c r="D1941" s="2">
        <v>2957564.72</v>
      </c>
      <c r="E1941">
        <v>0.16</v>
      </c>
      <c r="F1941">
        <v>0</v>
      </c>
    </row>
    <row r="1942" spans="1:6" x14ac:dyDescent="0.25">
      <c r="A1942" s="1">
        <v>44986</v>
      </c>
      <c r="B1942" t="s">
        <v>19</v>
      </c>
      <c r="C1942" t="s">
        <v>156</v>
      </c>
      <c r="D1942" s="2">
        <v>-160000</v>
      </c>
      <c r="E1942" s="2">
        <v>76641.42</v>
      </c>
      <c r="F1942" s="2">
        <v>77377.279999999999</v>
      </c>
    </row>
    <row r="1943" spans="1:6" x14ac:dyDescent="0.25">
      <c r="A1943" s="1">
        <v>44986</v>
      </c>
      <c r="B1943" t="s">
        <v>648</v>
      </c>
      <c r="C1943" t="s">
        <v>1047</v>
      </c>
      <c r="D1943">
        <v>0</v>
      </c>
      <c r="E1943" s="2">
        <v>8307.5499999999993</v>
      </c>
      <c r="F1943" s="2">
        <v>8307.5499999999993</v>
      </c>
    </row>
    <row r="1944" spans="1:6" x14ac:dyDescent="0.25">
      <c r="A1944" s="1">
        <v>44986</v>
      </c>
      <c r="B1944" t="s">
        <v>187</v>
      </c>
      <c r="C1944" t="s">
        <v>188</v>
      </c>
      <c r="D1944" s="2">
        <v>-174754.89</v>
      </c>
      <c r="E1944" s="2">
        <v>34400</v>
      </c>
      <c r="F1944" s="2">
        <v>524488.99</v>
      </c>
    </row>
    <row r="1945" spans="1:6" x14ac:dyDescent="0.25">
      <c r="A1945" s="1">
        <v>44986</v>
      </c>
      <c r="B1945" t="s">
        <v>933</v>
      </c>
      <c r="C1945" t="s">
        <v>1041</v>
      </c>
      <c r="D1945" s="2">
        <v>200000</v>
      </c>
      <c r="E1945">
        <v>0</v>
      </c>
      <c r="F1945">
        <v>0</v>
      </c>
    </row>
    <row r="1946" spans="1:6" x14ac:dyDescent="0.25">
      <c r="A1946" s="1">
        <v>44986</v>
      </c>
      <c r="B1946" t="s">
        <v>282</v>
      </c>
      <c r="C1946" t="s">
        <v>392</v>
      </c>
      <c r="D1946">
        <v>0</v>
      </c>
      <c r="E1946">
        <v>0</v>
      </c>
      <c r="F1946">
        <v>0</v>
      </c>
    </row>
    <row r="1947" spans="1:6" x14ac:dyDescent="0.25">
      <c r="A1947" s="1">
        <v>44986</v>
      </c>
      <c r="B1947" t="s">
        <v>65</v>
      </c>
      <c r="C1947" t="s">
        <v>201</v>
      </c>
      <c r="D1947" s="2">
        <v>637707.76</v>
      </c>
      <c r="E1947" s="2">
        <v>300925.08</v>
      </c>
      <c r="F1947" s="2">
        <v>269567.84999999998</v>
      </c>
    </row>
    <row r="1948" spans="1:6" x14ac:dyDescent="0.25">
      <c r="A1948" s="1">
        <v>44986</v>
      </c>
      <c r="B1948" t="s">
        <v>63</v>
      </c>
      <c r="C1948" t="s">
        <v>142</v>
      </c>
      <c r="D1948">
        <v>0</v>
      </c>
      <c r="E1948">
        <v>0</v>
      </c>
      <c r="F1948">
        <v>0</v>
      </c>
    </row>
    <row r="1949" spans="1:6" x14ac:dyDescent="0.25">
      <c r="A1949" s="1">
        <v>44986</v>
      </c>
      <c r="B1949" t="s">
        <v>68</v>
      </c>
      <c r="C1949" t="s">
        <v>1090</v>
      </c>
      <c r="D1949">
        <v>0</v>
      </c>
      <c r="E1949">
        <v>0</v>
      </c>
      <c r="F1949">
        <v>0</v>
      </c>
    </row>
    <row r="1950" spans="1:6" x14ac:dyDescent="0.25">
      <c r="A1950" s="1">
        <v>44986</v>
      </c>
      <c r="B1950" t="s">
        <v>185</v>
      </c>
      <c r="C1950" t="s">
        <v>186</v>
      </c>
      <c r="D1950" s="2">
        <v>157524781.72999999</v>
      </c>
      <c r="E1950" s="2">
        <v>167131197.37</v>
      </c>
      <c r="F1950" s="2">
        <v>167131197.37</v>
      </c>
    </row>
    <row r="1951" spans="1:6" x14ac:dyDescent="0.25">
      <c r="A1951" s="1">
        <v>44986</v>
      </c>
      <c r="B1951" t="s">
        <v>196</v>
      </c>
      <c r="C1951" t="s">
        <v>926</v>
      </c>
      <c r="D1951">
        <v>0</v>
      </c>
      <c r="E1951">
        <v>0</v>
      </c>
      <c r="F1951">
        <v>0</v>
      </c>
    </row>
    <row r="1952" spans="1:6" x14ac:dyDescent="0.25">
      <c r="A1952" s="1">
        <v>44986</v>
      </c>
      <c r="B1952" t="s">
        <v>23</v>
      </c>
      <c r="C1952" t="s">
        <v>988</v>
      </c>
      <c r="D1952" s="2">
        <v>-40463584.409999996</v>
      </c>
      <c r="E1952">
        <v>0</v>
      </c>
      <c r="F1952">
        <v>0</v>
      </c>
    </row>
    <row r="1953" spans="1:6" x14ac:dyDescent="0.25">
      <c r="A1953" s="1">
        <v>44986</v>
      </c>
      <c r="B1953" t="s">
        <v>11</v>
      </c>
      <c r="C1953" t="s">
        <v>557</v>
      </c>
      <c r="D1953" s="2">
        <v>440800000</v>
      </c>
      <c r="E1953" s="2">
        <v>462187643.54000002</v>
      </c>
      <c r="F1953" s="2">
        <v>462187643.54000002</v>
      </c>
    </row>
    <row r="1954" spans="1:6" x14ac:dyDescent="0.25">
      <c r="A1954" s="1">
        <v>44986</v>
      </c>
      <c r="B1954" t="s">
        <v>11</v>
      </c>
      <c r="C1954" t="s">
        <v>705</v>
      </c>
      <c r="D1954">
        <v>0</v>
      </c>
      <c r="E1954" s="2">
        <v>323733194.72000003</v>
      </c>
      <c r="F1954" s="2">
        <v>323733194.72000003</v>
      </c>
    </row>
    <row r="1955" spans="1:6" x14ac:dyDescent="0.25">
      <c r="A1955" s="1">
        <v>44986</v>
      </c>
      <c r="B1955" t="s">
        <v>518</v>
      </c>
      <c r="C1955" t="s">
        <v>936</v>
      </c>
      <c r="D1955">
        <v>0</v>
      </c>
      <c r="E1955">
        <v>0</v>
      </c>
      <c r="F1955">
        <v>0</v>
      </c>
    </row>
    <row r="1956" spans="1:6" x14ac:dyDescent="0.25">
      <c r="A1956" s="1">
        <v>44986</v>
      </c>
      <c r="B1956" t="s">
        <v>17</v>
      </c>
      <c r="C1956" t="s">
        <v>930</v>
      </c>
      <c r="D1956" s="2">
        <v>1659385</v>
      </c>
      <c r="E1956">
        <v>0</v>
      </c>
      <c r="F1956">
        <v>0</v>
      </c>
    </row>
    <row r="1957" spans="1:6" x14ac:dyDescent="0.25">
      <c r="A1957" s="1">
        <v>44986</v>
      </c>
      <c r="B1957" t="s">
        <v>61</v>
      </c>
      <c r="C1957" t="s">
        <v>62</v>
      </c>
      <c r="D1957">
        <v>0</v>
      </c>
      <c r="E1957">
        <v>0</v>
      </c>
      <c r="F1957">
        <v>0</v>
      </c>
    </row>
    <row r="1958" spans="1:6" x14ac:dyDescent="0.25">
      <c r="A1958" s="1">
        <v>44986</v>
      </c>
      <c r="B1958" t="s">
        <v>405</v>
      </c>
      <c r="C1958" t="s">
        <v>72</v>
      </c>
      <c r="D1958">
        <v>0</v>
      </c>
      <c r="E1958">
        <v>0</v>
      </c>
      <c r="F1958">
        <v>0</v>
      </c>
    </row>
    <row r="1959" spans="1:6" x14ac:dyDescent="0.25">
      <c r="A1959" s="1">
        <v>44986</v>
      </c>
      <c r="B1959" t="s">
        <v>23</v>
      </c>
      <c r="C1959" t="s">
        <v>157</v>
      </c>
      <c r="D1959" s="2">
        <v>987008.41</v>
      </c>
      <c r="E1959" s="2">
        <v>44293.27</v>
      </c>
      <c r="F1959" s="2">
        <v>41150.51</v>
      </c>
    </row>
    <row r="1960" spans="1:6" x14ac:dyDescent="0.25">
      <c r="A1960" s="1">
        <v>44986</v>
      </c>
      <c r="B1960" t="s">
        <v>105</v>
      </c>
      <c r="C1960" t="s">
        <v>150</v>
      </c>
      <c r="D1960">
        <v>0</v>
      </c>
      <c r="E1960">
        <v>0</v>
      </c>
      <c r="F1960">
        <v>0</v>
      </c>
    </row>
    <row r="1961" spans="1:6" x14ac:dyDescent="0.25">
      <c r="A1961" s="1">
        <v>44986</v>
      </c>
      <c r="B1961" t="s">
        <v>46</v>
      </c>
      <c r="C1961" t="s">
        <v>424</v>
      </c>
      <c r="D1961" s="2">
        <v>1000000</v>
      </c>
      <c r="E1961">
        <v>0</v>
      </c>
      <c r="F1961">
        <v>0</v>
      </c>
    </row>
    <row r="1962" spans="1:6" x14ac:dyDescent="0.25">
      <c r="A1962" s="1">
        <v>44986</v>
      </c>
      <c r="B1962" t="s">
        <v>422</v>
      </c>
      <c r="C1962" t="s">
        <v>1045</v>
      </c>
      <c r="D1962">
        <v>0</v>
      </c>
      <c r="E1962">
        <v>0</v>
      </c>
      <c r="F1962">
        <v>0</v>
      </c>
    </row>
    <row r="1963" spans="1:6" x14ac:dyDescent="0.25">
      <c r="A1963" s="1">
        <v>44986</v>
      </c>
      <c r="B1963" t="s">
        <v>213</v>
      </c>
      <c r="C1963" t="s">
        <v>533</v>
      </c>
      <c r="D1963">
        <v>0</v>
      </c>
      <c r="E1963">
        <v>0</v>
      </c>
      <c r="F1963">
        <v>0</v>
      </c>
    </row>
    <row r="1964" spans="1:6" x14ac:dyDescent="0.25">
      <c r="A1964" s="1">
        <v>44986</v>
      </c>
      <c r="B1964" t="s">
        <v>17</v>
      </c>
      <c r="C1964" t="s">
        <v>67</v>
      </c>
      <c r="D1964" s="2">
        <v>2732537.26</v>
      </c>
      <c r="E1964">
        <v>0</v>
      </c>
      <c r="F1964">
        <v>0</v>
      </c>
    </row>
    <row r="1965" spans="1:6" x14ac:dyDescent="0.25">
      <c r="A1965" s="1">
        <v>44986</v>
      </c>
      <c r="B1965" t="s">
        <v>206</v>
      </c>
      <c r="C1965" t="s">
        <v>1091</v>
      </c>
      <c r="D1965">
        <v>0</v>
      </c>
      <c r="E1965">
        <v>0</v>
      </c>
      <c r="F1965">
        <v>0</v>
      </c>
    </row>
    <row r="1966" spans="1:6" x14ac:dyDescent="0.25">
      <c r="A1966" s="1">
        <v>44986</v>
      </c>
      <c r="B1966" t="s">
        <v>21</v>
      </c>
      <c r="C1966" t="s">
        <v>516</v>
      </c>
      <c r="D1966">
        <v>0</v>
      </c>
      <c r="E1966">
        <v>0</v>
      </c>
      <c r="F1966">
        <v>0</v>
      </c>
    </row>
    <row r="1967" spans="1:6" x14ac:dyDescent="0.25">
      <c r="A1967" s="1">
        <v>44986</v>
      </c>
      <c r="B1967" t="s">
        <v>42</v>
      </c>
      <c r="C1967" t="s">
        <v>380</v>
      </c>
      <c r="D1967" s="2">
        <v>-3671050</v>
      </c>
      <c r="E1967" s="2">
        <v>3210780</v>
      </c>
      <c r="F1967" s="2">
        <v>3512800</v>
      </c>
    </row>
    <row r="1968" spans="1:6" x14ac:dyDescent="0.25">
      <c r="A1968" s="1">
        <v>44986</v>
      </c>
      <c r="B1968" t="s">
        <v>46</v>
      </c>
      <c r="C1968" t="s">
        <v>295</v>
      </c>
      <c r="D1968" s="2">
        <v>-1294662.8500000001</v>
      </c>
      <c r="E1968" s="2">
        <v>867149.74</v>
      </c>
      <c r="F1968" s="2">
        <v>870708.57</v>
      </c>
    </row>
    <row r="1969" spans="1:6" x14ac:dyDescent="0.25">
      <c r="A1969" s="1">
        <v>44986</v>
      </c>
      <c r="B1969" t="s">
        <v>23</v>
      </c>
      <c r="C1969" t="s">
        <v>657</v>
      </c>
      <c r="D1969">
        <v>0</v>
      </c>
      <c r="E1969">
        <v>0</v>
      </c>
      <c r="F1969">
        <v>0</v>
      </c>
    </row>
    <row r="1970" spans="1:6" x14ac:dyDescent="0.25">
      <c r="A1970" s="1">
        <v>44986</v>
      </c>
      <c r="B1970" t="s">
        <v>17</v>
      </c>
      <c r="C1970" t="s">
        <v>1013</v>
      </c>
      <c r="D1970">
        <v>0</v>
      </c>
      <c r="E1970">
        <v>0</v>
      </c>
      <c r="F1970">
        <v>0</v>
      </c>
    </row>
    <row r="1971" spans="1:6" x14ac:dyDescent="0.25">
      <c r="A1971" s="1">
        <v>44986</v>
      </c>
      <c r="B1971" t="s">
        <v>94</v>
      </c>
      <c r="C1971" t="s">
        <v>95</v>
      </c>
      <c r="D1971">
        <v>0</v>
      </c>
      <c r="E1971">
        <v>0</v>
      </c>
      <c r="F1971">
        <v>0</v>
      </c>
    </row>
    <row r="1972" spans="1:6" x14ac:dyDescent="0.25">
      <c r="A1972" s="1">
        <v>44986</v>
      </c>
      <c r="B1972" t="s">
        <v>98</v>
      </c>
      <c r="C1972" t="s">
        <v>186</v>
      </c>
      <c r="D1972">
        <v>0</v>
      </c>
      <c r="E1972">
        <v>0</v>
      </c>
      <c r="F1972">
        <v>0</v>
      </c>
    </row>
    <row r="1973" spans="1:6" x14ac:dyDescent="0.25">
      <c r="A1973" s="1">
        <v>44986</v>
      </c>
      <c r="B1973" t="s">
        <v>196</v>
      </c>
      <c r="C1973" t="s">
        <v>890</v>
      </c>
      <c r="D1973">
        <v>0</v>
      </c>
      <c r="E1973">
        <v>0</v>
      </c>
      <c r="F1973">
        <v>0</v>
      </c>
    </row>
    <row r="1974" spans="1:6" x14ac:dyDescent="0.25">
      <c r="A1974" s="1">
        <v>44986</v>
      </c>
      <c r="B1974" t="s">
        <v>50</v>
      </c>
      <c r="C1974" t="s">
        <v>596</v>
      </c>
      <c r="D1974" s="2">
        <v>1682942.03</v>
      </c>
      <c r="E1974" s="2">
        <v>74932.44</v>
      </c>
      <c r="F1974" s="2">
        <v>74932.44</v>
      </c>
    </row>
    <row r="1975" spans="1:6" x14ac:dyDescent="0.25">
      <c r="A1975" s="1">
        <v>44986</v>
      </c>
      <c r="B1975" t="s">
        <v>68</v>
      </c>
      <c r="C1975" t="s">
        <v>339</v>
      </c>
      <c r="D1975" s="2">
        <v>444459.14</v>
      </c>
      <c r="E1975" s="2">
        <v>713253.72</v>
      </c>
      <c r="F1975" s="2">
        <v>724425.5</v>
      </c>
    </row>
    <row r="1976" spans="1:6" x14ac:dyDescent="0.25">
      <c r="A1976" s="1">
        <v>44986</v>
      </c>
      <c r="B1976" t="s">
        <v>21</v>
      </c>
      <c r="C1976" t="s">
        <v>967</v>
      </c>
      <c r="D1976" s="2">
        <v>2653328</v>
      </c>
      <c r="E1976">
        <v>0</v>
      </c>
      <c r="F1976">
        <v>0</v>
      </c>
    </row>
    <row r="1977" spans="1:6" x14ac:dyDescent="0.25">
      <c r="A1977" s="1">
        <v>44986</v>
      </c>
      <c r="B1977" t="s">
        <v>132</v>
      </c>
      <c r="C1977" t="s">
        <v>989</v>
      </c>
      <c r="D1977">
        <v>0</v>
      </c>
      <c r="E1977" s="2">
        <v>11796.06</v>
      </c>
      <c r="F1977">
        <v>0</v>
      </c>
    </row>
    <row r="1978" spans="1:6" x14ac:dyDescent="0.25">
      <c r="A1978" s="1">
        <v>44986</v>
      </c>
      <c r="B1978" t="s">
        <v>251</v>
      </c>
      <c r="C1978" t="s">
        <v>332</v>
      </c>
      <c r="D1978" s="2">
        <v>140164136.50999999</v>
      </c>
      <c r="E1978" s="2">
        <v>46164136.509999998</v>
      </c>
      <c r="F1978" s="2">
        <v>46164136.509999998</v>
      </c>
    </row>
    <row r="1979" spans="1:6" x14ac:dyDescent="0.25">
      <c r="A1979" s="1">
        <v>44986</v>
      </c>
      <c r="B1979" t="s">
        <v>132</v>
      </c>
      <c r="C1979" t="s">
        <v>429</v>
      </c>
      <c r="D1979" s="2">
        <v>19007232.010000002</v>
      </c>
      <c r="E1979" s="2">
        <v>17691013.170000002</v>
      </c>
      <c r="F1979" s="2">
        <v>11445465.109999999</v>
      </c>
    </row>
    <row r="1980" spans="1:6" x14ac:dyDescent="0.25">
      <c r="A1980" s="1">
        <v>44986</v>
      </c>
      <c r="B1980" t="s">
        <v>21</v>
      </c>
      <c r="C1980" t="s">
        <v>643</v>
      </c>
      <c r="D1980">
        <v>0</v>
      </c>
      <c r="E1980">
        <v>0</v>
      </c>
      <c r="F1980">
        <v>0</v>
      </c>
    </row>
    <row r="1981" spans="1:6" x14ac:dyDescent="0.25">
      <c r="A1981" s="1">
        <v>44986</v>
      </c>
      <c r="B1981" t="s">
        <v>63</v>
      </c>
      <c r="C1981" t="s">
        <v>1092</v>
      </c>
      <c r="D1981">
        <v>0</v>
      </c>
      <c r="E1981">
        <v>0</v>
      </c>
      <c r="F1981">
        <v>0</v>
      </c>
    </row>
    <row r="1982" spans="1:6" x14ac:dyDescent="0.25">
      <c r="A1982" s="1">
        <v>44986</v>
      </c>
      <c r="B1982" t="s">
        <v>21</v>
      </c>
      <c r="C1982" t="s">
        <v>451</v>
      </c>
      <c r="D1982" s="2">
        <v>347155.61</v>
      </c>
      <c r="E1982">
        <v>0</v>
      </c>
      <c r="F1982">
        <v>0</v>
      </c>
    </row>
    <row r="1983" spans="1:6" x14ac:dyDescent="0.25">
      <c r="A1983" s="1">
        <v>44986</v>
      </c>
      <c r="B1983" t="s">
        <v>23</v>
      </c>
      <c r="C1983" t="s">
        <v>410</v>
      </c>
      <c r="D1983">
        <v>0</v>
      </c>
      <c r="E1983">
        <v>0</v>
      </c>
      <c r="F1983">
        <v>0</v>
      </c>
    </row>
    <row r="1984" spans="1:6" x14ac:dyDescent="0.25">
      <c r="A1984" s="1">
        <v>44986</v>
      </c>
      <c r="B1984" t="s">
        <v>37</v>
      </c>
      <c r="C1984" t="s">
        <v>721</v>
      </c>
      <c r="D1984">
        <v>710.9</v>
      </c>
      <c r="E1984">
        <v>409.71</v>
      </c>
      <c r="F1984">
        <v>409.71</v>
      </c>
    </row>
    <row r="1985" spans="1:6" x14ac:dyDescent="0.25">
      <c r="A1985" s="1">
        <v>44986</v>
      </c>
      <c r="B1985" t="s">
        <v>44</v>
      </c>
      <c r="C1985" t="s">
        <v>386</v>
      </c>
      <c r="D1985" s="2">
        <v>180704.01</v>
      </c>
      <c r="E1985">
        <v>0</v>
      </c>
      <c r="F1985">
        <v>0</v>
      </c>
    </row>
    <row r="1986" spans="1:6" x14ac:dyDescent="0.25">
      <c r="A1986" s="1">
        <v>44986</v>
      </c>
      <c r="B1986" t="s">
        <v>21</v>
      </c>
      <c r="C1986" t="s">
        <v>1019</v>
      </c>
      <c r="D1986" s="2">
        <v>-11154.72</v>
      </c>
      <c r="E1986">
        <v>0</v>
      </c>
      <c r="F1986">
        <v>0</v>
      </c>
    </row>
    <row r="1987" spans="1:6" x14ac:dyDescent="0.25">
      <c r="A1987" s="1">
        <v>44986</v>
      </c>
      <c r="B1987" t="s">
        <v>114</v>
      </c>
      <c r="C1987" t="s">
        <v>1093</v>
      </c>
      <c r="D1987">
        <v>0</v>
      </c>
      <c r="E1987">
        <v>0</v>
      </c>
      <c r="F1987">
        <v>0</v>
      </c>
    </row>
    <row r="1988" spans="1:6" x14ac:dyDescent="0.25">
      <c r="A1988" s="1">
        <v>44986</v>
      </c>
      <c r="B1988" t="s">
        <v>37</v>
      </c>
      <c r="C1988" t="s">
        <v>540</v>
      </c>
      <c r="D1988">
        <v>0</v>
      </c>
      <c r="E1988" s="2">
        <v>15000000</v>
      </c>
      <c r="F1988" s="2">
        <v>15000000</v>
      </c>
    </row>
    <row r="1989" spans="1:6" x14ac:dyDescent="0.25">
      <c r="A1989" s="1">
        <v>44986</v>
      </c>
      <c r="B1989" t="s">
        <v>726</v>
      </c>
      <c r="C1989" t="s">
        <v>961</v>
      </c>
      <c r="D1989">
        <v>0</v>
      </c>
      <c r="E1989">
        <v>0</v>
      </c>
      <c r="F1989">
        <v>0</v>
      </c>
    </row>
    <row r="1990" spans="1:6" x14ac:dyDescent="0.25">
      <c r="A1990" s="1">
        <v>44986</v>
      </c>
      <c r="B1990" t="s">
        <v>272</v>
      </c>
      <c r="C1990" t="s">
        <v>273</v>
      </c>
      <c r="D1990" s="2">
        <v>84071.46</v>
      </c>
      <c r="E1990" s="2">
        <v>103449.55</v>
      </c>
      <c r="F1990" s="2">
        <v>109596.29</v>
      </c>
    </row>
    <row r="1991" spans="1:6" x14ac:dyDescent="0.25">
      <c r="A1991" s="1">
        <v>44986</v>
      </c>
      <c r="B1991" t="s">
        <v>154</v>
      </c>
      <c r="C1991" t="s">
        <v>704</v>
      </c>
      <c r="D1991" s="2">
        <v>-200000</v>
      </c>
      <c r="E1991">
        <v>0</v>
      </c>
      <c r="F1991">
        <v>0</v>
      </c>
    </row>
    <row r="1992" spans="1:6" x14ac:dyDescent="0.25">
      <c r="A1992" s="1">
        <v>44986</v>
      </c>
      <c r="B1992" t="s">
        <v>21</v>
      </c>
      <c r="C1992" t="s">
        <v>526</v>
      </c>
      <c r="D1992">
        <v>0</v>
      </c>
      <c r="E1992" s="2">
        <v>14583.02</v>
      </c>
      <c r="F1992" s="2">
        <v>40800.89</v>
      </c>
    </row>
    <row r="1993" spans="1:6" x14ac:dyDescent="0.25">
      <c r="A1993" s="1">
        <v>44986</v>
      </c>
      <c r="B1993" t="s">
        <v>27</v>
      </c>
      <c r="C1993" t="s">
        <v>28</v>
      </c>
      <c r="D1993" s="2">
        <v>-101853.8</v>
      </c>
      <c r="E1993" s="2">
        <v>3558947.13</v>
      </c>
      <c r="F1993" s="2">
        <v>5381175.7699999996</v>
      </c>
    </row>
    <row r="1994" spans="1:6" x14ac:dyDescent="0.25">
      <c r="A1994" s="1">
        <v>44986</v>
      </c>
      <c r="B1994" t="s">
        <v>132</v>
      </c>
      <c r="C1994" t="s">
        <v>613</v>
      </c>
      <c r="D1994" s="2">
        <v>32890286.379999999</v>
      </c>
      <c r="E1994" s="2">
        <v>2160127.83</v>
      </c>
      <c r="F1994" s="2">
        <v>2160127.83</v>
      </c>
    </row>
    <row r="1995" spans="1:6" x14ac:dyDescent="0.25">
      <c r="A1995" s="1">
        <v>44986</v>
      </c>
      <c r="B1995" t="s">
        <v>132</v>
      </c>
      <c r="C1995" t="s">
        <v>385</v>
      </c>
      <c r="D1995" s="2">
        <v>14070628.210000001</v>
      </c>
      <c r="E1995" s="2">
        <v>9685132.3200000003</v>
      </c>
      <c r="F1995" s="2">
        <v>7569110.4900000002</v>
      </c>
    </row>
    <row r="1996" spans="1:6" x14ac:dyDescent="0.25">
      <c r="A1996" s="1">
        <v>44986</v>
      </c>
      <c r="B1996" t="s">
        <v>40</v>
      </c>
      <c r="C1996" t="s">
        <v>777</v>
      </c>
      <c r="D1996" s="2">
        <v>32047720</v>
      </c>
      <c r="E1996" s="2">
        <v>31240992.5</v>
      </c>
      <c r="F1996" s="2">
        <v>46746306.850000001</v>
      </c>
    </row>
    <row r="1997" spans="1:6" x14ac:dyDescent="0.25">
      <c r="A1997" s="1">
        <v>44986</v>
      </c>
      <c r="B1997" t="s">
        <v>398</v>
      </c>
      <c r="C1997" t="s">
        <v>1032</v>
      </c>
      <c r="D1997">
        <v>0</v>
      </c>
      <c r="E1997">
        <v>0</v>
      </c>
      <c r="F1997">
        <v>0</v>
      </c>
    </row>
    <row r="1998" spans="1:6" x14ac:dyDescent="0.25">
      <c r="A1998" s="1">
        <v>44986</v>
      </c>
      <c r="B1998" t="s">
        <v>25</v>
      </c>
      <c r="C1998" t="s">
        <v>1094</v>
      </c>
      <c r="D1998">
        <v>0</v>
      </c>
      <c r="E1998">
        <v>0</v>
      </c>
      <c r="F1998">
        <v>0</v>
      </c>
    </row>
    <row r="1999" spans="1:6" x14ac:dyDescent="0.25">
      <c r="A1999" s="1">
        <v>44986</v>
      </c>
      <c r="B1999" t="s">
        <v>929</v>
      </c>
      <c r="C1999" t="s">
        <v>678</v>
      </c>
      <c r="D1999">
        <v>0</v>
      </c>
      <c r="E1999">
        <v>0</v>
      </c>
      <c r="F1999">
        <v>0</v>
      </c>
    </row>
    <row r="2000" spans="1:6" x14ac:dyDescent="0.25">
      <c r="A2000" s="1">
        <v>44986</v>
      </c>
      <c r="B2000" t="s">
        <v>81</v>
      </c>
      <c r="C2000" t="s">
        <v>167</v>
      </c>
      <c r="D2000">
        <v>0</v>
      </c>
      <c r="E2000">
        <v>0</v>
      </c>
      <c r="F2000">
        <v>0</v>
      </c>
    </row>
    <row r="2001" spans="1:6" x14ac:dyDescent="0.25">
      <c r="A2001" s="1">
        <v>44986</v>
      </c>
      <c r="B2001" t="s">
        <v>103</v>
      </c>
      <c r="C2001" t="s">
        <v>233</v>
      </c>
      <c r="D2001">
        <v>0</v>
      </c>
      <c r="E2001" s="2">
        <v>6750520.3399999999</v>
      </c>
      <c r="F2001" s="2">
        <v>6750520.3399999999</v>
      </c>
    </row>
    <row r="2002" spans="1:6" x14ac:dyDescent="0.25">
      <c r="A2002" s="1">
        <v>44986</v>
      </c>
      <c r="B2002" t="s">
        <v>9</v>
      </c>
      <c r="C2002" t="s">
        <v>636</v>
      </c>
      <c r="D2002">
        <v>0</v>
      </c>
      <c r="E2002">
        <v>0</v>
      </c>
      <c r="F2002">
        <v>0</v>
      </c>
    </row>
    <row r="2003" spans="1:6" x14ac:dyDescent="0.25">
      <c r="A2003" s="1">
        <v>44986</v>
      </c>
      <c r="B2003" t="s">
        <v>193</v>
      </c>
      <c r="C2003" t="s">
        <v>194</v>
      </c>
      <c r="D2003" s="2">
        <v>1196636024.8900001</v>
      </c>
      <c r="E2003" s="2">
        <v>1196636024.8900001</v>
      </c>
      <c r="F2003" s="2">
        <v>1196636024.8900001</v>
      </c>
    </row>
    <row r="2004" spans="1:6" x14ac:dyDescent="0.25">
      <c r="A2004" s="1">
        <v>44986</v>
      </c>
      <c r="B2004" t="s">
        <v>21</v>
      </c>
      <c r="C2004" t="s">
        <v>969</v>
      </c>
      <c r="D2004" s="2">
        <v>3500000</v>
      </c>
      <c r="E2004">
        <v>0</v>
      </c>
      <c r="F2004">
        <v>0</v>
      </c>
    </row>
    <row r="2005" spans="1:6" x14ac:dyDescent="0.25">
      <c r="A2005" s="1">
        <v>44986</v>
      </c>
      <c r="B2005" t="s">
        <v>21</v>
      </c>
      <c r="C2005" t="s">
        <v>1006</v>
      </c>
      <c r="D2005">
        <v>0</v>
      </c>
      <c r="E2005">
        <v>0</v>
      </c>
      <c r="F2005">
        <v>0</v>
      </c>
    </row>
    <row r="2006" spans="1:6" x14ac:dyDescent="0.25">
      <c r="A2006" s="1">
        <v>44986</v>
      </c>
      <c r="B2006" t="s">
        <v>40</v>
      </c>
      <c r="C2006" t="s">
        <v>762</v>
      </c>
      <c r="D2006" s="2">
        <v>35154</v>
      </c>
      <c r="E2006">
        <v>0</v>
      </c>
      <c r="F2006">
        <v>0</v>
      </c>
    </row>
    <row r="2007" spans="1:6" x14ac:dyDescent="0.25">
      <c r="A2007" s="1">
        <v>44986</v>
      </c>
      <c r="B2007" t="s">
        <v>50</v>
      </c>
      <c r="C2007" t="s">
        <v>287</v>
      </c>
      <c r="D2007" s="2">
        <v>1039178.76</v>
      </c>
      <c r="E2007" s="2">
        <v>21251.26</v>
      </c>
      <c r="F2007" s="2">
        <v>11507.63</v>
      </c>
    </row>
    <row r="2008" spans="1:6" x14ac:dyDescent="0.25">
      <c r="A2008" s="1">
        <v>44986</v>
      </c>
      <c r="B2008" t="s">
        <v>63</v>
      </c>
      <c r="C2008" t="s">
        <v>944</v>
      </c>
      <c r="D2008">
        <v>0</v>
      </c>
      <c r="E2008">
        <v>0</v>
      </c>
      <c r="F2008">
        <v>0</v>
      </c>
    </row>
    <row r="2009" spans="1:6" x14ac:dyDescent="0.25">
      <c r="A2009" s="1">
        <v>44986</v>
      </c>
      <c r="B2009" t="s">
        <v>1095</v>
      </c>
      <c r="C2009" t="s">
        <v>576</v>
      </c>
      <c r="D2009">
        <v>0</v>
      </c>
      <c r="E2009">
        <v>0</v>
      </c>
      <c r="F2009">
        <v>0</v>
      </c>
    </row>
    <row r="2010" spans="1:6" x14ac:dyDescent="0.25">
      <c r="A2010" s="1">
        <v>44986</v>
      </c>
      <c r="B2010" t="s">
        <v>196</v>
      </c>
      <c r="C2010" t="s">
        <v>542</v>
      </c>
      <c r="D2010">
        <v>0</v>
      </c>
      <c r="E2010">
        <v>0</v>
      </c>
      <c r="F2010">
        <v>0</v>
      </c>
    </row>
    <row r="2011" spans="1:6" x14ac:dyDescent="0.25">
      <c r="A2011" s="1">
        <v>44986</v>
      </c>
      <c r="B2011" t="s">
        <v>159</v>
      </c>
      <c r="C2011" t="s">
        <v>986</v>
      </c>
      <c r="D2011">
        <v>0</v>
      </c>
      <c r="E2011">
        <v>0</v>
      </c>
      <c r="F2011">
        <v>0</v>
      </c>
    </row>
    <row r="2012" spans="1:6" x14ac:dyDescent="0.25">
      <c r="A2012" s="1">
        <v>44986</v>
      </c>
      <c r="B2012" t="s">
        <v>443</v>
      </c>
      <c r="C2012" t="s">
        <v>246</v>
      </c>
      <c r="D2012">
        <v>0</v>
      </c>
      <c r="E2012">
        <v>0</v>
      </c>
      <c r="F2012">
        <v>0</v>
      </c>
    </row>
    <row r="2013" spans="1:6" x14ac:dyDescent="0.25">
      <c r="A2013" s="1">
        <v>44986</v>
      </c>
      <c r="B2013" t="s">
        <v>19</v>
      </c>
      <c r="C2013" t="s">
        <v>733</v>
      </c>
      <c r="D2013" s="2">
        <v>-540000</v>
      </c>
      <c r="E2013">
        <v>0</v>
      </c>
      <c r="F2013">
        <v>125.55</v>
      </c>
    </row>
    <row r="2014" spans="1:6" x14ac:dyDescent="0.25">
      <c r="A2014" s="1">
        <v>44986</v>
      </c>
      <c r="B2014" t="s">
        <v>402</v>
      </c>
      <c r="C2014" t="s">
        <v>1096</v>
      </c>
      <c r="D2014">
        <v>0</v>
      </c>
      <c r="E2014">
        <v>0</v>
      </c>
      <c r="F2014">
        <v>0</v>
      </c>
    </row>
    <row r="2015" spans="1:6" x14ac:dyDescent="0.25">
      <c r="A2015" s="1">
        <v>44986</v>
      </c>
      <c r="B2015" t="s">
        <v>21</v>
      </c>
      <c r="C2015" t="s">
        <v>202</v>
      </c>
      <c r="D2015">
        <v>0</v>
      </c>
      <c r="E2015">
        <v>0</v>
      </c>
      <c r="F2015">
        <v>0</v>
      </c>
    </row>
    <row r="2016" spans="1:6" x14ac:dyDescent="0.25">
      <c r="A2016" s="1">
        <v>44986</v>
      </c>
      <c r="B2016" t="s">
        <v>23</v>
      </c>
      <c r="C2016" t="s">
        <v>436</v>
      </c>
      <c r="D2016" s="2">
        <v>1466287</v>
      </c>
      <c r="E2016">
        <v>0</v>
      </c>
      <c r="F2016">
        <v>0</v>
      </c>
    </row>
    <row r="2017" spans="1:6" x14ac:dyDescent="0.25">
      <c r="A2017" s="1">
        <v>44986</v>
      </c>
      <c r="B2017" t="s">
        <v>11</v>
      </c>
      <c r="C2017" t="s">
        <v>116</v>
      </c>
      <c r="D2017">
        <v>0</v>
      </c>
      <c r="E2017" s="2">
        <v>9351925139.5400009</v>
      </c>
      <c r="F2017" s="2">
        <v>9351925139.5400009</v>
      </c>
    </row>
    <row r="2018" spans="1:6" x14ac:dyDescent="0.25">
      <c r="A2018" s="1">
        <v>44986</v>
      </c>
      <c r="B2018" t="s">
        <v>154</v>
      </c>
      <c r="C2018" t="s">
        <v>161</v>
      </c>
      <c r="D2018" s="2">
        <v>-3211733.43</v>
      </c>
      <c r="E2018" s="2">
        <v>850337.05</v>
      </c>
      <c r="F2018" s="2">
        <v>952818.73</v>
      </c>
    </row>
    <row r="2019" spans="1:6" x14ac:dyDescent="0.25">
      <c r="A2019" s="1">
        <v>44986</v>
      </c>
      <c r="B2019" t="s">
        <v>13</v>
      </c>
      <c r="C2019" t="s">
        <v>659</v>
      </c>
      <c r="D2019">
        <v>0</v>
      </c>
      <c r="E2019">
        <v>0</v>
      </c>
      <c r="F2019">
        <v>0</v>
      </c>
    </row>
    <row r="2020" spans="1:6" x14ac:dyDescent="0.25">
      <c r="A2020" s="1">
        <v>44986</v>
      </c>
      <c r="B2020" t="s">
        <v>118</v>
      </c>
      <c r="C2020" t="s">
        <v>1097</v>
      </c>
      <c r="D2020">
        <v>0</v>
      </c>
      <c r="E2020">
        <v>0</v>
      </c>
      <c r="F2020">
        <v>0</v>
      </c>
    </row>
    <row r="2021" spans="1:6" x14ac:dyDescent="0.25">
      <c r="A2021" s="1">
        <v>44986</v>
      </c>
      <c r="B2021" t="s">
        <v>196</v>
      </c>
      <c r="C2021" t="s">
        <v>491</v>
      </c>
      <c r="D2021">
        <v>0</v>
      </c>
      <c r="E2021">
        <v>0</v>
      </c>
      <c r="F2021">
        <v>0</v>
      </c>
    </row>
    <row r="2022" spans="1:6" x14ac:dyDescent="0.25">
      <c r="A2022" s="1">
        <v>44986</v>
      </c>
      <c r="B2022" t="s">
        <v>68</v>
      </c>
      <c r="C2022" t="s">
        <v>69</v>
      </c>
      <c r="D2022">
        <v>0</v>
      </c>
      <c r="E2022">
        <v>0</v>
      </c>
      <c r="F2022">
        <v>0</v>
      </c>
    </row>
    <row r="2023" spans="1:6" x14ac:dyDescent="0.25">
      <c r="A2023" s="1">
        <v>44986</v>
      </c>
      <c r="B2023" t="s">
        <v>17</v>
      </c>
      <c r="C2023" t="s">
        <v>877</v>
      </c>
      <c r="D2023" s="2">
        <v>12778.17</v>
      </c>
      <c r="E2023" s="2">
        <v>12778.17</v>
      </c>
      <c r="F2023" s="2">
        <v>12778.17</v>
      </c>
    </row>
    <row r="2024" spans="1:6" x14ac:dyDescent="0.25">
      <c r="A2024" s="1">
        <v>44986</v>
      </c>
      <c r="B2024" t="s">
        <v>46</v>
      </c>
      <c r="C2024" t="s">
        <v>57</v>
      </c>
      <c r="D2024" s="2">
        <v>4763.92</v>
      </c>
      <c r="E2024" s="2">
        <v>25700</v>
      </c>
      <c r="F2024" s="2">
        <v>25700</v>
      </c>
    </row>
    <row r="2025" spans="1:6" x14ac:dyDescent="0.25">
      <c r="A2025" s="1">
        <v>44986</v>
      </c>
      <c r="B2025" t="s">
        <v>355</v>
      </c>
      <c r="C2025" t="s">
        <v>356</v>
      </c>
      <c r="D2025" s="2">
        <v>3617396</v>
      </c>
      <c r="E2025">
        <v>0</v>
      </c>
      <c r="F2025">
        <v>0</v>
      </c>
    </row>
    <row r="2026" spans="1:6" x14ac:dyDescent="0.25">
      <c r="A2026" s="1">
        <v>44986</v>
      </c>
      <c r="B2026" t="s">
        <v>21</v>
      </c>
      <c r="C2026" t="s">
        <v>700</v>
      </c>
      <c r="D2026">
        <v>0</v>
      </c>
      <c r="E2026">
        <v>0</v>
      </c>
      <c r="F2026">
        <v>0</v>
      </c>
    </row>
    <row r="2027" spans="1:6" x14ac:dyDescent="0.25">
      <c r="A2027" s="1">
        <v>44986</v>
      </c>
      <c r="B2027" t="s">
        <v>11</v>
      </c>
      <c r="C2027" t="s">
        <v>1098</v>
      </c>
      <c r="D2027">
        <v>0</v>
      </c>
      <c r="E2027">
        <v>0</v>
      </c>
      <c r="F2027">
        <v>0</v>
      </c>
    </row>
    <row r="2028" spans="1:6" x14ac:dyDescent="0.25">
      <c r="A2028" s="1">
        <v>44986</v>
      </c>
      <c r="B2028" t="s">
        <v>23</v>
      </c>
      <c r="C2028" t="s">
        <v>131</v>
      </c>
      <c r="D2028" s="2">
        <v>227144.2</v>
      </c>
      <c r="E2028" s="2">
        <v>33135.089999999997</v>
      </c>
      <c r="F2028" s="2">
        <v>42024.52</v>
      </c>
    </row>
    <row r="2029" spans="1:6" x14ac:dyDescent="0.25">
      <c r="A2029" s="1">
        <v>44986</v>
      </c>
      <c r="B2029" t="s">
        <v>460</v>
      </c>
      <c r="C2029" t="s">
        <v>746</v>
      </c>
      <c r="D2029" s="2">
        <v>2175514.89</v>
      </c>
      <c r="E2029" s="2">
        <v>1958294.33</v>
      </c>
      <c r="F2029" s="2">
        <v>1641527.98</v>
      </c>
    </row>
    <row r="2030" spans="1:6" x14ac:dyDescent="0.25">
      <c r="A2030" s="1">
        <v>44986</v>
      </c>
      <c r="B2030" t="s">
        <v>288</v>
      </c>
      <c r="C2030" t="s">
        <v>289</v>
      </c>
      <c r="D2030">
        <v>0</v>
      </c>
      <c r="E2030">
        <v>0</v>
      </c>
      <c r="F2030">
        <v>0</v>
      </c>
    </row>
    <row r="2031" spans="1:6" x14ac:dyDescent="0.25">
      <c r="A2031" s="1">
        <v>44986</v>
      </c>
      <c r="B2031" t="s">
        <v>21</v>
      </c>
      <c r="C2031" t="s">
        <v>1099</v>
      </c>
      <c r="D2031">
        <v>0</v>
      </c>
      <c r="E2031">
        <v>0</v>
      </c>
      <c r="F2031">
        <v>0</v>
      </c>
    </row>
    <row r="2032" spans="1:6" x14ac:dyDescent="0.25">
      <c r="A2032" s="1">
        <v>44986</v>
      </c>
      <c r="B2032" t="s">
        <v>196</v>
      </c>
      <c r="C2032" t="s">
        <v>506</v>
      </c>
      <c r="D2032">
        <v>0</v>
      </c>
      <c r="E2032">
        <v>0</v>
      </c>
      <c r="F2032">
        <v>0</v>
      </c>
    </row>
    <row r="2033" spans="1:6" x14ac:dyDescent="0.25">
      <c r="A2033" s="1">
        <v>44986</v>
      </c>
      <c r="B2033" t="s">
        <v>21</v>
      </c>
      <c r="C2033" t="s">
        <v>998</v>
      </c>
      <c r="D2033" s="2">
        <v>220000</v>
      </c>
      <c r="E2033">
        <v>0</v>
      </c>
      <c r="F2033">
        <v>0</v>
      </c>
    </row>
    <row r="2034" spans="1:6" x14ac:dyDescent="0.25">
      <c r="A2034" s="1">
        <v>44986</v>
      </c>
      <c r="B2034" t="s">
        <v>162</v>
      </c>
      <c r="C2034" t="s">
        <v>376</v>
      </c>
      <c r="D2034">
        <v>0</v>
      </c>
      <c r="E2034">
        <v>0</v>
      </c>
      <c r="F2034">
        <v>0</v>
      </c>
    </row>
    <row r="2035" spans="1:6" x14ac:dyDescent="0.25">
      <c r="A2035" s="1">
        <v>44986</v>
      </c>
      <c r="B2035" t="s">
        <v>162</v>
      </c>
      <c r="C2035" t="s">
        <v>1052</v>
      </c>
      <c r="D2035">
        <v>0</v>
      </c>
      <c r="E2035" s="2">
        <v>61413978</v>
      </c>
      <c r="F2035" s="2">
        <v>61413978</v>
      </c>
    </row>
    <row r="2036" spans="1:6" x14ac:dyDescent="0.25">
      <c r="A2036" s="1">
        <v>44986</v>
      </c>
      <c r="B2036" t="s">
        <v>40</v>
      </c>
      <c r="C2036" t="s">
        <v>129</v>
      </c>
      <c r="D2036">
        <v>0</v>
      </c>
      <c r="E2036">
        <v>0</v>
      </c>
      <c r="F2036">
        <v>0</v>
      </c>
    </row>
    <row r="2037" spans="1:6" x14ac:dyDescent="0.25">
      <c r="A2037" s="1">
        <v>44986</v>
      </c>
      <c r="B2037" t="s">
        <v>21</v>
      </c>
      <c r="C2037" t="s">
        <v>404</v>
      </c>
      <c r="D2037">
        <v>0</v>
      </c>
      <c r="E2037">
        <v>0</v>
      </c>
      <c r="F2037">
        <v>0</v>
      </c>
    </row>
    <row r="2038" spans="1:6" x14ac:dyDescent="0.25">
      <c r="A2038" s="1">
        <v>44986</v>
      </c>
      <c r="B2038" t="s">
        <v>216</v>
      </c>
      <c r="C2038" t="s">
        <v>217</v>
      </c>
      <c r="D2038">
        <v>0</v>
      </c>
      <c r="E2038">
        <v>0</v>
      </c>
      <c r="F2038">
        <v>0</v>
      </c>
    </row>
    <row r="2039" spans="1:6" x14ac:dyDescent="0.25">
      <c r="A2039" s="1">
        <v>44986</v>
      </c>
      <c r="B2039" t="s">
        <v>118</v>
      </c>
      <c r="C2039" t="s">
        <v>179</v>
      </c>
      <c r="D2039">
        <v>0</v>
      </c>
      <c r="E2039">
        <v>0</v>
      </c>
      <c r="F2039">
        <v>0</v>
      </c>
    </row>
    <row r="2040" spans="1:6" x14ac:dyDescent="0.25">
      <c r="A2040" s="1">
        <v>44986</v>
      </c>
      <c r="B2040" t="s">
        <v>17</v>
      </c>
      <c r="C2040" t="s">
        <v>303</v>
      </c>
      <c r="D2040" s="2">
        <v>154677653.84999999</v>
      </c>
      <c r="E2040" s="2">
        <v>10405024.01</v>
      </c>
      <c r="F2040">
        <v>0</v>
      </c>
    </row>
    <row r="2041" spans="1:6" x14ac:dyDescent="0.25">
      <c r="A2041" s="1">
        <v>44986</v>
      </c>
      <c r="B2041" t="s">
        <v>48</v>
      </c>
      <c r="C2041" t="s">
        <v>1100</v>
      </c>
      <c r="D2041">
        <v>0</v>
      </c>
      <c r="E2041">
        <v>0</v>
      </c>
      <c r="F2041">
        <v>0</v>
      </c>
    </row>
    <row r="2042" spans="1:6" x14ac:dyDescent="0.25">
      <c r="A2042" s="1">
        <v>44986</v>
      </c>
      <c r="B2042" t="s">
        <v>50</v>
      </c>
      <c r="C2042" t="s">
        <v>372</v>
      </c>
      <c r="D2042">
        <v>0</v>
      </c>
      <c r="E2042">
        <v>0</v>
      </c>
      <c r="F2042">
        <v>0</v>
      </c>
    </row>
    <row r="2043" spans="1:6" x14ac:dyDescent="0.25">
      <c r="A2043" s="1">
        <v>44986</v>
      </c>
      <c r="B2043" t="s">
        <v>107</v>
      </c>
      <c r="C2043" t="s">
        <v>108</v>
      </c>
      <c r="D2043" s="2">
        <v>33000000</v>
      </c>
      <c r="E2043" s="2">
        <v>2631833.67</v>
      </c>
      <c r="F2043" s="2">
        <v>2631833.67</v>
      </c>
    </row>
    <row r="2044" spans="1:6" x14ac:dyDescent="0.25">
      <c r="A2044" s="1">
        <v>44986</v>
      </c>
      <c r="B2044" t="s">
        <v>234</v>
      </c>
      <c r="C2044" t="s">
        <v>771</v>
      </c>
      <c r="D2044">
        <v>0</v>
      </c>
      <c r="E2044">
        <v>0</v>
      </c>
      <c r="F2044">
        <v>0</v>
      </c>
    </row>
    <row r="2045" spans="1:6" x14ac:dyDescent="0.25">
      <c r="A2045" s="1">
        <v>44986</v>
      </c>
      <c r="B2045" t="s">
        <v>44</v>
      </c>
      <c r="C2045" t="s">
        <v>228</v>
      </c>
      <c r="D2045" s="2">
        <v>357906.24</v>
      </c>
      <c r="E2045" s="2">
        <v>158611.81</v>
      </c>
      <c r="F2045" s="2">
        <v>158611.81</v>
      </c>
    </row>
    <row r="2046" spans="1:6" x14ac:dyDescent="0.25">
      <c r="A2046" s="1">
        <v>44986</v>
      </c>
      <c r="B2046" t="s">
        <v>23</v>
      </c>
      <c r="C2046" t="s">
        <v>439</v>
      </c>
      <c r="D2046" s="2">
        <v>11655.75</v>
      </c>
      <c r="E2046">
        <v>0</v>
      </c>
      <c r="F2046">
        <v>0</v>
      </c>
    </row>
    <row r="2047" spans="1:6" x14ac:dyDescent="0.25">
      <c r="A2047" s="1">
        <v>44986</v>
      </c>
      <c r="B2047" t="s">
        <v>98</v>
      </c>
      <c r="C2047" t="s">
        <v>1000</v>
      </c>
      <c r="D2047">
        <v>0</v>
      </c>
      <c r="E2047">
        <v>0</v>
      </c>
      <c r="F2047">
        <v>0</v>
      </c>
    </row>
    <row r="2048" spans="1:6" x14ac:dyDescent="0.25">
      <c r="A2048" s="1">
        <v>44986</v>
      </c>
      <c r="B2048" t="s">
        <v>458</v>
      </c>
      <c r="C2048" t="s">
        <v>1034</v>
      </c>
      <c r="D2048">
        <v>0</v>
      </c>
      <c r="E2048">
        <v>0</v>
      </c>
      <c r="F2048">
        <v>0</v>
      </c>
    </row>
    <row r="2049" spans="1:6" x14ac:dyDescent="0.25">
      <c r="A2049" s="1">
        <v>44986</v>
      </c>
      <c r="B2049" t="s">
        <v>21</v>
      </c>
      <c r="C2049" t="s">
        <v>634</v>
      </c>
      <c r="D2049">
        <v>0</v>
      </c>
      <c r="E2049">
        <v>0</v>
      </c>
      <c r="F2049">
        <v>0</v>
      </c>
    </row>
    <row r="2050" spans="1:6" x14ac:dyDescent="0.25">
      <c r="A2050" s="1">
        <v>44986</v>
      </c>
      <c r="B2050" t="s">
        <v>27</v>
      </c>
      <c r="C2050" t="s">
        <v>280</v>
      </c>
      <c r="D2050">
        <v>0</v>
      </c>
      <c r="E2050">
        <v>0</v>
      </c>
      <c r="F2050">
        <v>0</v>
      </c>
    </row>
    <row r="2051" spans="1:6" x14ac:dyDescent="0.25">
      <c r="A2051" s="1">
        <v>44986</v>
      </c>
      <c r="B2051" t="s">
        <v>53</v>
      </c>
      <c r="C2051" t="s">
        <v>382</v>
      </c>
      <c r="D2051">
        <v>0</v>
      </c>
      <c r="E2051" s="2">
        <v>257805764.52000001</v>
      </c>
      <c r="F2051" s="2">
        <v>257805764.52000001</v>
      </c>
    </row>
    <row r="2052" spans="1:6" x14ac:dyDescent="0.25">
      <c r="A2052" s="1">
        <v>44986</v>
      </c>
      <c r="B2052" t="s">
        <v>11</v>
      </c>
      <c r="C2052" t="s">
        <v>195</v>
      </c>
      <c r="D2052" s="2">
        <v>164799624.16</v>
      </c>
      <c r="E2052" s="2">
        <v>164726223.66</v>
      </c>
      <c r="F2052" s="2">
        <v>164139907.22</v>
      </c>
    </row>
    <row r="2053" spans="1:6" x14ac:dyDescent="0.25">
      <c r="A2053" s="1">
        <v>44986</v>
      </c>
      <c r="B2053" t="s">
        <v>21</v>
      </c>
      <c r="C2053" t="s">
        <v>650</v>
      </c>
      <c r="D2053" s="2">
        <v>53000000</v>
      </c>
      <c r="E2053" s="2">
        <v>279133.87</v>
      </c>
      <c r="F2053" s="2">
        <v>279133.87</v>
      </c>
    </row>
    <row r="2054" spans="1:6" x14ac:dyDescent="0.25">
      <c r="A2054" s="1">
        <v>44986</v>
      </c>
      <c r="B2054" t="s">
        <v>19</v>
      </c>
      <c r="C2054" t="s">
        <v>20</v>
      </c>
      <c r="D2054" s="2">
        <v>-100161.88</v>
      </c>
      <c r="E2054" s="2">
        <v>31859.71</v>
      </c>
      <c r="F2054" s="2">
        <v>33171.980000000003</v>
      </c>
    </row>
    <row r="2055" spans="1:6" x14ac:dyDescent="0.25">
      <c r="A2055" s="1">
        <v>44986</v>
      </c>
      <c r="B2055" t="s">
        <v>31</v>
      </c>
      <c r="C2055" t="s">
        <v>668</v>
      </c>
      <c r="D2055">
        <v>0</v>
      </c>
      <c r="E2055">
        <v>0</v>
      </c>
      <c r="F2055">
        <v>0</v>
      </c>
    </row>
    <row r="2056" spans="1:6" x14ac:dyDescent="0.25">
      <c r="A2056" s="1">
        <v>44986</v>
      </c>
      <c r="B2056" t="s">
        <v>966</v>
      </c>
      <c r="C2056" t="s">
        <v>656</v>
      </c>
      <c r="D2056">
        <v>0</v>
      </c>
      <c r="E2056">
        <v>0</v>
      </c>
      <c r="F2056">
        <v>0</v>
      </c>
    </row>
    <row r="2057" spans="1:6" x14ac:dyDescent="0.25">
      <c r="A2057" s="1">
        <v>44986</v>
      </c>
      <c r="B2057" t="s">
        <v>53</v>
      </c>
      <c r="C2057" t="s">
        <v>669</v>
      </c>
      <c r="D2057" s="2">
        <v>-3000000</v>
      </c>
      <c r="E2057" s="2">
        <v>156318298.94999999</v>
      </c>
      <c r="F2057" s="2">
        <v>156318298.94999999</v>
      </c>
    </row>
    <row r="2058" spans="1:6" x14ac:dyDescent="0.25">
      <c r="A2058" s="1">
        <v>44986</v>
      </c>
      <c r="B2058" t="s">
        <v>42</v>
      </c>
      <c r="C2058" t="s">
        <v>893</v>
      </c>
      <c r="D2058" s="2">
        <v>654701990.40999997</v>
      </c>
      <c r="E2058" s="2">
        <v>89825990.409999996</v>
      </c>
      <c r="F2058" s="2">
        <v>89825990.409999996</v>
      </c>
    </row>
    <row r="2059" spans="1:6" x14ac:dyDescent="0.25">
      <c r="A2059" s="1">
        <v>44986</v>
      </c>
      <c r="B2059" t="s">
        <v>55</v>
      </c>
      <c r="C2059" t="s">
        <v>198</v>
      </c>
      <c r="D2059">
        <v>0</v>
      </c>
      <c r="E2059">
        <v>0</v>
      </c>
      <c r="F2059">
        <v>0</v>
      </c>
    </row>
    <row r="2060" spans="1:6" x14ac:dyDescent="0.25">
      <c r="A2060" s="1">
        <v>44986</v>
      </c>
      <c r="B2060" t="s">
        <v>296</v>
      </c>
      <c r="C2060" t="s">
        <v>1101</v>
      </c>
      <c r="D2060" s="2">
        <v>93503391</v>
      </c>
      <c r="E2060">
        <v>0</v>
      </c>
      <c r="F2060">
        <v>0</v>
      </c>
    </row>
    <row r="2061" spans="1:6" x14ac:dyDescent="0.25">
      <c r="A2061" s="1">
        <v>44986</v>
      </c>
      <c r="B2061" t="s">
        <v>37</v>
      </c>
      <c r="C2061" t="s">
        <v>492</v>
      </c>
      <c r="D2061">
        <v>0</v>
      </c>
      <c r="E2061">
        <v>0</v>
      </c>
      <c r="F2061">
        <v>0</v>
      </c>
    </row>
    <row r="2062" spans="1:6" x14ac:dyDescent="0.25">
      <c r="A2062" s="1">
        <v>44986</v>
      </c>
      <c r="B2062" t="s">
        <v>132</v>
      </c>
      <c r="C2062" t="s">
        <v>980</v>
      </c>
      <c r="D2062">
        <v>0</v>
      </c>
      <c r="E2062">
        <v>0</v>
      </c>
      <c r="F2062">
        <v>0</v>
      </c>
    </row>
    <row r="2063" spans="1:6" x14ac:dyDescent="0.25">
      <c r="A2063" s="1">
        <v>44986</v>
      </c>
      <c r="B2063" t="s">
        <v>21</v>
      </c>
      <c r="C2063" t="s">
        <v>433</v>
      </c>
      <c r="D2063" s="2">
        <v>9013307.6799999997</v>
      </c>
      <c r="E2063">
        <v>0</v>
      </c>
      <c r="F2063">
        <v>0</v>
      </c>
    </row>
    <row r="2064" spans="1:6" x14ac:dyDescent="0.25">
      <c r="A2064" s="1">
        <v>44986</v>
      </c>
      <c r="B2064" t="s">
        <v>19</v>
      </c>
      <c r="C2064" t="s">
        <v>328</v>
      </c>
      <c r="D2064" s="2">
        <v>523036.93</v>
      </c>
      <c r="E2064" s="2">
        <v>2313304.6800000002</v>
      </c>
      <c r="F2064" s="2">
        <v>2249207.85</v>
      </c>
    </row>
    <row r="2065" spans="1:6" x14ac:dyDescent="0.25">
      <c r="A2065" s="1">
        <v>44986</v>
      </c>
      <c r="B2065" t="s">
        <v>17</v>
      </c>
      <c r="C2065" t="s">
        <v>673</v>
      </c>
      <c r="D2065">
        <v>0</v>
      </c>
      <c r="E2065">
        <v>0</v>
      </c>
      <c r="F2065">
        <v>0</v>
      </c>
    </row>
    <row r="2066" spans="1:6" x14ac:dyDescent="0.25">
      <c r="A2066" s="1">
        <v>44986</v>
      </c>
      <c r="B2066" t="s">
        <v>21</v>
      </c>
      <c r="C2066" t="s">
        <v>312</v>
      </c>
      <c r="D2066" s="2">
        <v>5000000</v>
      </c>
      <c r="E2066">
        <v>0</v>
      </c>
      <c r="F2066">
        <v>0</v>
      </c>
    </row>
    <row r="2067" spans="1:6" x14ac:dyDescent="0.25">
      <c r="A2067" s="1">
        <v>44986</v>
      </c>
      <c r="B2067" t="s">
        <v>63</v>
      </c>
      <c r="C2067" t="s">
        <v>64</v>
      </c>
      <c r="D2067">
        <v>0</v>
      </c>
      <c r="E2067">
        <v>0</v>
      </c>
      <c r="F2067">
        <v>0</v>
      </c>
    </row>
    <row r="2068" spans="1:6" x14ac:dyDescent="0.25">
      <c r="A2068" s="1">
        <v>44986</v>
      </c>
      <c r="B2068" t="s">
        <v>13</v>
      </c>
      <c r="C2068" t="s">
        <v>617</v>
      </c>
      <c r="D2068" s="2">
        <v>600000</v>
      </c>
      <c r="E2068" s="2">
        <v>236829.62</v>
      </c>
      <c r="F2068" s="2">
        <v>320887.86</v>
      </c>
    </row>
    <row r="2069" spans="1:6" x14ac:dyDescent="0.25">
      <c r="A2069" s="1">
        <v>44986</v>
      </c>
      <c r="B2069" t="s">
        <v>21</v>
      </c>
      <c r="C2069" t="s">
        <v>524</v>
      </c>
      <c r="D2069" s="2">
        <v>1800000</v>
      </c>
      <c r="E2069">
        <v>0</v>
      </c>
      <c r="F2069">
        <v>0</v>
      </c>
    </row>
    <row r="2070" spans="1:6" x14ac:dyDescent="0.25">
      <c r="A2070" s="1">
        <v>44986</v>
      </c>
      <c r="B2070" t="s">
        <v>23</v>
      </c>
      <c r="C2070" t="s">
        <v>1015</v>
      </c>
      <c r="D2070" s="2">
        <v>181404.69</v>
      </c>
      <c r="E2070">
        <v>0</v>
      </c>
      <c r="F2070">
        <v>0</v>
      </c>
    </row>
    <row r="2071" spans="1:6" x14ac:dyDescent="0.25">
      <c r="A2071" s="1">
        <v>44986</v>
      </c>
      <c r="B2071" t="s">
        <v>42</v>
      </c>
      <c r="C2071" t="s">
        <v>174</v>
      </c>
      <c r="D2071" s="2">
        <v>7131562.5</v>
      </c>
      <c r="E2071" s="2">
        <v>7131562.5</v>
      </c>
      <c r="F2071" s="2">
        <v>7131562.5</v>
      </c>
    </row>
    <row r="2072" spans="1:6" x14ac:dyDescent="0.25">
      <c r="A2072" s="1">
        <v>44986</v>
      </c>
      <c r="B2072" t="s">
        <v>7</v>
      </c>
      <c r="C2072" t="s">
        <v>124</v>
      </c>
      <c r="D2072">
        <v>0</v>
      </c>
      <c r="E2072" s="2">
        <v>1446616.21</v>
      </c>
      <c r="F2072" s="2">
        <v>1446616.21</v>
      </c>
    </row>
    <row r="2073" spans="1:6" x14ac:dyDescent="0.25">
      <c r="A2073" s="1">
        <v>44986</v>
      </c>
      <c r="B2073" t="s">
        <v>98</v>
      </c>
      <c r="C2073" t="s">
        <v>956</v>
      </c>
      <c r="D2073">
        <v>0</v>
      </c>
      <c r="E2073">
        <v>0</v>
      </c>
      <c r="F2073">
        <v>0</v>
      </c>
    </row>
    <row r="2074" spans="1:6" x14ac:dyDescent="0.25">
      <c r="A2074" s="1">
        <v>44986</v>
      </c>
      <c r="B2074" t="s">
        <v>50</v>
      </c>
      <c r="C2074" t="s">
        <v>938</v>
      </c>
      <c r="D2074">
        <v>0</v>
      </c>
      <c r="E2074">
        <v>0</v>
      </c>
      <c r="F2074">
        <v>0</v>
      </c>
    </row>
    <row r="2075" spans="1:6" x14ac:dyDescent="0.25">
      <c r="A2075" s="1">
        <v>44986</v>
      </c>
      <c r="B2075" t="s">
        <v>27</v>
      </c>
      <c r="C2075" t="s">
        <v>902</v>
      </c>
      <c r="D2075" s="2">
        <v>18525.03</v>
      </c>
      <c r="E2075" s="2">
        <v>1706046.85</v>
      </c>
      <c r="F2075" s="2">
        <v>1897206.16</v>
      </c>
    </row>
    <row r="2076" spans="1:6" x14ac:dyDescent="0.25">
      <c r="A2076" s="1">
        <v>44986</v>
      </c>
      <c r="B2076" t="s">
        <v>278</v>
      </c>
      <c r="C2076" t="s">
        <v>572</v>
      </c>
      <c r="D2076">
        <v>0</v>
      </c>
      <c r="E2076">
        <v>0</v>
      </c>
      <c r="F2076">
        <v>0</v>
      </c>
    </row>
    <row r="2077" spans="1:6" x14ac:dyDescent="0.25">
      <c r="A2077" s="1">
        <v>44986</v>
      </c>
      <c r="B2077" t="s">
        <v>21</v>
      </c>
      <c r="C2077" t="s">
        <v>431</v>
      </c>
      <c r="D2077" s="2">
        <v>1250000</v>
      </c>
      <c r="E2077" s="2">
        <v>5968958.6200000001</v>
      </c>
      <c r="F2077" s="2">
        <v>5893846.9299999997</v>
      </c>
    </row>
    <row r="2078" spans="1:6" x14ac:dyDescent="0.25">
      <c r="A2078" s="1">
        <v>44986</v>
      </c>
      <c r="B2078" t="s">
        <v>282</v>
      </c>
      <c r="C2078" t="s">
        <v>571</v>
      </c>
      <c r="D2078" s="2">
        <v>708798.53</v>
      </c>
      <c r="E2078" s="2">
        <v>1298.26</v>
      </c>
      <c r="F2078" s="2">
        <v>1298.26</v>
      </c>
    </row>
    <row r="2079" spans="1:6" x14ac:dyDescent="0.25">
      <c r="A2079" s="1">
        <v>44986</v>
      </c>
      <c r="B2079" t="s">
        <v>21</v>
      </c>
      <c r="C2079" t="s">
        <v>1102</v>
      </c>
      <c r="D2079" s="2">
        <v>220000</v>
      </c>
      <c r="E2079">
        <v>0</v>
      </c>
      <c r="F2079">
        <v>0</v>
      </c>
    </row>
    <row r="2080" spans="1:6" x14ac:dyDescent="0.25">
      <c r="A2080" s="1">
        <v>44986</v>
      </c>
      <c r="B2080" t="s">
        <v>31</v>
      </c>
      <c r="C2080" t="s">
        <v>32</v>
      </c>
      <c r="D2080">
        <v>0</v>
      </c>
      <c r="E2080">
        <v>0</v>
      </c>
      <c r="F2080">
        <v>0</v>
      </c>
    </row>
    <row r="2081" spans="1:6" x14ac:dyDescent="0.25">
      <c r="A2081" s="1">
        <v>44986</v>
      </c>
      <c r="B2081" t="s">
        <v>107</v>
      </c>
      <c r="C2081" t="s">
        <v>509</v>
      </c>
      <c r="D2081">
        <v>0</v>
      </c>
      <c r="E2081">
        <v>0</v>
      </c>
      <c r="F2081">
        <v>0</v>
      </c>
    </row>
    <row r="2082" spans="1:6" x14ac:dyDescent="0.25">
      <c r="A2082" s="1">
        <v>44986</v>
      </c>
      <c r="B2082" t="s">
        <v>98</v>
      </c>
      <c r="C2082" t="s">
        <v>190</v>
      </c>
      <c r="D2082">
        <v>0</v>
      </c>
      <c r="E2082">
        <v>0</v>
      </c>
      <c r="F2082">
        <v>0</v>
      </c>
    </row>
    <row r="2083" spans="1:6" x14ac:dyDescent="0.25">
      <c r="A2083" s="1">
        <v>44986</v>
      </c>
      <c r="B2083" t="s">
        <v>40</v>
      </c>
      <c r="C2083" t="s">
        <v>581</v>
      </c>
      <c r="D2083" s="2">
        <v>40000000</v>
      </c>
      <c r="E2083" s="2">
        <v>38609550</v>
      </c>
      <c r="F2083" s="2">
        <v>38716985.789999999</v>
      </c>
    </row>
    <row r="2084" spans="1:6" x14ac:dyDescent="0.25">
      <c r="A2084" s="1">
        <v>44986</v>
      </c>
      <c r="B2084" t="s">
        <v>40</v>
      </c>
      <c r="C2084" t="s">
        <v>644</v>
      </c>
      <c r="D2084" s="2">
        <v>1440.3</v>
      </c>
      <c r="E2084">
        <v>0</v>
      </c>
      <c r="F2084">
        <v>0</v>
      </c>
    </row>
    <row r="2085" spans="1:6" x14ac:dyDescent="0.25">
      <c r="A2085" s="1">
        <v>44986</v>
      </c>
      <c r="B2085" t="s">
        <v>105</v>
      </c>
      <c r="C2085" t="s">
        <v>393</v>
      </c>
      <c r="D2085">
        <v>0</v>
      </c>
      <c r="E2085">
        <v>0</v>
      </c>
      <c r="F2085">
        <v>0</v>
      </c>
    </row>
    <row r="2086" spans="1:6" x14ac:dyDescent="0.25">
      <c r="A2086" s="1">
        <v>44986</v>
      </c>
      <c r="B2086" t="s">
        <v>21</v>
      </c>
      <c r="C2086" t="s">
        <v>958</v>
      </c>
      <c r="D2086">
        <v>0</v>
      </c>
      <c r="E2086">
        <v>0</v>
      </c>
      <c r="F2086">
        <v>0</v>
      </c>
    </row>
    <row r="2087" spans="1:6" x14ac:dyDescent="0.25">
      <c r="A2087" s="1">
        <v>44986</v>
      </c>
      <c r="B2087" t="s">
        <v>185</v>
      </c>
      <c r="C2087" t="s">
        <v>493</v>
      </c>
      <c r="D2087" s="2">
        <v>487251633.91000003</v>
      </c>
      <c r="E2087" s="2">
        <v>182413559.63999999</v>
      </c>
      <c r="F2087" s="2">
        <v>140038485.12</v>
      </c>
    </row>
    <row r="2088" spans="1:6" x14ac:dyDescent="0.25">
      <c r="A2088" s="1">
        <v>44986</v>
      </c>
      <c r="B2088" t="s">
        <v>40</v>
      </c>
      <c r="C2088" t="s">
        <v>813</v>
      </c>
      <c r="D2088">
        <v>0</v>
      </c>
      <c r="E2088" s="2">
        <v>1873125</v>
      </c>
      <c r="F2088" s="2">
        <v>1873125</v>
      </c>
    </row>
    <row r="2089" spans="1:6" x14ac:dyDescent="0.25">
      <c r="A2089" s="1">
        <v>44986</v>
      </c>
      <c r="B2089" t="s">
        <v>17</v>
      </c>
      <c r="C2089" t="s">
        <v>327</v>
      </c>
      <c r="D2089" s="2">
        <v>40000.5</v>
      </c>
      <c r="E2089" s="2">
        <v>12557.85</v>
      </c>
      <c r="F2089" s="2">
        <v>12557.85</v>
      </c>
    </row>
    <row r="2090" spans="1:6" x14ac:dyDescent="0.25">
      <c r="A2090" s="1">
        <v>44986</v>
      </c>
      <c r="B2090" t="s">
        <v>46</v>
      </c>
      <c r="C2090" t="s">
        <v>232</v>
      </c>
      <c r="D2090" s="2">
        <v>5910728.4400000004</v>
      </c>
      <c r="E2090" s="2">
        <v>5107296.26</v>
      </c>
      <c r="F2090" s="2">
        <v>2653.72</v>
      </c>
    </row>
    <row r="2091" spans="1:6" x14ac:dyDescent="0.25">
      <c r="A2091" s="1">
        <v>44986</v>
      </c>
      <c r="B2091" t="s">
        <v>159</v>
      </c>
      <c r="C2091" t="s">
        <v>641</v>
      </c>
      <c r="D2091">
        <v>0</v>
      </c>
      <c r="E2091" s="2">
        <v>4810.25</v>
      </c>
      <c r="F2091" s="2">
        <v>4810.25</v>
      </c>
    </row>
    <row r="2092" spans="1:6" x14ac:dyDescent="0.25">
      <c r="A2092" s="1">
        <v>44986</v>
      </c>
      <c r="B2092" t="s">
        <v>118</v>
      </c>
      <c r="C2092" t="s">
        <v>971</v>
      </c>
      <c r="D2092">
        <v>0</v>
      </c>
      <c r="E2092">
        <v>0</v>
      </c>
      <c r="F2092">
        <v>0</v>
      </c>
    </row>
    <row r="2093" spans="1:6" x14ac:dyDescent="0.25">
      <c r="A2093" s="1">
        <v>44986</v>
      </c>
      <c r="B2093" t="s">
        <v>11</v>
      </c>
      <c r="C2093" t="s">
        <v>566</v>
      </c>
      <c r="D2093" s="2">
        <v>244009707.09</v>
      </c>
      <c r="E2093" s="2">
        <v>258218515.06</v>
      </c>
      <c r="F2093" s="2">
        <v>260915170.50999999</v>
      </c>
    </row>
    <row r="2094" spans="1:6" x14ac:dyDescent="0.25">
      <c r="A2094" s="1">
        <v>44986</v>
      </c>
      <c r="B2094" t="s">
        <v>114</v>
      </c>
      <c r="C2094" t="s">
        <v>945</v>
      </c>
      <c r="D2094">
        <v>0</v>
      </c>
      <c r="E2094" s="2">
        <v>6505.33</v>
      </c>
      <c r="F2094" s="2">
        <v>6505.33</v>
      </c>
    </row>
    <row r="2095" spans="1:6" x14ac:dyDescent="0.25">
      <c r="A2095" s="1">
        <v>44986</v>
      </c>
      <c r="B2095" t="s">
        <v>21</v>
      </c>
      <c r="C2095" t="s">
        <v>795</v>
      </c>
      <c r="D2095">
        <v>0</v>
      </c>
      <c r="E2095">
        <v>0</v>
      </c>
      <c r="F2095">
        <v>0</v>
      </c>
    </row>
    <row r="2096" spans="1:6" x14ac:dyDescent="0.25">
      <c r="A2096" s="1">
        <v>44986</v>
      </c>
      <c r="B2096" t="s">
        <v>46</v>
      </c>
      <c r="C2096" t="s">
        <v>47</v>
      </c>
      <c r="D2096">
        <v>0</v>
      </c>
      <c r="E2096" s="2">
        <v>1201666.6599999999</v>
      </c>
      <c r="F2096" s="2">
        <v>1201666.6599999999</v>
      </c>
    </row>
    <row r="2097" spans="1:6" x14ac:dyDescent="0.25">
      <c r="A2097" s="1">
        <v>44986</v>
      </c>
      <c r="B2097" t="s">
        <v>77</v>
      </c>
      <c r="C2097" t="s">
        <v>78</v>
      </c>
      <c r="D2097">
        <v>0</v>
      </c>
      <c r="E2097">
        <v>0</v>
      </c>
      <c r="F2097">
        <v>0</v>
      </c>
    </row>
    <row r="2098" spans="1:6" x14ac:dyDescent="0.25">
      <c r="A2098" s="1">
        <v>44986</v>
      </c>
      <c r="B2098" t="s">
        <v>55</v>
      </c>
      <c r="C2098" t="s">
        <v>708</v>
      </c>
      <c r="D2098">
        <v>0</v>
      </c>
      <c r="E2098">
        <v>0</v>
      </c>
      <c r="F2098">
        <v>0</v>
      </c>
    </row>
    <row r="2099" spans="1:6" x14ac:dyDescent="0.25">
      <c r="A2099" s="1">
        <v>44986</v>
      </c>
      <c r="B2099" t="s">
        <v>21</v>
      </c>
      <c r="C2099" t="s">
        <v>238</v>
      </c>
      <c r="D2099" s="2">
        <v>500000</v>
      </c>
      <c r="E2099">
        <v>0</v>
      </c>
      <c r="F2099">
        <v>0</v>
      </c>
    </row>
    <row r="2100" spans="1:6" x14ac:dyDescent="0.25">
      <c r="A2100" s="1">
        <v>44986</v>
      </c>
      <c r="B2100" t="s">
        <v>37</v>
      </c>
      <c r="C2100" t="s">
        <v>349</v>
      </c>
      <c r="D2100">
        <v>0</v>
      </c>
      <c r="E2100" s="2">
        <v>1810510.65</v>
      </c>
      <c r="F2100" s="2">
        <v>1810510.65</v>
      </c>
    </row>
    <row r="2101" spans="1:6" x14ac:dyDescent="0.25">
      <c r="A2101" s="1">
        <v>44986</v>
      </c>
      <c r="B2101" t="s">
        <v>42</v>
      </c>
      <c r="C2101" t="s">
        <v>110</v>
      </c>
      <c r="D2101" s="2">
        <v>41694598.590000004</v>
      </c>
      <c r="E2101" s="2">
        <v>41736981.32</v>
      </c>
      <c r="F2101" s="2">
        <v>41736981.32</v>
      </c>
    </row>
    <row r="2102" spans="1:6" x14ac:dyDescent="0.25">
      <c r="A2102" s="1">
        <v>44986</v>
      </c>
      <c r="B2102" t="s">
        <v>46</v>
      </c>
      <c r="C2102" t="s">
        <v>820</v>
      </c>
      <c r="D2102">
        <v>0</v>
      </c>
      <c r="E2102" s="2">
        <v>97701.58</v>
      </c>
      <c r="F2102" s="2">
        <v>109117.59</v>
      </c>
    </row>
    <row r="2103" spans="1:6" x14ac:dyDescent="0.25">
      <c r="A2103" s="1">
        <v>44986</v>
      </c>
      <c r="B2103" t="s">
        <v>27</v>
      </c>
      <c r="C2103" t="s">
        <v>607</v>
      </c>
      <c r="D2103">
        <v>0</v>
      </c>
      <c r="E2103">
        <v>0</v>
      </c>
      <c r="F2103">
        <v>0</v>
      </c>
    </row>
    <row r="2104" spans="1:6" x14ac:dyDescent="0.25">
      <c r="A2104" s="1">
        <v>44986</v>
      </c>
      <c r="B2104" t="s">
        <v>132</v>
      </c>
      <c r="C2104" t="s">
        <v>1103</v>
      </c>
      <c r="D2104">
        <v>0</v>
      </c>
      <c r="E2104">
        <v>0</v>
      </c>
      <c r="F2104">
        <v>0</v>
      </c>
    </row>
    <row r="2105" spans="1:6" x14ac:dyDescent="0.25">
      <c r="A2105" s="1">
        <v>44986</v>
      </c>
      <c r="B2105" t="s">
        <v>46</v>
      </c>
      <c r="C2105" t="s">
        <v>86</v>
      </c>
      <c r="D2105" s="2">
        <v>143902.14000000001</v>
      </c>
      <c r="E2105" s="2">
        <v>502433.76</v>
      </c>
      <c r="F2105" s="2">
        <v>1075125.1599999999</v>
      </c>
    </row>
    <row r="2106" spans="1:6" x14ac:dyDescent="0.25">
      <c r="A2106" s="1">
        <v>44986</v>
      </c>
      <c r="B2106" t="s">
        <v>17</v>
      </c>
      <c r="C2106" t="s">
        <v>256</v>
      </c>
      <c r="D2106" s="2">
        <v>358427.86</v>
      </c>
      <c r="E2106" s="2">
        <v>259862.26</v>
      </c>
      <c r="F2106" s="2">
        <v>230782.26</v>
      </c>
    </row>
    <row r="2107" spans="1:6" x14ac:dyDescent="0.25">
      <c r="A2107" s="1">
        <v>44986</v>
      </c>
      <c r="B2107" t="s">
        <v>21</v>
      </c>
      <c r="C2107" t="s">
        <v>652</v>
      </c>
      <c r="D2107" s="2">
        <v>8280747</v>
      </c>
      <c r="E2107" s="2">
        <v>229768.46</v>
      </c>
      <c r="F2107" s="2">
        <v>459112.45</v>
      </c>
    </row>
    <row r="2108" spans="1:6" x14ac:dyDescent="0.25">
      <c r="A2108" s="1">
        <v>44986</v>
      </c>
      <c r="B2108" t="s">
        <v>23</v>
      </c>
      <c r="C2108" t="s">
        <v>1012</v>
      </c>
      <c r="D2108">
        <v>0</v>
      </c>
      <c r="E2108">
        <v>0</v>
      </c>
      <c r="F2108">
        <v>0</v>
      </c>
    </row>
    <row r="2109" spans="1:6" x14ac:dyDescent="0.25">
      <c r="A2109" s="1">
        <v>44986</v>
      </c>
      <c r="B2109" t="s">
        <v>17</v>
      </c>
      <c r="C2109" t="s">
        <v>432</v>
      </c>
      <c r="D2109" s="2">
        <v>4545427.6900000004</v>
      </c>
      <c r="E2109" s="2">
        <v>52483</v>
      </c>
      <c r="F2109" s="2">
        <v>21083</v>
      </c>
    </row>
    <row r="2110" spans="1:6" x14ac:dyDescent="0.25">
      <c r="A2110" s="1">
        <v>44986</v>
      </c>
      <c r="B2110" t="s">
        <v>661</v>
      </c>
      <c r="C2110" t="s">
        <v>457</v>
      </c>
      <c r="D2110">
        <v>0</v>
      </c>
      <c r="E2110">
        <v>0</v>
      </c>
      <c r="F2110">
        <v>0</v>
      </c>
    </row>
    <row r="2111" spans="1:6" x14ac:dyDescent="0.25">
      <c r="A2111" s="1">
        <v>44986</v>
      </c>
      <c r="B2111" t="s">
        <v>282</v>
      </c>
      <c r="C2111" t="s">
        <v>283</v>
      </c>
      <c r="D2111">
        <v>0</v>
      </c>
      <c r="E2111">
        <v>0</v>
      </c>
      <c r="F2111">
        <v>0</v>
      </c>
    </row>
    <row r="2112" spans="1:6" x14ac:dyDescent="0.25">
      <c r="A2112" s="1">
        <v>44986</v>
      </c>
      <c r="B2112" t="s">
        <v>21</v>
      </c>
      <c r="C2112" t="s">
        <v>510</v>
      </c>
      <c r="D2112" s="2">
        <v>18978844</v>
      </c>
      <c r="E2112">
        <v>0</v>
      </c>
      <c r="F2112">
        <v>0</v>
      </c>
    </row>
    <row r="2113" spans="1:6" x14ac:dyDescent="0.25">
      <c r="A2113" s="1">
        <v>44986</v>
      </c>
      <c r="B2113" t="s">
        <v>296</v>
      </c>
      <c r="C2113" t="s">
        <v>1024</v>
      </c>
      <c r="D2113" s="2">
        <v>5696973.4900000002</v>
      </c>
      <c r="E2113" s="2">
        <v>5696973.4900000002</v>
      </c>
      <c r="F2113" s="2">
        <v>5696973.4900000002</v>
      </c>
    </row>
    <row r="2114" spans="1:6" x14ac:dyDescent="0.25">
      <c r="A2114" s="1">
        <v>44986</v>
      </c>
      <c r="B2114" t="s">
        <v>21</v>
      </c>
      <c r="C2114" t="s">
        <v>939</v>
      </c>
      <c r="D2114" s="2">
        <v>29000000</v>
      </c>
      <c r="E2114" s="2">
        <v>251498.06</v>
      </c>
      <c r="F2114" s="2">
        <v>251498.06</v>
      </c>
    </row>
    <row r="2115" spans="1:6" x14ac:dyDescent="0.25">
      <c r="A2115" s="1">
        <v>44986</v>
      </c>
      <c r="B2115" t="s">
        <v>21</v>
      </c>
      <c r="C2115" t="s">
        <v>276</v>
      </c>
      <c r="D2115">
        <v>0</v>
      </c>
      <c r="E2115">
        <v>0</v>
      </c>
      <c r="F2115">
        <v>0</v>
      </c>
    </row>
    <row r="2116" spans="1:6" x14ac:dyDescent="0.25">
      <c r="A2116" s="1">
        <v>44986</v>
      </c>
      <c r="B2116" t="s">
        <v>44</v>
      </c>
      <c r="C2116" t="s">
        <v>45</v>
      </c>
      <c r="D2116">
        <v>0</v>
      </c>
      <c r="E2116">
        <v>0</v>
      </c>
      <c r="F2116">
        <v>0</v>
      </c>
    </row>
    <row r="2117" spans="1:6" x14ac:dyDescent="0.25">
      <c r="A2117" s="1">
        <v>44986</v>
      </c>
      <c r="B2117" t="s">
        <v>490</v>
      </c>
      <c r="C2117" t="s">
        <v>512</v>
      </c>
      <c r="D2117" s="2">
        <v>337756834.86000001</v>
      </c>
      <c r="E2117">
        <v>0</v>
      </c>
      <c r="F2117">
        <v>0</v>
      </c>
    </row>
    <row r="2118" spans="1:6" x14ac:dyDescent="0.25">
      <c r="A2118" s="1">
        <v>44986</v>
      </c>
      <c r="B2118" t="s">
        <v>48</v>
      </c>
      <c r="C2118" t="s">
        <v>1104</v>
      </c>
      <c r="D2118" s="2">
        <v>4215000</v>
      </c>
      <c r="E2118">
        <v>0</v>
      </c>
      <c r="F2118">
        <v>0</v>
      </c>
    </row>
    <row r="2119" spans="1:6" x14ac:dyDescent="0.25">
      <c r="A2119" s="1">
        <v>44986</v>
      </c>
      <c r="B2119" t="s">
        <v>234</v>
      </c>
      <c r="C2119" t="s">
        <v>299</v>
      </c>
      <c r="D2119" s="2">
        <v>4249593943.5700002</v>
      </c>
      <c r="E2119" s="2">
        <v>4249593943.5700002</v>
      </c>
      <c r="F2119" s="2">
        <v>4249593943.5700002</v>
      </c>
    </row>
    <row r="2120" spans="1:6" x14ac:dyDescent="0.25">
      <c r="A2120" s="1">
        <v>44986</v>
      </c>
      <c r="B2120" t="s">
        <v>46</v>
      </c>
      <c r="C2120" t="s">
        <v>592</v>
      </c>
      <c r="D2120" s="2">
        <v>2170886.06</v>
      </c>
      <c r="E2120" s="2">
        <v>2167591.1800000002</v>
      </c>
      <c r="F2120" s="2">
        <v>2118339.6800000002</v>
      </c>
    </row>
    <row r="2121" spans="1:6" x14ac:dyDescent="0.25">
      <c r="A2121" s="1">
        <v>44986</v>
      </c>
      <c r="B2121" t="s">
        <v>118</v>
      </c>
      <c r="C2121" t="s">
        <v>911</v>
      </c>
      <c r="D2121" s="2">
        <v>164682172.91999999</v>
      </c>
      <c r="E2121">
        <v>0</v>
      </c>
      <c r="F2121">
        <v>0</v>
      </c>
    </row>
    <row r="2122" spans="1:6" x14ac:dyDescent="0.25">
      <c r="A2122" s="1">
        <v>44986</v>
      </c>
      <c r="B2122" t="s">
        <v>23</v>
      </c>
      <c r="C2122" t="s">
        <v>305</v>
      </c>
      <c r="D2122" s="2">
        <v>17285152.050000001</v>
      </c>
      <c r="E2122" s="2">
        <v>14626920.609999999</v>
      </c>
      <c r="F2122" s="2">
        <v>15091034.24</v>
      </c>
    </row>
    <row r="2123" spans="1:6" x14ac:dyDescent="0.25">
      <c r="A2123" s="1">
        <v>44986</v>
      </c>
      <c r="B2123" t="s">
        <v>187</v>
      </c>
      <c r="C2123" t="s">
        <v>812</v>
      </c>
      <c r="D2123" s="2">
        <v>1932015.83</v>
      </c>
      <c r="E2123" s="2">
        <v>1458472.24</v>
      </c>
      <c r="F2123" s="2">
        <v>848723.56</v>
      </c>
    </row>
    <row r="2124" spans="1:6" x14ac:dyDescent="0.25">
      <c r="A2124" s="1">
        <v>44986</v>
      </c>
      <c r="B2124" t="s">
        <v>21</v>
      </c>
      <c r="C2124" t="s">
        <v>1105</v>
      </c>
      <c r="D2124" s="2">
        <v>48979581</v>
      </c>
      <c r="E2124">
        <v>0</v>
      </c>
      <c r="F2124">
        <v>0</v>
      </c>
    </row>
    <row r="2125" spans="1:6" x14ac:dyDescent="0.25">
      <c r="A2125" s="1">
        <v>44986</v>
      </c>
      <c r="B2125" t="s">
        <v>81</v>
      </c>
      <c r="C2125" t="s">
        <v>444</v>
      </c>
      <c r="D2125">
        <v>0</v>
      </c>
      <c r="E2125">
        <v>0</v>
      </c>
      <c r="F2125">
        <v>0</v>
      </c>
    </row>
    <row r="2126" spans="1:6" x14ac:dyDescent="0.25">
      <c r="A2126" s="1">
        <v>44986</v>
      </c>
      <c r="B2126" t="s">
        <v>181</v>
      </c>
      <c r="C2126" t="s">
        <v>598</v>
      </c>
      <c r="D2126">
        <v>0</v>
      </c>
      <c r="E2126">
        <v>0</v>
      </c>
      <c r="F2126">
        <v>0</v>
      </c>
    </row>
    <row r="2127" spans="1:6" x14ac:dyDescent="0.25">
      <c r="A2127" s="1">
        <v>44986</v>
      </c>
      <c r="B2127" t="s">
        <v>162</v>
      </c>
      <c r="C2127" t="s">
        <v>313</v>
      </c>
      <c r="D2127">
        <v>0</v>
      </c>
      <c r="E2127">
        <v>0</v>
      </c>
      <c r="F2127">
        <v>0</v>
      </c>
    </row>
    <row r="2128" spans="1:6" x14ac:dyDescent="0.25">
      <c r="A2128" s="1">
        <v>44986</v>
      </c>
      <c r="B2128" t="s">
        <v>296</v>
      </c>
      <c r="C2128" t="s">
        <v>470</v>
      </c>
      <c r="D2128" s="2">
        <v>5518415.29</v>
      </c>
      <c r="E2128">
        <v>0</v>
      </c>
      <c r="F2128">
        <v>0</v>
      </c>
    </row>
    <row r="2129" spans="1:6" x14ac:dyDescent="0.25">
      <c r="A2129" s="1">
        <v>44986</v>
      </c>
      <c r="B2129" t="s">
        <v>48</v>
      </c>
      <c r="C2129" t="s">
        <v>1106</v>
      </c>
      <c r="D2129" s="2">
        <v>5521439.1500000004</v>
      </c>
      <c r="E2129" s="2">
        <v>2956682.01</v>
      </c>
      <c r="F2129" s="2">
        <v>2956682.01</v>
      </c>
    </row>
    <row r="2130" spans="1:6" x14ac:dyDescent="0.25">
      <c r="A2130" s="1">
        <v>44986</v>
      </c>
      <c r="B2130" t="s">
        <v>15</v>
      </c>
      <c r="C2130" t="s">
        <v>99</v>
      </c>
      <c r="D2130" s="2">
        <v>4104824.44</v>
      </c>
      <c r="E2130" s="2">
        <v>3440000</v>
      </c>
      <c r="F2130" s="2">
        <v>3440000</v>
      </c>
    </row>
    <row r="2131" spans="1:6" x14ac:dyDescent="0.25">
      <c r="A2131" s="1">
        <v>44986</v>
      </c>
      <c r="B2131" t="s">
        <v>17</v>
      </c>
      <c r="C2131" t="s">
        <v>377</v>
      </c>
      <c r="D2131" s="2">
        <v>36645855.07</v>
      </c>
      <c r="E2131" s="2">
        <v>13159337.41</v>
      </c>
      <c r="F2131">
        <v>0</v>
      </c>
    </row>
    <row r="2132" spans="1:6" x14ac:dyDescent="0.25">
      <c r="A2132" s="1">
        <v>44986</v>
      </c>
      <c r="B2132" t="s">
        <v>21</v>
      </c>
      <c r="C2132" t="s">
        <v>994</v>
      </c>
      <c r="D2132" s="2">
        <v>1700000</v>
      </c>
      <c r="E2132">
        <v>0</v>
      </c>
      <c r="F2132">
        <v>0</v>
      </c>
    </row>
    <row r="2133" spans="1:6" x14ac:dyDescent="0.25">
      <c r="A2133" s="1">
        <v>44986</v>
      </c>
      <c r="B2133" t="s">
        <v>125</v>
      </c>
      <c r="C2133" t="s">
        <v>126</v>
      </c>
      <c r="D2133" s="2">
        <v>29155.61</v>
      </c>
      <c r="E2133" s="2">
        <v>29155.61</v>
      </c>
      <c r="F2133" s="2">
        <v>29155.61</v>
      </c>
    </row>
    <row r="2134" spans="1:6" x14ac:dyDescent="0.25">
      <c r="A2134" s="1">
        <v>44986</v>
      </c>
      <c r="B2134" t="s">
        <v>42</v>
      </c>
      <c r="C2134" t="s">
        <v>400</v>
      </c>
      <c r="D2134">
        <v>0</v>
      </c>
      <c r="E2134" s="2">
        <v>800000000</v>
      </c>
      <c r="F2134" s="2">
        <v>800000000</v>
      </c>
    </row>
    <row r="2135" spans="1:6" x14ac:dyDescent="0.25">
      <c r="A2135" s="1">
        <v>44986</v>
      </c>
      <c r="B2135" t="s">
        <v>98</v>
      </c>
      <c r="C2135" t="s">
        <v>1036</v>
      </c>
      <c r="D2135">
        <v>0</v>
      </c>
      <c r="E2135">
        <v>0</v>
      </c>
      <c r="F2135">
        <v>0</v>
      </c>
    </row>
    <row r="2136" spans="1:6" x14ac:dyDescent="0.25">
      <c r="A2136" s="1">
        <v>44986</v>
      </c>
      <c r="B2136" t="s">
        <v>98</v>
      </c>
      <c r="C2136" t="s">
        <v>322</v>
      </c>
      <c r="D2136">
        <v>0</v>
      </c>
      <c r="E2136">
        <v>0</v>
      </c>
      <c r="F2136">
        <v>0</v>
      </c>
    </row>
    <row r="2137" spans="1:6" x14ac:dyDescent="0.25">
      <c r="A2137" s="1">
        <v>44986</v>
      </c>
      <c r="B2137" t="s">
        <v>206</v>
      </c>
      <c r="C2137" t="s">
        <v>534</v>
      </c>
      <c r="D2137" s="2">
        <v>499903.71</v>
      </c>
      <c r="E2137" s="2">
        <v>69648.84</v>
      </c>
      <c r="F2137" s="2">
        <v>72514.89</v>
      </c>
    </row>
    <row r="2138" spans="1:6" x14ac:dyDescent="0.25">
      <c r="A2138" s="1">
        <v>44986</v>
      </c>
      <c r="B2138" t="s">
        <v>50</v>
      </c>
      <c r="C2138" t="s">
        <v>323</v>
      </c>
      <c r="D2138" s="2">
        <v>43767.34</v>
      </c>
      <c r="E2138" s="2">
        <v>5043.3999999999996</v>
      </c>
      <c r="F2138" s="2">
        <v>4993</v>
      </c>
    </row>
    <row r="2139" spans="1:6" x14ac:dyDescent="0.25">
      <c r="A2139" s="1">
        <v>44986</v>
      </c>
      <c r="B2139" t="s">
        <v>50</v>
      </c>
      <c r="C2139" t="s">
        <v>1107</v>
      </c>
      <c r="D2139" s="2">
        <v>18992366</v>
      </c>
      <c r="E2139" s="2">
        <v>12331024.91</v>
      </c>
      <c r="F2139" s="2">
        <v>12331024.91</v>
      </c>
    </row>
    <row r="2140" spans="1:6" x14ac:dyDescent="0.25">
      <c r="A2140" s="1">
        <v>44986</v>
      </c>
      <c r="B2140" t="s">
        <v>120</v>
      </c>
      <c r="C2140" t="s">
        <v>943</v>
      </c>
      <c r="D2140">
        <v>0</v>
      </c>
      <c r="E2140">
        <v>0</v>
      </c>
      <c r="F2140">
        <v>0</v>
      </c>
    </row>
    <row r="2141" spans="1:6" x14ac:dyDescent="0.25">
      <c r="A2141" s="1">
        <v>44986</v>
      </c>
      <c r="B2141" t="s">
        <v>282</v>
      </c>
      <c r="C2141" t="s">
        <v>664</v>
      </c>
      <c r="D2141">
        <v>0</v>
      </c>
      <c r="E2141" s="2">
        <v>13942864544</v>
      </c>
      <c r="F2141" s="2">
        <v>13945824644</v>
      </c>
    </row>
    <row r="2142" spans="1:6" x14ac:dyDescent="0.25">
      <c r="A2142" s="1">
        <v>44986</v>
      </c>
      <c r="B2142" t="s">
        <v>17</v>
      </c>
      <c r="C2142" t="s">
        <v>1057</v>
      </c>
      <c r="D2142">
        <v>0</v>
      </c>
      <c r="E2142">
        <v>0</v>
      </c>
      <c r="F2142">
        <v>0</v>
      </c>
    </row>
    <row r="2143" spans="1:6" x14ac:dyDescent="0.25">
      <c r="A2143" s="1">
        <v>44986</v>
      </c>
      <c r="B2143" t="s">
        <v>143</v>
      </c>
      <c r="C2143" t="s">
        <v>517</v>
      </c>
      <c r="D2143" s="2">
        <v>4221000</v>
      </c>
      <c r="E2143">
        <v>0</v>
      </c>
      <c r="F2143">
        <v>0</v>
      </c>
    </row>
    <row r="2144" spans="1:6" x14ac:dyDescent="0.25">
      <c r="A2144" s="1">
        <v>44986</v>
      </c>
      <c r="B2144" t="s">
        <v>23</v>
      </c>
      <c r="C2144" t="s">
        <v>715</v>
      </c>
      <c r="D2144" s="2">
        <v>-163780.39000000001</v>
      </c>
      <c r="E2144" s="2">
        <v>172887.47</v>
      </c>
      <c r="F2144" s="2">
        <v>171939.01</v>
      </c>
    </row>
    <row r="2145" spans="1:6" x14ac:dyDescent="0.25">
      <c r="A2145" s="1">
        <v>44986</v>
      </c>
      <c r="B2145" t="s">
        <v>23</v>
      </c>
      <c r="C2145" t="s">
        <v>807</v>
      </c>
      <c r="D2145" s="2">
        <v>1704369.53</v>
      </c>
      <c r="E2145" s="2">
        <v>50303.56</v>
      </c>
      <c r="F2145" s="2">
        <v>9533.6200000000008</v>
      </c>
    </row>
    <row r="2146" spans="1:6" x14ac:dyDescent="0.25">
      <c r="A2146" s="1">
        <v>44986</v>
      </c>
      <c r="B2146" t="s">
        <v>23</v>
      </c>
      <c r="C2146" t="s">
        <v>620</v>
      </c>
      <c r="D2146" s="2">
        <v>2448930.7000000002</v>
      </c>
      <c r="E2146" s="2">
        <v>2083413.32</v>
      </c>
      <c r="F2146" s="2">
        <v>2232075.25</v>
      </c>
    </row>
    <row r="2147" spans="1:6" x14ac:dyDescent="0.25">
      <c r="A2147" s="1">
        <v>44986</v>
      </c>
      <c r="B2147" t="s">
        <v>21</v>
      </c>
      <c r="C2147" t="s">
        <v>1026</v>
      </c>
      <c r="D2147">
        <v>0</v>
      </c>
      <c r="E2147">
        <v>0</v>
      </c>
      <c r="F2147">
        <v>0</v>
      </c>
    </row>
    <row r="2148" spans="1:6" x14ac:dyDescent="0.25">
      <c r="A2148" s="1">
        <v>44986</v>
      </c>
      <c r="B2148" t="s">
        <v>344</v>
      </c>
      <c r="C2148" t="s">
        <v>568</v>
      </c>
      <c r="D2148">
        <v>0</v>
      </c>
      <c r="E2148">
        <v>0</v>
      </c>
      <c r="F2148">
        <v>0</v>
      </c>
    </row>
    <row r="2149" spans="1:6" x14ac:dyDescent="0.25">
      <c r="A2149" s="1">
        <v>44986</v>
      </c>
      <c r="B2149" t="s">
        <v>98</v>
      </c>
      <c r="C2149" t="s">
        <v>1108</v>
      </c>
      <c r="D2149">
        <v>0</v>
      </c>
      <c r="E2149">
        <v>0</v>
      </c>
      <c r="F2149">
        <v>0</v>
      </c>
    </row>
    <row r="2150" spans="1:6" x14ac:dyDescent="0.25">
      <c r="A2150" s="1">
        <v>44986</v>
      </c>
      <c r="B2150" t="s">
        <v>37</v>
      </c>
      <c r="C2150" t="s">
        <v>208</v>
      </c>
      <c r="D2150" s="2">
        <v>850000</v>
      </c>
      <c r="E2150" s="2">
        <v>47887978.289999999</v>
      </c>
      <c r="F2150" s="2">
        <v>157460850.36000001</v>
      </c>
    </row>
    <row r="2151" spans="1:6" x14ac:dyDescent="0.25">
      <c r="A2151" s="1">
        <v>44986</v>
      </c>
      <c r="B2151" t="s">
        <v>50</v>
      </c>
      <c r="C2151" t="s">
        <v>520</v>
      </c>
      <c r="D2151">
        <v>0</v>
      </c>
      <c r="E2151">
        <v>0</v>
      </c>
      <c r="F2151">
        <v>0</v>
      </c>
    </row>
    <row r="2152" spans="1:6" x14ac:dyDescent="0.25">
      <c r="A2152" s="1">
        <v>44986</v>
      </c>
      <c r="B2152" t="s">
        <v>132</v>
      </c>
      <c r="C2152" t="s">
        <v>956</v>
      </c>
      <c r="D2152">
        <v>0</v>
      </c>
      <c r="E2152">
        <v>0</v>
      </c>
      <c r="F2152">
        <v>0</v>
      </c>
    </row>
    <row r="2153" spans="1:6" x14ac:dyDescent="0.25">
      <c r="A2153" s="1">
        <v>44986</v>
      </c>
      <c r="B2153" t="s">
        <v>682</v>
      </c>
      <c r="C2153" t="s">
        <v>683</v>
      </c>
      <c r="D2153" s="2">
        <v>376815.39</v>
      </c>
      <c r="E2153" s="2">
        <v>99403.04</v>
      </c>
      <c r="F2153" s="2">
        <v>99348.67</v>
      </c>
    </row>
    <row r="2154" spans="1:6" x14ac:dyDescent="0.25">
      <c r="A2154" s="1">
        <v>44986</v>
      </c>
      <c r="B2154" t="s">
        <v>11</v>
      </c>
      <c r="C2154" t="s">
        <v>484</v>
      </c>
      <c r="D2154">
        <v>0</v>
      </c>
      <c r="E2154" s="2">
        <v>4267931.41</v>
      </c>
      <c r="F2154" s="2">
        <v>4267931.41</v>
      </c>
    </row>
    <row r="2155" spans="1:6" x14ac:dyDescent="0.25">
      <c r="A2155" s="1">
        <v>44986</v>
      </c>
      <c r="B2155" t="s">
        <v>53</v>
      </c>
      <c r="C2155" t="s">
        <v>84</v>
      </c>
      <c r="D2155" s="2">
        <v>1647664525.21</v>
      </c>
      <c r="E2155" s="2">
        <v>1647664525.21</v>
      </c>
      <c r="F2155" s="2">
        <v>1647664525.21</v>
      </c>
    </row>
    <row r="2156" spans="1:6" x14ac:dyDescent="0.25">
      <c r="A2156" s="1">
        <v>44986</v>
      </c>
      <c r="B2156" t="s">
        <v>15</v>
      </c>
      <c r="C2156" t="s">
        <v>627</v>
      </c>
      <c r="D2156">
        <v>0</v>
      </c>
      <c r="E2156">
        <v>0</v>
      </c>
      <c r="F2156">
        <v>0</v>
      </c>
    </row>
    <row r="2157" spans="1:6" x14ac:dyDescent="0.25">
      <c r="A2157" s="1">
        <v>44986</v>
      </c>
      <c r="B2157" t="s">
        <v>992</v>
      </c>
      <c r="C2157" t="s">
        <v>993</v>
      </c>
      <c r="D2157">
        <v>0</v>
      </c>
      <c r="E2157">
        <v>0</v>
      </c>
      <c r="F2157">
        <v>0</v>
      </c>
    </row>
    <row r="2158" spans="1:6" x14ac:dyDescent="0.25">
      <c r="A2158" s="1">
        <v>44986</v>
      </c>
      <c r="B2158" t="s">
        <v>11</v>
      </c>
      <c r="C2158" t="s">
        <v>300</v>
      </c>
      <c r="D2158">
        <v>0</v>
      </c>
      <c r="E2158" s="2">
        <v>84077398.829999998</v>
      </c>
      <c r="F2158" s="2">
        <v>84077398.829999998</v>
      </c>
    </row>
    <row r="2159" spans="1:6" x14ac:dyDescent="0.25">
      <c r="A2159" s="1">
        <v>44986</v>
      </c>
      <c r="B2159" t="s">
        <v>405</v>
      </c>
      <c r="C2159" t="s">
        <v>953</v>
      </c>
      <c r="D2159" s="2">
        <v>203524935.21000001</v>
      </c>
      <c r="E2159">
        <v>0</v>
      </c>
      <c r="F2159">
        <v>0</v>
      </c>
    </row>
    <row r="2160" spans="1:6" x14ac:dyDescent="0.25">
      <c r="A2160" s="1">
        <v>44986</v>
      </c>
      <c r="B2160" t="s">
        <v>143</v>
      </c>
      <c r="C2160" t="s">
        <v>413</v>
      </c>
      <c r="D2160">
        <v>0</v>
      </c>
      <c r="E2160">
        <v>0</v>
      </c>
      <c r="F2160">
        <v>0</v>
      </c>
    </row>
    <row r="2161" spans="1:6" x14ac:dyDescent="0.25">
      <c r="A2161" s="1">
        <v>44986</v>
      </c>
      <c r="B2161" t="s">
        <v>127</v>
      </c>
      <c r="C2161" t="s">
        <v>128</v>
      </c>
      <c r="D2161" s="2">
        <v>100000</v>
      </c>
      <c r="E2161">
        <v>0</v>
      </c>
      <c r="F2161">
        <v>0</v>
      </c>
    </row>
    <row r="2162" spans="1:6" x14ac:dyDescent="0.25">
      <c r="A2162" s="1">
        <v>44986</v>
      </c>
      <c r="B2162" t="s">
        <v>40</v>
      </c>
      <c r="C2162" t="s">
        <v>651</v>
      </c>
      <c r="D2162" s="2">
        <v>100000</v>
      </c>
      <c r="E2162" s="2">
        <v>4702.09</v>
      </c>
      <c r="F2162" s="2">
        <v>4702.09</v>
      </c>
    </row>
    <row r="2163" spans="1:6" x14ac:dyDescent="0.25">
      <c r="A2163" s="1">
        <v>44986</v>
      </c>
      <c r="B2163" t="s">
        <v>261</v>
      </c>
      <c r="C2163" t="s">
        <v>34</v>
      </c>
      <c r="D2163">
        <v>0</v>
      </c>
      <c r="E2163">
        <v>0</v>
      </c>
      <c r="F2163">
        <v>0</v>
      </c>
    </row>
    <row r="2164" spans="1:6" x14ac:dyDescent="0.25">
      <c r="A2164" s="1">
        <v>44986</v>
      </c>
      <c r="B2164" t="s">
        <v>75</v>
      </c>
      <c r="C2164" t="s">
        <v>485</v>
      </c>
      <c r="D2164" s="2">
        <v>11113378.75</v>
      </c>
      <c r="E2164" s="2">
        <v>235130.08</v>
      </c>
      <c r="F2164" s="2">
        <v>81981.210000000006</v>
      </c>
    </row>
    <row r="2165" spans="1:6" x14ac:dyDescent="0.25">
      <c r="A2165" s="1">
        <v>44986</v>
      </c>
      <c r="B2165" t="s">
        <v>90</v>
      </c>
      <c r="C2165" t="s">
        <v>158</v>
      </c>
      <c r="D2165" s="2">
        <v>184824.58</v>
      </c>
      <c r="E2165" s="2">
        <v>1474.58</v>
      </c>
      <c r="F2165" s="2">
        <v>1474.58</v>
      </c>
    </row>
    <row r="2166" spans="1:6" x14ac:dyDescent="0.25">
      <c r="A2166" s="1">
        <v>44986</v>
      </c>
      <c r="B2166" t="s">
        <v>11</v>
      </c>
      <c r="C2166" t="s">
        <v>391</v>
      </c>
      <c r="D2166">
        <v>0</v>
      </c>
      <c r="E2166" s="2">
        <v>27405027.969999999</v>
      </c>
      <c r="F2166" s="2">
        <v>27405027.969999999</v>
      </c>
    </row>
    <row r="2167" spans="1:6" x14ac:dyDescent="0.25">
      <c r="A2167" s="1">
        <v>44986</v>
      </c>
      <c r="B2167" t="s">
        <v>105</v>
      </c>
      <c r="C2167" t="s">
        <v>1109</v>
      </c>
      <c r="D2167">
        <v>0</v>
      </c>
      <c r="E2167">
        <v>0</v>
      </c>
      <c r="F2167">
        <v>0</v>
      </c>
    </row>
    <row r="2168" spans="1:6" x14ac:dyDescent="0.25">
      <c r="A2168" s="1">
        <v>44986</v>
      </c>
      <c r="B2168" t="s">
        <v>154</v>
      </c>
      <c r="C2168" t="s">
        <v>467</v>
      </c>
      <c r="D2168" s="2">
        <v>369463.83</v>
      </c>
      <c r="E2168" s="2">
        <v>68131.039999999994</v>
      </c>
      <c r="F2168" s="2">
        <v>68131.039999999994</v>
      </c>
    </row>
    <row r="2169" spans="1:6" x14ac:dyDescent="0.25">
      <c r="A2169" s="1">
        <v>44986</v>
      </c>
      <c r="B2169" t="s">
        <v>21</v>
      </c>
      <c r="C2169" t="s">
        <v>559</v>
      </c>
      <c r="D2169" s="2">
        <v>25888428.079999998</v>
      </c>
      <c r="E2169" s="2">
        <v>184940.15</v>
      </c>
      <c r="F2169" s="2">
        <v>184940.15</v>
      </c>
    </row>
    <row r="2170" spans="1:6" x14ac:dyDescent="0.25">
      <c r="A2170" s="1">
        <v>44986</v>
      </c>
      <c r="B2170" t="s">
        <v>46</v>
      </c>
      <c r="C2170" t="s">
        <v>587</v>
      </c>
      <c r="D2170">
        <v>0</v>
      </c>
      <c r="E2170" s="2">
        <v>22397.42</v>
      </c>
      <c r="F2170" s="2">
        <v>22397.42</v>
      </c>
    </row>
    <row r="2171" spans="1:6" x14ac:dyDescent="0.25">
      <c r="A2171" s="1">
        <v>44986</v>
      </c>
      <c r="B2171" t="s">
        <v>29</v>
      </c>
      <c r="C2171" t="s">
        <v>631</v>
      </c>
      <c r="D2171" s="2">
        <v>90336.15</v>
      </c>
      <c r="E2171" s="2">
        <v>49691.48</v>
      </c>
      <c r="F2171" s="2">
        <v>49691.48</v>
      </c>
    </row>
    <row r="2172" spans="1:6" x14ac:dyDescent="0.25">
      <c r="A2172" s="1">
        <v>44986</v>
      </c>
      <c r="B2172" t="s">
        <v>40</v>
      </c>
      <c r="C2172" t="s">
        <v>1031</v>
      </c>
      <c r="D2172" s="2">
        <v>80000</v>
      </c>
      <c r="E2172">
        <v>0</v>
      </c>
      <c r="F2172">
        <v>0</v>
      </c>
    </row>
    <row r="2173" spans="1:6" x14ac:dyDescent="0.25">
      <c r="A2173" s="1">
        <v>44986</v>
      </c>
      <c r="B2173" t="s">
        <v>29</v>
      </c>
      <c r="C2173" t="s">
        <v>717</v>
      </c>
      <c r="D2173" s="2">
        <v>133514515.37</v>
      </c>
      <c r="E2173" s="2">
        <v>22226487.390000001</v>
      </c>
      <c r="F2173" s="2">
        <v>53150526.299999997</v>
      </c>
    </row>
    <row r="2174" spans="1:6" x14ac:dyDescent="0.25">
      <c r="A2174" s="1">
        <v>44986</v>
      </c>
      <c r="B2174" t="s">
        <v>48</v>
      </c>
      <c r="C2174" t="s">
        <v>1110</v>
      </c>
      <c r="D2174">
        <v>0</v>
      </c>
      <c r="E2174">
        <v>0</v>
      </c>
      <c r="F2174">
        <v>0</v>
      </c>
    </row>
    <row r="2175" spans="1:6" x14ac:dyDescent="0.25">
      <c r="A2175" s="1">
        <v>44986</v>
      </c>
      <c r="B2175" t="s">
        <v>23</v>
      </c>
      <c r="C2175" t="s">
        <v>343</v>
      </c>
      <c r="D2175" s="2">
        <v>200424427.65000001</v>
      </c>
      <c r="E2175" s="2">
        <v>7813.55</v>
      </c>
      <c r="F2175" s="2">
        <v>7813.55</v>
      </c>
    </row>
    <row r="2176" spans="1:6" x14ac:dyDescent="0.25">
      <c r="A2176" s="1">
        <v>44986</v>
      </c>
      <c r="B2176" t="s">
        <v>40</v>
      </c>
      <c r="C2176" t="s">
        <v>654</v>
      </c>
      <c r="D2176">
        <v>0</v>
      </c>
      <c r="E2176">
        <v>0</v>
      </c>
      <c r="F2176">
        <v>0</v>
      </c>
    </row>
    <row r="2177" spans="1:6" x14ac:dyDescent="0.25">
      <c r="A2177" s="1">
        <v>44986</v>
      </c>
      <c r="B2177" t="s">
        <v>251</v>
      </c>
      <c r="C2177" t="s">
        <v>1111</v>
      </c>
      <c r="D2177">
        <v>0</v>
      </c>
      <c r="E2177">
        <v>0</v>
      </c>
      <c r="F2177">
        <v>0</v>
      </c>
    </row>
    <row r="2178" spans="1:6" x14ac:dyDescent="0.25">
      <c r="A2178" s="1">
        <v>44986</v>
      </c>
      <c r="B2178" t="s">
        <v>13</v>
      </c>
      <c r="C2178" t="s">
        <v>14</v>
      </c>
      <c r="D2178">
        <v>0</v>
      </c>
      <c r="E2178" s="2">
        <v>16542422.529999999</v>
      </c>
      <c r="F2178" s="2">
        <v>26011361.809999999</v>
      </c>
    </row>
    <row r="2179" spans="1:6" x14ac:dyDescent="0.25">
      <c r="A2179" s="1">
        <v>44986</v>
      </c>
      <c r="B2179" t="s">
        <v>98</v>
      </c>
      <c r="C2179" t="s">
        <v>948</v>
      </c>
      <c r="D2179">
        <v>0</v>
      </c>
      <c r="E2179">
        <v>0</v>
      </c>
      <c r="F2179">
        <v>0</v>
      </c>
    </row>
    <row r="2180" spans="1:6" x14ac:dyDescent="0.25">
      <c r="A2180" s="1">
        <v>44986</v>
      </c>
      <c r="B2180" t="s">
        <v>37</v>
      </c>
      <c r="C2180" t="s">
        <v>88</v>
      </c>
      <c r="D2180">
        <v>0</v>
      </c>
      <c r="E2180">
        <v>0</v>
      </c>
      <c r="F2180">
        <v>0</v>
      </c>
    </row>
    <row r="2181" spans="1:6" x14ac:dyDescent="0.25">
      <c r="A2181" s="1">
        <v>44986</v>
      </c>
      <c r="B2181" t="s">
        <v>196</v>
      </c>
      <c r="C2181" t="s">
        <v>348</v>
      </c>
      <c r="D2181">
        <v>0</v>
      </c>
      <c r="E2181">
        <v>0</v>
      </c>
      <c r="F2181">
        <v>0</v>
      </c>
    </row>
    <row r="2182" spans="1:6" x14ac:dyDescent="0.25">
      <c r="A2182" s="1">
        <v>44986</v>
      </c>
      <c r="B2182" t="s">
        <v>98</v>
      </c>
      <c r="C2182" t="s">
        <v>899</v>
      </c>
      <c r="D2182">
        <v>0</v>
      </c>
      <c r="E2182">
        <v>0</v>
      </c>
      <c r="F2182">
        <v>0</v>
      </c>
    </row>
    <row r="2183" spans="1:6" x14ac:dyDescent="0.25">
      <c r="A2183" s="1">
        <v>44986</v>
      </c>
      <c r="B2183" t="s">
        <v>831</v>
      </c>
      <c r="C2183" t="s">
        <v>95</v>
      </c>
      <c r="D2183">
        <v>0</v>
      </c>
      <c r="E2183">
        <v>0</v>
      </c>
      <c r="F2183">
        <v>0</v>
      </c>
    </row>
    <row r="2184" spans="1:6" x14ac:dyDescent="0.25">
      <c r="A2184" s="1">
        <v>44986</v>
      </c>
      <c r="B2184" t="s">
        <v>545</v>
      </c>
      <c r="C2184" t="s">
        <v>1112</v>
      </c>
      <c r="D2184">
        <v>0</v>
      </c>
      <c r="E2184">
        <v>0</v>
      </c>
      <c r="F2184">
        <v>0</v>
      </c>
    </row>
    <row r="2185" spans="1:6" x14ac:dyDescent="0.25">
      <c r="A2185" s="1">
        <v>44986</v>
      </c>
      <c r="B2185" t="s">
        <v>23</v>
      </c>
      <c r="C2185" t="s">
        <v>294</v>
      </c>
      <c r="D2185">
        <v>0</v>
      </c>
      <c r="E2185">
        <v>0</v>
      </c>
      <c r="F2185">
        <v>0</v>
      </c>
    </row>
    <row r="2186" spans="1:6" x14ac:dyDescent="0.25">
      <c r="A2186" s="1">
        <v>44986</v>
      </c>
      <c r="B2186" t="s">
        <v>40</v>
      </c>
      <c r="C2186" t="s">
        <v>149</v>
      </c>
      <c r="D2186" s="2">
        <v>4559618.95</v>
      </c>
      <c r="E2186" s="2">
        <v>5292689.25</v>
      </c>
      <c r="F2186" s="2">
        <v>5292677.82</v>
      </c>
    </row>
    <row r="2187" spans="1:6" x14ac:dyDescent="0.25">
      <c r="A2187" s="1">
        <v>44986</v>
      </c>
      <c r="B2187" t="s">
        <v>23</v>
      </c>
      <c r="C2187" t="s">
        <v>482</v>
      </c>
      <c r="D2187" s="2">
        <v>217947.77</v>
      </c>
      <c r="E2187" s="2">
        <v>22890.53</v>
      </c>
      <c r="F2187" s="2">
        <v>20497.02</v>
      </c>
    </row>
    <row r="2188" spans="1:6" x14ac:dyDescent="0.25">
      <c r="A2188" s="1">
        <v>44986</v>
      </c>
      <c r="B2188" t="s">
        <v>37</v>
      </c>
      <c r="C2188" t="s">
        <v>319</v>
      </c>
      <c r="D2188">
        <v>0</v>
      </c>
      <c r="E2188">
        <v>0</v>
      </c>
      <c r="F2188">
        <v>0</v>
      </c>
    </row>
    <row r="2189" spans="1:6" x14ac:dyDescent="0.25">
      <c r="A2189" s="1">
        <v>44986</v>
      </c>
      <c r="B2189" t="s">
        <v>422</v>
      </c>
      <c r="C2189" t="s">
        <v>473</v>
      </c>
      <c r="D2189" s="2">
        <v>4139.12</v>
      </c>
      <c r="E2189" s="2">
        <v>4139.12</v>
      </c>
      <c r="F2189" s="2">
        <v>4139.12</v>
      </c>
    </row>
    <row r="2190" spans="1:6" x14ac:dyDescent="0.25">
      <c r="A2190" s="1">
        <v>44986</v>
      </c>
      <c r="B2190" t="s">
        <v>21</v>
      </c>
      <c r="C2190" t="s">
        <v>1113</v>
      </c>
      <c r="D2190" s="2">
        <v>440000</v>
      </c>
      <c r="E2190" s="2">
        <v>32873.879999999997</v>
      </c>
      <c r="F2190" s="2">
        <v>32873.879999999997</v>
      </c>
    </row>
    <row r="2191" spans="1:6" x14ac:dyDescent="0.25">
      <c r="A2191" s="1">
        <v>44986</v>
      </c>
      <c r="B2191" t="s">
        <v>31</v>
      </c>
      <c r="C2191" t="s">
        <v>833</v>
      </c>
      <c r="D2191" s="2">
        <v>81516.479999999996</v>
      </c>
      <c r="E2191" s="2">
        <v>66492.52</v>
      </c>
      <c r="F2191" s="2">
        <v>63603.87</v>
      </c>
    </row>
    <row r="2192" spans="1:6" x14ac:dyDescent="0.25">
      <c r="A2192" s="1">
        <v>44986</v>
      </c>
      <c r="B2192" t="s">
        <v>46</v>
      </c>
      <c r="C2192" t="s">
        <v>960</v>
      </c>
      <c r="D2192">
        <v>0</v>
      </c>
      <c r="E2192">
        <v>0</v>
      </c>
      <c r="F2192">
        <v>0</v>
      </c>
    </row>
    <row r="2193" spans="1:6" x14ac:dyDescent="0.25">
      <c r="A2193" s="1">
        <v>44986</v>
      </c>
      <c r="B2193" t="s">
        <v>21</v>
      </c>
      <c r="C2193" t="s">
        <v>58</v>
      </c>
      <c r="D2193" s="2">
        <v>3208993</v>
      </c>
      <c r="E2193">
        <v>0</v>
      </c>
      <c r="F2193">
        <v>0</v>
      </c>
    </row>
    <row r="2194" spans="1:6" x14ac:dyDescent="0.25">
      <c r="A2194" s="1">
        <v>44986</v>
      </c>
      <c r="B2194" t="s">
        <v>251</v>
      </c>
      <c r="C2194" t="s">
        <v>1016</v>
      </c>
      <c r="D2194">
        <v>0</v>
      </c>
      <c r="E2194">
        <v>0</v>
      </c>
      <c r="F2194">
        <v>0</v>
      </c>
    </row>
    <row r="2195" spans="1:6" x14ac:dyDescent="0.25">
      <c r="A2195" s="1">
        <v>44986</v>
      </c>
      <c r="B2195" t="s">
        <v>15</v>
      </c>
      <c r="C2195" t="s">
        <v>359</v>
      </c>
      <c r="D2195">
        <v>0</v>
      </c>
      <c r="E2195">
        <v>0</v>
      </c>
      <c r="F2195">
        <v>0</v>
      </c>
    </row>
    <row r="2196" spans="1:6" x14ac:dyDescent="0.25">
      <c r="A2196" s="1">
        <v>44986</v>
      </c>
      <c r="B2196" t="s">
        <v>98</v>
      </c>
      <c r="C2196" t="s">
        <v>478</v>
      </c>
      <c r="D2196">
        <v>0</v>
      </c>
      <c r="E2196">
        <v>0</v>
      </c>
      <c r="F2196">
        <v>0</v>
      </c>
    </row>
    <row r="2197" spans="1:6" x14ac:dyDescent="0.25">
      <c r="A2197" s="1">
        <v>44986</v>
      </c>
      <c r="B2197" t="s">
        <v>11</v>
      </c>
      <c r="C2197" t="s">
        <v>794</v>
      </c>
      <c r="D2197" s="2">
        <v>43193513.609999999</v>
      </c>
      <c r="E2197" s="2">
        <v>43131344.979999997</v>
      </c>
      <c r="F2197" s="2">
        <v>42694279.729999997</v>
      </c>
    </row>
    <row r="2198" spans="1:6" x14ac:dyDescent="0.25">
      <c r="A2198" s="1">
        <v>44986</v>
      </c>
      <c r="B2198" t="s">
        <v>19</v>
      </c>
      <c r="C2198" t="s">
        <v>39</v>
      </c>
      <c r="D2198" s="2">
        <v>237278</v>
      </c>
      <c r="E2198" s="2">
        <v>580185.04</v>
      </c>
      <c r="F2198" s="2">
        <v>570911.56000000006</v>
      </c>
    </row>
    <row r="2199" spans="1:6" x14ac:dyDescent="0.25">
      <c r="A2199" s="1">
        <v>44986</v>
      </c>
      <c r="B2199" t="s">
        <v>44</v>
      </c>
      <c r="C2199" t="s">
        <v>240</v>
      </c>
      <c r="D2199" s="2">
        <v>1029220</v>
      </c>
      <c r="E2199" s="2">
        <v>383969.87</v>
      </c>
      <c r="F2199" s="2">
        <v>927592.95</v>
      </c>
    </row>
    <row r="2200" spans="1:6" x14ac:dyDescent="0.25">
      <c r="A2200" s="1">
        <v>44986</v>
      </c>
      <c r="B2200" t="s">
        <v>48</v>
      </c>
      <c r="C2200" t="s">
        <v>1114</v>
      </c>
      <c r="D2200" s="2">
        <v>60000000</v>
      </c>
      <c r="E2200" s="2">
        <v>57948916.25</v>
      </c>
      <c r="F2200" s="2">
        <v>57948916.25</v>
      </c>
    </row>
    <row r="2201" spans="1:6" x14ac:dyDescent="0.25">
      <c r="A2201" s="1">
        <v>44986</v>
      </c>
      <c r="B2201" t="s">
        <v>50</v>
      </c>
      <c r="C2201" t="s">
        <v>735</v>
      </c>
      <c r="D2201" s="2">
        <v>116617.4</v>
      </c>
      <c r="E2201" s="2">
        <v>14629.26</v>
      </c>
      <c r="F2201" s="2">
        <v>3577.66</v>
      </c>
    </row>
    <row r="2202" spans="1:6" x14ac:dyDescent="0.25">
      <c r="A2202" s="1">
        <v>44986</v>
      </c>
      <c r="B2202" t="s">
        <v>44</v>
      </c>
      <c r="C2202" t="s">
        <v>1115</v>
      </c>
      <c r="D2202" s="2">
        <v>100000</v>
      </c>
      <c r="E2202" s="2">
        <v>2294.98</v>
      </c>
      <c r="F2202" s="2">
        <v>2294.98</v>
      </c>
    </row>
    <row r="2203" spans="1:6" x14ac:dyDescent="0.25">
      <c r="A2203" s="1">
        <v>44986</v>
      </c>
      <c r="B2203" t="s">
        <v>19</v>
      </c>
      <c r="C2203" t="s">
        <v>1002</v>
      </c>
      <c r="D2203">
        <v>0</v>
      </c>
      <c r="E2203" s="2">
        <v>7485.92</v>
      </c>
      <c r="F2203" s="2">
        <v>6846.7</v>
      </c>
    </row>
    <row r="2204" spans="1:6" x14ac:dyDescent="0.25">
      <c r="A2204" s="1">
        <v>44986</v>
      </c>
      <c r="B2204" t="s">
        <v>21</v>
      </c>
      <c r="C2204" t="s">
        <v>720</v>
      </c>
      <c r="D2204" s="2">
        <v>362627.53</v>
      </c>
      <c r="E2204">
        <v>0</v>
      </c>
      <c r="F2204">
        <v>0</v>
      </c>
    </row>
    <row r="2205" spans="1:6" x14ac:dyDescent="0.25">
      <c r="A2205" s="1">
        <v>44986</v>
      </c>
      <c r="B2205" t="s">
        <v>68</v>
      </c>
      <c r="C2205" t="s">
        <v>137</v>
      </c>
      <c r="D2205" s="2">
        <v>-53152636.939999998</v>
      </c>
      <c r="E2205" s="2">
        <v>6700066.3200000003</v>
      </c>
      <c r="F2205" s="2">
        <v>3708985.41</v>
      </c>
    </row>
    <row r="2206" spans="1:6" x14ac:dyDescent="0.25">
      <c r="A2206" s="1">
        <v>44986</v>
      </c>
      <c r="B2206" t="s">
        <v>7</v>
      </c>
      <c r="C2206" t="s">
        <v>8</v>
      </c>
      <c r="D2206" s="2">
        <v>2328147962.9899998</v>
      </c>
      <c r="E2206" s="2">
        <v>8458018485.79</v>
      </c>
      <c r="F2206" s="2">
        <v>8458018485.79</v>
      </c>
    </row>
    <row r="2207" spans="1:6" x14ac:dyDescent="0.25">
      <c r="A2207" s="1">
        <v>44986</v>
      </c>
      <c r="B2207" t="s">
        <v>196</v>
      </c>
      <c r="C2207" t="s">
        <v>999</v>
      </c>
      <c r="D2207">
        <v>0</v>
      </c>
      <c r="E2207">
        <v>0</v>
      </c>
      <c r="F2207">
        <v>0</v>
      </c>
    </row>
    <row r="2208" spans="1:6" x14ac:dyDescent="0.25">
      <c r="A2208" s="1">
        <v>44986</v>
      </c>
      <c r="B2208" t="s">
        <v>154</v>
      </c>
      <c r="C2208" t="s">
        <v>716</v>
      </c>
      <c r="D2208" s="2">
        <v>5645946.8799999999</v>
      </c>
      <c r="E2208" s="2">
        <v>373413.04</v>
      </c>
      <c r="F2208" s="2">
        <v>373413.04</v>
      </c>
    </row>
    <row r="2209" spans="1:6" x14ac:dyDescent="0.25">
      <c r="A2209" s="1">
        <v>44986</v>
      </c>
      <c r="B2209" t="s">
        <v>225</v>
      </c>
      <c r="C2209" t="s">
        <v>226</v>
      </c>
      <c r="D2209">
        <v>0</v>
      </c>
      <c r="E2209">
        <v>0</v>
      </c>
      <c r="F2209">
        <v>0</v>
      </c>
    </row>
    <row r="2210" spans="1:6" x14ac:dyDescent="0.25">
      <c r="A2210" s="1">
        <v>44986</v>
      </c>
      <c r="B2210" t="s">
        <v>21</v>
      </c>
      <c r="C2210" t="s">
        <v>973</v>
      </c>
      <c r="D2210" s="2">
        <v>4686456</v>
      </c>
      <c r="E2210">
        <v>0</v>
      </c>
      <c r="F2210">
        <v>0</v>
      </c>
    </row>
    <row r="2211" spans="1:6" x14ac:dyDescent="0.25">
      <c r="A2211" s="1">
        <v>44986</v>
      </c>
      <c r="B2211" t="s">
        <v>11</v>
      </c>
      <c r="C2211" t="s">
        <v>139</v>
      </c>
      <c r="D2211">
        <v>0</v>
      </c>
      <c r="E2211" s="2">
        <v>332230841.32999998</v>
      </c>
      <c r="F2211" s="2">
        <v>332230841.32999998</v>
      </c>
    </row>
    <row r="2212" spans="1:6" x14ac:dyDescent="0.25">
      <c r="A2212" s="1">
        <v>44986</v>
      </c>
      <c r="B2212" t="s">
        <v>23</v>
      </c>
      <c r="C2212" t="s">
        <v>1116</v>
      </c>
      <c r="D2212" s="2">
        <v>120896.03</v>
      </c>
      <c r="E2212">
        <v>0</v>
      </c>
      <c r="F2212">
        <v>0</v>
      </c>
    </row>
    <row r="2213" spans="1:6" x14ac:dyDescent="0.25">
      <c r="A2213" s="1">
        <v>44986</v>
      </c>
      <c r="B2213" t="s">
        <v>40</v>
      </c>
      <c r="C2213" t="s">
        <v>459</v>
      </c>
      <c r="D2213" s="2">
        <v>589503692.5</v>
      </c>
      <c r="E2213" s="2">
        <v>2374037305.3299999</v>
      </c>
      <c r="F2213" s="2">
        <v>2400447398.8400002</v>
      </c>
    </row>
    <row r="2214" spans="1:6" x14ac:dyDescent="0.25">
      <c r="A2214" s="1">
        <v>44986</v>
      </c>
      <c r="B2214" t="s">
        <v>263</v>
      </c>
      <c r="C2214" t="s">
        <v>264</v>
      </c>
      <c r="D2214" s="2">
        <v>194372.98</v>
      </c>
      <c r="E2214" s="2">
        <v>8089081.9500000002</v>
      </c>
      <c r="F2214" s="2">
        <v>8033165.4699999997</v>
      </c>
    </row>
    <row r="2215" spans="1:6" x14ac:dyDescent="0.25">
      <c r="A2215" s="1">
        <v>44986</v>
      </c>
      <c r="B2215" t="s">
        <v>306</v>
      </c>
      <c r="C2215" t="s">
        <v>841</v>
      </c>
      <c r="D2215" s="2">
        <v>-5986534.8399999999</v>
      </c>
      <c r="E2215" s="2">
        <v>1670749.91</v>
      </c>
      <c r="F2215" s="2">
        <v>1567283.93</v>
      </c>
    </row>
    <row r="2216" spans="1:6" x14ac:dyDescent="0.25">
      <c r="A2216" s="1">
        <v>44986</v>
      </c>
      <c r="B2216" t="s">
        <v>21</v>
      </c>
      <c r="C2216" t="s">
        <v>591</v>
      </c>
      <c r="D2216" s="2">
        <v>-36382203.579999998</v>
      </c>
      <c r="E2216" s="2">
        <v>175011.76</v>
      </c>
      <c r="F2216" s="2">
        <v>16538.62</v>
      </c>
    </row>
    <row r="2217" spans="1:6" x14ac:dyDescent="0.25">
      <c r="A2217" s="1">
        <v>44986</v>
      </c>
      <c r="B2217" t="s">
        <v>37</v>
      </c>
      <c r="C2217" t="s">
        <v>734</v>
      </c>
      <c r="D2217">
        <v>0</v>
      </c>
      <c r="E2217">
        <v>0</v>
      </c>
      <c r="F2217">
        <v>0</v>
      </c>
    </row>
    <row r="2218" spans="1:6" x14ac:dyDescent="0.25">
      <c r="A2218" s="1">
        <v>44986</v>
      </c>
      <c r="B2218" t="s">
        <v>19</v>
      </c>
      <c r="C2218" t="s">
        <v>397</v>
      </c>
      <c r="D2218" s="2">
        <v>-150000</v>
      </c>
      <c r="E2218" s="2">
        <v>596132.80000000005</v>
      </c>
      <c r="F2218" s="2">
        <v>592299.19999999995</v>
      </c>
    </row>
    <row r="2219" spans="1:6" x14ac:dyDescent="0.25">
      <c r="A2219" s="1">
        <v>44986</v>
      </c>
      <c r="B2219" t="s">
        <v>1117</v>
      </c>
      <c r="C2219" t="s">
        <v>95</v>
      </c>
      <c r="D2219">
        <v>0</v>
      </c>
      <c r="E2219">
        <v>0</v>
      </c>
      <c r="F2219">
        <v>0</v>
      </c>
    </row>
    <row r="2220" spans="1:6" x14ac:dyDescent="0.25">
      <c r="A2220" s="1">
        <v>44986</v>
      </c>
      <c r="B2220" t="s">
        <v>27</v>
      </c>
      <c r="C2220" t="s">
        <v>811</v>
      </c>
      <c r="D2220">
        <v>0</v>
      </c>
      <c r="E2220" s="2">
        <v>107871.06</v>
      </c>
      <c r="F2220" s="2">
        <v>97528.29</v>
      </c>
    </row>
    <row r="2221" spans="1:6" x14ac:dyDescent="0.25">
      <c r="A2221" s="1">
        <v>44986</v>
      </c>
      <c r="B2221" t="s">
        <v>50</v>
      </c>
      <c r="C2221" t="s">
        <v>1048</v>
      </c>
      <c r="D2221">
        <v>0</v>
      </c>
      <c r="E2221">
        <v>876.85</v>
      </c>
      <c r="F2221">
        <v>876.85</v>
      </c>
    </row>
    <row r="2222" spans="1:6" x14ac:dyDescent="0.25">
      <c r="A2222" s="1">
        <v>44986</v>
      </c>
      <c r="B2222" t="s">
        <v>37</v>
      </c>
      <c r="C2222" t="s">
        <v>1033</v>
      </c>
      <c r="D2222" s="2">
        <v>101013.34</v>
      </c>
      <c r="E2222" s="2">
        <v>100507.41</v>
      </c>
      <c r="F2222" s="2">
        <v>100507.41</v>
      </c>
    </row>
    <row r="2223" spans="1:6" x14ac:dyDescent="0.25">
      <c r="A2223" s="1">
        <v>44986</v>
      </c>
      <c r="B2223" t="s">
        <v>278</v>
      </c>
      <c r="C2223" t="s">
        <v>340</v>
      </c>
      <c r="D2223" s="2">
        <v>183118.36</v>
      </c>
      <c r="E2223" s="2">
        <v>206139.56</v>
      </c>
      <c r="F2223" s="2">
        <v>189146.13</v>
      </c>
    </row>
    <row r="2224" spans="1:6" x14ac:dyDescent="0.25">
      <c r="A2224" s="1">
        <v>44986</v>
      </c>
      <c r="B2224" t="s">
        <v>101</v>
      </c>
      <c r="C2224" t="s">
        <v>984</v>
      </c>
      <c r="D2224" s="2">
        <v>315400</v>
      </c>
      <c r="E2224" s="2">
        <v>272792</v>
      </c>
      <c r="F2224" s="2">
        <v>272792</v>
      </c>
    </row>
    <row r="2225" spans="1:6" x14ac:dyDescent="0.25">
      <c r="A2225" s="1">
        <v>44986</v>
      </c>
      <c r="B2225" t="s">
        <v>98</v>
      </c>
      <c r="C2225" t="s">
        <v>1043</v>
      </c>
      <c r="D2225">
        <v>0</v>
      </c>
      <c r="E2225">
        <v>0</v>
      </c>
      <c r="F2225">
        <v>0</v>
      </c>
    </row>
    <row r="2226" spans="1:6" x14ac:dyDescent="0.25">
      <c r="A2226" s="1">
        <v>44986</v>
      </c>
      <c r="B2226" t="s">
        <v>90</v>
      </c>
      <c r="C2226" t="s">
        <v>1118</v>
      </c>
      <c r="D2226" s="2">
        <v>150000</v>
      </c>
      <c r="E2226">
        <v>0</v>
      </c>
      <c r="F2226">
        <v>0</v>
      </c>
    </row>
    <row r="2227" spans="1:6" x14ac:dyDescent="0.25">
      <c r="A2227" s="1">
        <v>44986</v>
      </c>
      <c r="B2227" t="s">
        <v>21</v>
      </c>
      <c r="C2227" t="s">
        <v>1119</v>
      </c>
      <c r="D2227" s="2">
        <v>2000000</v>
      </c>
      <c r="E2227">
        <v>0</v>
      </c>
      <c r="F2227">
        <v>0</v>
      </c>
    </row>
    <row r="2228" spans="1:6" x14ac:dyDescent="0.25">
      <c r="A2228" s="1">
        <v>44986</v>
      </c>
      <c r="B2228" t="s">
        <v>37</v>
      </c>
      <c r="C2228" t="s">
        <v>577</v>
      </c>
      <c r="D2228" s="2">
        <v>46897.23</v>
      </c>
      <c r="E2228" s="2">
        <v>43857.18</v>
      </c>
      <c r="F2228" s="2">
        <v>43857.18</v>
      </c>
    </row>
    <row r="2229" spans="1:6" x14ac:dyDescent="0.25">
      <c r="A2229" s="1">
        <v>44986</v>
      </c>
      <c r="B2229" t="s">
        <v>105</v>
      </c>
      <c r="C2229" t="s">
        <v>645</v>
      </c>
      <c r="D2229" s="2">
        <v>-2097959.09</v>
      </c>
      <c r="E2229">
        <v>0</v>
      </c>
      <c r="F2229">
        <v>0</v>
      </c>
    </row>
    <row r="2230" spans="1:6" x14ac:dyDescent="0.25">
      <c r="A2230" s="1">
        <v>44986</v>
      </c>
      <c r="B2230" t="s">
        <v>278</v>
      </c>
      <c r="C2230" t="s">
        <v>395</v>
      </c>
      <c r="D2230" s="2">
        <v>3263209.76</v>
      </c>
      <c r="E2230">
        <v>0</v>
      </c>
      <c r="F2230">
        <v>0</v>
      </c>
    </row>
    <row r="2231" spans="1:6" x14ac:dyDescent="0.25">
      <c r="A2231" s="1">
        <v>44986</v>
      </c>
      <c r="B2231" t="s">
        <v>15</v>
      </c>
      <c r="C2231" t="s">
        <v>732</v>
      </c>
      <c r="D2231" s="2">
        <v>1294880</v>
      </c>
      <c r="E2231" s="2">
        <v>1294880</v>
      </c>
      <c r="F2231">
        <v>0</v>
      </c>
    </row>
    <row r="2232" spans="1:6" x14ac:dyDescent="0.25">
      <c r="A2232" s="1">
        <v>44986</v>
      </c>
      <c r="B2232" t="s">
        <v>70</v>
      </c>
      <c r="C2232" t="s">
        <v>71</v>
      </c>
      <c r="D2232" s="2">
        <v>9151774.6500000004</v>
      </c>
      <c r="E2232" s="2">
        <v>9814736.4299999997</v>
      </c>
      <c r="F2232" s="2">
        <v>9261941.0299999993</v>
      </c>
    </row>
    <row r="2233" spans="1:6" x14ac:dyDescent="0.25">
      <c r="A2233" s="1">
        <v>44986</v>
      </c>
      <c r="B2233" t="s">
        <v>162</v>
      </c>
      <c r="C2233" t="s">
        <v>163</v>
      </c>
      <c r="D2233">
        <v>0</v>
      </c>
      <c r="E2233">
        <v>0</v>
      </c>
      <c r="F2233">
        <v>0</v>
      </c>
    </row>
    <row r="2234" spans="1:6" x14ac:dyDescent="0.25">
      <c r="A2234" s="1">
        <v>44986</v>
      </c>
      <c r="B2234" t="s">
        <v>933</v>
      </c>
      <c r="C2234" t="s">
        <v>934</v>
      </c>
      <c r="D2234" s="2">
        <v>150000</v>
      </c>
      <c r="E2234">
        <v>0</v>
      </c>
      <c r="F2234">
        <v>0</v>
      </c>
    </row>
    <row r="2235" spans="1:6" x14ac:dyDescent="0.25">
      <c r="A2235" s="1">
        <v>44986</v>
      </c>
      <c r="B2235" t="s">
        <v>21</v>
      </c>
      <c r="C2235" t="s">
        <v>330</v>
      </c>
      <c r="D2235">
        <v>0</v>
      </c>
      <c r="E2235">
        <v>0</v>
      </c>
      <c r="F2235">
        <v>0</v>
      </c>
    </row>
    <row r="2236" spans="1:6" x14ac:dyDescent="0.25">
      <c r="A2236" s="1">
        <v>44986</v>
      </c>
      <c r="B2236" t="s">
        <v>37</v>
      </c>
      <c r="C2236" t="s">
        <v>1120</v>
      </c>
      <c r="D2236">
        <v>0</v>
      </c>
      <c r="E2236">
        <v>0</v>
      </c>
      <c r="F2236">
        <v>0</v>
      </c>
    </row>
    <row r="2237" spans="1:6" x14ac:dyDescent="0.25">
      <c r="A2237" s="1">
        <v>44986</v>
      </c>
      <c r="B2237" t="s">
        <v>48</v>
      </c>
      <c r="C2237" t="s">
        <v>1121</v>
      </c>
      <c r="D2237" s="2">
        <v>2807000</v>
      </c>
      <c r="E2237" s="2">
        <v>2490368.2599999998</v>
      </c>
      <c r="F2237" s="2">
        <v>2490368.2599999998</v>
      </c>
    </row>
    <row r="2238" spans="1:6" x14ac:dyDescent="0.25">
      <c r="A2238" s="1">
        <v>44986</v>
      </c>
      <c r="B2238" t="s">
        <v>1058</v>
      </c>
      <c r="C2238" t="s">
        <v>1122</v>
      </c>
      <c r="D2238">
        <v>0</v>
      </c>
      <c r="E2238">
        <v>0</v>
      </c>
      <c r="F2238">
        <v>0</v>
      </c>
    </row>
    <row r="2239" spans="1:6" x14ac:dyDescent="0.25">
      <c r="A2239" s="1">
        <v>44986</v>
      </c>
      <c r="B2239" t="s">
        <v>441</v>
      </c>
      <c r="C2239" t="s">
        <v>576</v>
      </c>
      <c r="D2239">
        <v>0</v>
      </c>
      <c r="E2239">
        <v>0</v>
      </c>
      <c r="F2239">
        <v>0</v>
      </c>
    </row>
    <row r="2240" spans="1:6" x14ac:dyDescent="0.25">
      <c r="A2240" s="1">
        <v>44986</v>
      </c>
      <c r="B2240" t="s">
        <v>40</v>
      </c>
      <c r="C2240" t="s">
        <v>1123</v>
      </c>
      <c r="D2240" s="2">
        <v>176565.86</v>
      </c>
      <c r="E2240">
        <v>0</v>
      </c>
      <c r="F2240">
        <v>0</v>
      </c>
    </row>
    <row r="2241" spans="1:6" x14ac:dyDescent="0.25">
      <c r="A2241" s="1">
        <v>44986</v>
      </c>
      <c r="B2241" t="s">
        <v>21</v>
      </c>
      <c r="C2241" t="s">
        <v>1017</v>
      </c>
      <c r="D2241">
        <v>0</v>
      </c>
      <c r="E2241">
        <v>0</v>
      </c>
      <c r="F2241">
        <v>0</v>
      </c>
    </row>
    <row r="2242" spans="1:6" x14ac:dyDescent="0.25">
      <c r="A2242" s="1">
        <v>44986</v>
      </c>
      <c r="B2242" t="s">
        <v>50</v>
      </c>
      <c r="C2242" t="s">
        <v>1010</v>
      </c>
      <c r="D2242">
        <v>254.59</v>
      </c>
      <c r="E2242">
        <v>254.59</v>
      </c>
      <c r="F2242">
        <v>254.59</v>
      </c>
    </row>
    <row r="2243" spans="1:6" x14ac:dyDescent="0.25">
      <c r="A2243" s="1">
        <v>44986</v>
      </c>
      <c r="B2243" t="s">
        <v>50</v>
      </c>
      <c r="C2243" t="s">
        <v>222</v>
      </c>
      <c r="D2243" s="2">
        <v>22738399.850000001</v>
      </c>
      <c r="E2243" s="2">
        <v>4255843.3499999996</v>
      </c>
      <c r="F2243" s="2">
        <v>722922</v>
      </c>
    </row>
    <row r="2244" spans="1:6" x14ac:dyDescent="0.25">
      <c r="A2244" s="1">
        <v>44986</v>
      </c>
      <c r="B2244" t="s">
        <v>37</v>
      </c>
      <c r="C2244" t="s">
        <v>685</v>
      </c>
      <c r="D2244" s="2">
        <v>203862.2</v>
      </c>
      <c r="E2244">
        <v>0</v>
      </c>
      <c r="F2244">
        <v>0</v>
      </c>
    </row>
    <row r="2245" spans="1:6" x14ac:dyDescent="0.25">
      <c r="A2245" s="1">
        <v>44986</v>
      </c>
      <c r="B2245" t="s">
        <v>103</v>
      </c>
      <c r="C2245" t="s">
        <v>259</v>
      </c>
      <c r="D2245">
        <v>0</v>
      </c>
      <c r="E2245">
        <v>0</v>
      </c>
      <c r="F2245">
        <v>0</v>
      </c>
    </row>
    <row r="2246" spans="1:6" x14ac:dyDescent="0.25">
      <c r="A2246" s="1">
        <v>44986</v>
      </c>
      <c r="B2246" t="s">
        <v>90</v>
      </c>
      <c r="C2246" t="s">
        <v>895</v>
      </c>
      <c r="D2246" s="2">
        <v>959892.49</v>
      </c>
      <c r="E2246" s="2">
        <v>706698.45</v>
      </c>
      <c r="F2246" s="2">
        <v>707450.59</v>
      </c>
    </row>
    <row r="2247" spans="1:6" x14ac:dyDescent="0.25">
      <c r="A2247" s="1">
        <v>44986</v>
      </c>
      <c r="B2247" t="s">
        <v>40</v>
      </c>
      <c r="C2247" t="s">
        <v>604</v>
      </c>
      <c r="D2247" s="2">
        <v>73774476.640000001</v>
      </c>
      <c r="E2247" s="2">
        <v>74621087.260000005</v>
      </c>
      <c r="F2247" s="2">
        <v>70717991.590000004</v>
      </c>
    </row>
    <row r="2248" spans="1:6" x14ac:dyDescent="0.25">
      <c r="A2248" s="1">
        <v>44986</v>
      </c>
      <c r="B2248" t="s">
        <v>118</v>
      </c>
      <c r="C2248" t="s">
        <v>511</v>
      </c>
      <c r="D2248" s="2">
        <v>76855.13</v>
      </c>
      <c r="E2248" s="2">
        <v>42027.58</v>
      </c>
      <c r="F2248" s="2">
        <v>30004.05</v>
      </c>
    </row>
    <row r="2249" spans="1:6" x14ac:dyDescent="0.25">
      <c r="A2249" s="1">
        <v>44986</v>
      </c>
      <c r="B2249" t="s">
        <v>288</v>
      </c>
      <c r="C2249" t="s">
        <v>390</v>
      </c>
      <c r="D2249" s="2">
        <v>136173.18</v>
      </c>
      <c r="E2249" s="2">
        <v>109225.63</v>
      </c>
      <c r="F2249" s="2">
        <v>1400</v>
      </c>
    </row>
    <row r="2250" spans="1:6" x14ac:dyDescent="0.25">
      <c r="A2250" s="1">
        <v>44986</v>
      </c>
      <c r="B2250" t="s">
        <v>63</v>
      </c>
      <c r="C2250" t="s">
        <v>483</v>
      </c>
      <c r="D2250" s="2">
        <v>17781502</v>
      </c>
      <c r="E2250" s="2">
        <v>437852.31</v>
      </c>
      <c r="F2250">
        <v>0</v>
      </c>
    </row>
    <row r="2251" spans="1:6" x14ac:dyDescent="0.25">
      <c r="A2251" s="1">
        <v>44986</v>
      </c>
      <c r="B2251" t="s">
        <v>309</v>
      </c>
      <c r="C2251" t="s">
        <v>1124</v>
      </c>
      <c r="D2251">
        <v>0</v>
      </c>
      <c r="E2251">
        <v>0</v>
      </c>
      <c r="F2251">
        <v>0</v>
      </c>
    </row>
    <row r="2252" spans="1:6" x14ac:dyDescent="0.25">
      <c r="A2252" s="1">
        <v>44986</v>
      </c>
      <c r="B2252" t="s">
        <v>21</v>
      </c>
      <c r="C2252" t="s">
        <v>790</v>
      </c>
      <c r="D2252" s="2">
        <v>629874.06000000006</v>
      </c>
      <c r="E2252" s="2">
        <v>8072958.1600000001</v>
      </c>
      <c r="F2252" s="2">
        <v>5129413.4800000004</v>
      </c>
    </row>
    <row r="2253" spans="1:6" x14ac:dyDescent="0.25">
      <c r="A2253" s="1">
        <v>44986</v>
      </c>
      <c r="B2253" t="s">
        <v>27</v>
      </c>
      <c r="C2253" t="s">
        <v>783</v>
      </c>
      <c r="D2253">
        <v>0</v>
      </c>
      <c r="E2253">
        <v>0</v>
      </c>
      <c r="F2253">
        <v>0</v>
      </c>
    </row>
    <row r="2254" spans="1:6" x14ac:dyDescent="0.25">
      <c r="A2254" s="1">
        <v>44986</v>
      </c>
      <c r="B2254" t="s">
        <v>306</v>
      </c>
      <c r="C2254" t="s">
        <v>414</v>
      </c>
      <c r="D2254" s="2">
        <v>84733.1</v>
      </c>
      <c r="E2254" s="2">
        <v>19563.25</v>
      </c>
      <c r="F2254" s="2">
        <v>19563.25</v>
      </c>
    </row>
    <row r="2255" spans="1:6" x14ac:dyDescent="0.25">
      <c r="A2255" s="1">
        <v>44986</v>
      </c>
      <c r="B2255" t="s">
        <v>31</v>
      </c>
      <c r="C2255" t="s">
        <v>1038</v>
      </c>
      <c r="D2255" s="2">
        <v>51545.66</v>
      </c>
      <c r="E2255" s="2">
        <v>45497.37</v>
      </c>
      <c r="F2255" s="2">
        <v>2193.8000000000002</v>
      </c>
    </row>
    <row r="2256" spans="1:6" x14ac:dyDescent="0.25">
      <c r="A2256" s="1">
        <v>44986</v>
      </c>
      <c r="B2256" t="s">
        <v>114</v>
      </c>
      <c r="C2256" t="s">
        <v>136</v>
      </c>
      <c r="D2256" s="2">
        <v>999999</v>
      </c>
      <c r="E2256">
        <v>0</v>
      </c>
      <c r="F2256">
        <v>0</v>
      </c>
    </row>
    <row r="2257" spans="1:6" x14ac:dyDescent="0.25">
      <c r="A2257" s="1">
        <v>44986</v>
      </c>
      <c r="B2257" t="s">
        <v>549</v>
      </c>
      <c r="C2257" t="s">
        <v>95</v>
      </c>
      <c r="D2257">
        <v>0</v>
      </c>
      <c r="E2257">
        <v>0</v>
      </c>
      <c r="F2257">
        <v>0</v>
      </c>
    </row>
    <row r="2258" spans="1:6" x14ac:dyDescent="0.25">
      <c r="A2258" s="1">
        <v>44986</v>
      </c>
      <c r="B2258" t="s">
        <v>46</v>
      </c>
      <c r="C2258" t="s">
        <v>674</v>
      </c>
      <c r="D2258" s="2">
        <v>22441273.829999998</v>
      </c>
      <c r="E2258" s="2">
        <v>5463489.21</v>
      </c>
      <c r="F2258" s="2">
        <v>1933675.68</v>
      </c>
    </row>
    <row r="2259" spans="1:6" x14ac:dyDescent="0.25">
      <c r="A2259" s="1">
        <v>44986</v>
      </c>
      <c r="B2259" t="s">
        <v>50</v>
      </c>
      <c r="C2259" t="s">
        <v>767</v>
      </c>
      <c r="D2259" s="2">
        <v>332850.75</v>
      </c>
      <c r="E2259" s="2">
        <v>165843.9</v>
      </c>
      <c r="F2259" s="2">
        <v>4698.8999999999996</v>
      </c>
    </row>
    <row r="2260" spans="1:6" x14ac:dyDescent="0.25">
      <c r="A2260" s="1">
        <v>44986</v>
      </c>
      <c r="B2260" t="s">
        <v>318</v>
      </c>
      <c r="C2260" t="s">
        <v>319</v>
      </c>
      <c r="D2260">
        <v>0</v>
      </c>
      <c r="E2260">
        <v>0</v>
      </c>
      <c r="F2260">
        <v>0</v>
      </c>
    </row>
    <row r="2261" spans="1:6" x14ac:dyDescent="0.25">
      <c r="A2261" s="1">
        <v>44986</v>
      </c>
      <c r="B2261" t="s">
        <v>27</v>
      </c>
      <c r="C2261" t="s">
        <v>713</v>
      </c>
      <c r="D2261">
        <v>0</v>
      </c>
      <c r="E2261">
        <v>0</v>
      </c>
      <c r="F2261">
        <v>0</v>
      </c>
    </row>
    <row r="2262" spans="1:6" x14ac:dyDescent="0.25">
      <c r="A2262" s="1">
        <v>44986</v>
      </c>
      <c r="B2262" t="s">
        <v>23</v>
      </c>
      <c r="C2262" t="s">
        <v>371</v>
      </c>
      <c r="D2262" s="2">
        <v>16942.599999999999</v>
      </c>
      <c r="E2262" s="2">
        <v>21771.26</v>
      </c>
      <c r="F2262" s="2">
        <v>22602.51</v>
      </c>
    </row>
    <row r="2263" spans="1:6" x14ac:dyDescent="0.25">
      <c r="A2263" s="1">
        <v>44986</v>
      </c>
      <c r="B2263" t="s">
        <v>23</v>
      </c>
      <c r="C2263" t="s">
        <v>677</v>
      </c>
      <c r="D2263">
        <v>0</v>
      </c>
      <c r="E2263" s="2">
        <v>4318.8999999999996</v>
      </c>
      <c r="F2263" s="2">
        <v>4318.8999999999996</v>
      </c>
    </row>
    <row r="2264" spans="1:6" x14ac:dyDescent="0.25">
      <c r="A2264" s="1">
        <v>44986</v>
      </c>
      <c r="B2264" t="s">
        <v>118</v>
      </c>
      <c r="C2264" t="s">
        <v>277</v>
      </c>
      <c r="D2264">
        <v>0</v>
      </c>
      <c r="E2264">
        <v>0</v>
      </c>
      <c r="F2264">
        <v>0</v>
      </c>
    </row>
    <row r="2265" spans="1:6" x14ac:dyDescent="0.25">
      <c r="A2265" s="1">
        <v>44986</v>
      </c>
      <c r="B2265" t="s">
        <v>44</v>
      </c>
      <c r="C2265" t="s">
        <v>872</v>
      </c>
      <c r="D2265" s="2">
        <v>122453.31</v>
      </c>
      <c r="E2265" s="2">
        <v>100117.07</v>
      </c>
      <c r="F2265" s="2">
        <v>59595.39</v>
      </c>
    </row>
    <row r="2266" spans="1:6" x14ac:dyDescent="0.25">
      <c r="A2266" s="1">
        <v>44986</v>
      </c>
      <c r="B2266" t="s">
        <v>23</v>
      </c>
      <c r="C2266" t="s">
        <v>198</v>
      </c>
      <c r="D2266" s="2">
        <v>1128271.21</v>
      </c>
      <c r="E2266" s="2">
        <v>38016.42</v>
      </c>
      <c r="F2266" s="2">
        <v>33832.68</v>
      </c>
    </row>
    <row r="2267" spans="1:6" x14ac:dyDescent="0.25">
      <c r="A2267" s="1">
        <v>44986</v>
      </c>
      <c r="B2267" t="s">
        <v>29</v>
      </c>
      <c r="C2267" t="s">
        <v>292</v>
      </c>
      <c r="D2267" s="2">
        <v>39832029.030000001</v>
      </c>
      <c r="E2267" s="2">
        <v>5818177.0300000003</v>
      </c>
      <c r="F2267" s="2">
        <v>3204527.03</v>
      </c>
    </row>
    <row r="2268" spans="1:6" x14ac:dyDescent="0.25">
      <c r="A2268" s="1">
        <v>44986</v>
      </c>
      <c r="B2268" t="s">
        <v>181</v>
      </c>
      <c r="C2268" t="s">
        <v>1125</v>
      </c>
      <c r="D2268">
        <v>0</v>
      </c>
      <c r="E2268">
        <v>0</v>
      </c>
      <c r="F2268">
        <v>0</v>
      </c>
    </row>
    <row r="2269" spans="1:6" x14ac:dyDescent="0.25">
      <c r="A2269" s="1">
        <v>44986</v>
      </c>
      <c r="B2269" t="s">
        <v>154</v>
      </c>
      <c r="C2269" t="s">
        <v>155</v>
      </c>
      <c r="D2269" s="2">
        <v>-83920.6</v>
      </c>
      <c r="E2269" s="2">
        <v>39716.65</v>
      </c>
      <c r="F2269" s="2">
        <v>39716.65</v>
      </c>
    </row>
    <row r="2270" spans="1:6" x14ac:dyDescent="0.25">
      <c r="A2270" s="1">
        <v>44986</v>
      </c>
      <c r="B2270" t="s">
        <v>27</v>
      </c>
      <c r="C2270" t="s">
        <v>748</v>
      </c>
      <c r="D2270" s="2">
        <v>21504</v>
      </c>
      <c r="E2270" s="2">
        <v>3584</v>
      </c>
      <c r="F2270" s="2">
        <v>3584</v>
      </c>
    </row>
    <row r="2271" spans="1:6" x14ac:dyDescent="0.25">
      <c r="A2271" s="1">
        <v>44986</v>
      </c>
      <c r="B2271" t="s">
        <v>98</v>
      </c>
      <c r="C2271" t="s">
        <v>313</v>
      </c>
      <c r="D2271">
        <v>0</v>
      </c>
      <c r="E2271">
        <v>0</v>
      </c>
      <c r="F2271">
        <v>0</v>
      </c>
    </row>
    <row r="2272" spans="1:6" x14ac:dyDescent="0.25">
      <c r="A2272" s="1">
        <v>44986</v>
      </c>
      <c r="B2272" t="s">
        <v>27</v>
      </c>
      <c r="C2272" t="s">
        <v>535</v>
      </c>
      <c r="D2272" s="2">
        <v>2922175.52</v>
      </c>
      <c r="E2272" s="2">
        <v>5421468.7999999998</v>
      </c>
      <c r="F2272" s="2">
        <v>4114592.07</v>
      </c>
    </row>
    <row r="2273" spans="1:6" x14ac:dyDescent="0.25">
      <c r="A2273" s="1">
        <v>44986</v>
      </c>
      <c r="B2273" t="s">
        <v>398</v>
      </c>
      <c r="C2273" t="s">
        <v>564</v>
      </c>
      <c r="D2273">
        <v>0</v>
      </c>
      <c r="E2273">
        <v>0</v>
      </c>
      <c r="F2273">
        <v>0</v>
      </c>
    </row>
    <row r="2274" spans="1:6" x14ac:dyDescent="0.25">
      <c r="A2274" s="1">
        <v>44986</v>
      </c>
      <c r="B2274" t="s">
        <v>40</v>
      </c>
      <c r="C2274" t="s">
        <v>440</v>
      </c>
      <c r="D2274" s="2">
        <v>344489.11</v>
      </c>
      <c r="E2274" s="2">
        <v>257059.5</v>
      </c>
      <c r="F2274" s="2">
        <v>124957.67</v>
      </c>
    </row>
    <row r="2275" spans="1:6" x14ac:dyDescent="0.25">
      <c r="A2275" s="1">
        <v>44986</v>
      </c>
      <c r="B2275" t="s">
        <v>37</v>
      </c>
      <c r="C2275" t="s">
        <v>583</v>
      </c>
      <c r="D2275" s="2">
        <v>-1888.94</v>
      </c>
      <c r="E2275" s="2">
        <v>-5435.7</v>
      </c>
      <c r="F2275" s="2">
        <v>-5435.7</v>
      </c>
    </row>
    <row r="2276" spans="1:6" x14ac:dyDescent="0.25">
      <c r="A2276" s="1">
        <v>44986</v>
      </c>
      <c r="B2276" t="s">
        <v>114</v>
      </c>
      <c r="C2276" t="s">
        <v>758</v>
      </c>
      <c r="D2276" s="2">
        <v>1305791.44</v>
      </c>
      <c r="E2276" s="2">
        <v>1110941.44</v>
      </c>
      <c r="F2276" s="2">
        <v>1110941.44</v>
      </c>
    </row>
    <row r="2277" spans="1:6" x14ac:dyDescent="0.25">
      <c r="A2277" s="1">
        <v>44986</v>
      </c>
      <c r="B2277" t="s">
        <v>460</v>
      </c>
      <c r="C2277" t="s">
        <v>461</v>
      </c>
      <c r="D2277" s="2">
        <v>152962.64000000001</v>
      </c>
      <c r="E2277" s="2">
        <v>106416.8</v>
      </c>
      <c r="F2277" s="2">
        <v>106416.8</v>
      </c>
    </row>
    <row r="2278" spans="1:6" x14ac:dyDescent="0.25">
      <c r="A2278" s="1">
        <v>44986</v>
      </c>
      <c r="B2278" t="s">
        <v>181</v>
      </c>
      <c r="C2278" t="s">
        <v>881</v>
      </c>
      <c r="D2278">
        <v>0</v>
      </c>
      <c r="E2278">
        <v>0</v>
      </c>
      <c r="F2278">
        <v>0</v>
      </c>
    </row>
    <row r="2279" spans="1:6" x14ac:dyDescent="0.25">
      <c r="A2279" s="1">
        <v>44986</v>
      </c>
      <c r="B2279" t="s">
        <v>476</v>
      </c>
      <c r="C2279" t="s">
        <v>950</v>
      </c>
      <c r="D2279">
        <v>0</v>
      </c>
      <c r="E2279">
        <v>0</v>
      </c>
      <c r="F2279">
        <v>0</v>
      </c>
    </row>
    <row r="2280" spans="1:6" x14ac:dyDescent="0.25">
      <c r="A2280" s="1">
        <v>44986</v>
      </c>
      <c r="B2280" t="s">
        <v>118</v>
      </c>
      <c r="C2280" t="s">
        <v>419</v>
      </c>
      <c r="D2280" s="2">
        <v>38000</v>
      </c>
      <c r="E2280" s="2">
        <v>15900.59</v>
      </c>
      <c r="F2280" s="2">
        <v>15322.19</v>
      </c>
    </row>
    <row r="2281" spans="1:6" x14ac:dyDescent="0.25">
      <c r="A2281" s="1">
        <v>44986</v>
      </c>
      <c r="B2281" t="s">
        <v>23</v>
      </c>
      <c r="C2281" t="s">
        <v>24</v>
      </c>
      <c r="D2281">
        <v>0</v>
      </c>
      <c r="E2281">
        <v>0</v>
      </c>
      <c r="F2281">
        <v>0</v>
      </c>
    </row>
    <row r="2282" spans="1:6" x14ac:dyDescent="0.25">
      <c r="A2282" s="1">
        <v>44986</v>
      </c>
      <c r="B2282" t="s">
        <v>48</v>
      </c>
      <c r="C2282" t="s">
        <v>1126</v>
      </c>
      <c r="D2282" s="2">
        <v>6000000</v>
      </c>
      <c r="E2282" s="2">
        <v>5658546.7999999998</v>
      </c>
      <c r="F2282" s="2">
        <v>5658546.7999999998</v>
      </c>
    </row>
    <row r="2283" spans="1:6" x14ac:dyDescent="0.25">
      <c r="A2283" s="1">
        <v>44986</v>
      </c>
      <c r="B2283" t="s">
        <v>21</v>
      </c>
      <c r="C2283" t="s">
        <v>242</v>
      </c>
      <c r="D2283" s="2">
        <v>12700053</v>
      </c>
      <c r="E2283">
        <v>0</v>
      </c>
      <c r="F2283">
        <v>0</v>
      </c>
    </row>
    <row r="2284" spans="1:6" x14ac:dyDescent="0.25">
      <c r="A2284" s="1">
        <v>44986</v>
      </c>
      <c r="B2284" t="s">
        <v>225</v>
      </c>
      <c r="C2284" t="s">
        <v>314</v>
      </c>
      <c r="D2284">
        <v>0</v>
      </c>
      <c r="E2284">
        <v>0</v>
      </c>
      <c r="F2284">
        <v>0</v>
      </c>
    </row>
    <row r="2285" spans="1:6" x14ac:dyDescent="0.25">
      <c r="A2285" s="1">
        <v>44986</v>
      </c>
      <c r="B2285" t="s">
        <v>288</v>
      </c>
      <c r="C2285" t="s">
        <v>521</v>
      </c>
      <c r="D2285" s="2">
        <v>100000</v>
      </c>
      <c r="E2285" s="2">
        <v>100000</v>
      </c>
      <c r="F2285">
        <v>0</v>
      </c>
    </row>
    <row r="2286" spans="1:6" x14ac:dyDescent="0.25">
      <c r="A2286" s="1">
        <v>44986</v>
      </c>
      <c r="B2286" t="s">
        <v>518</v>
      </c>
      <c r="C2286" t="s">
        <v>519</v>
      </c>
      <c r="D2286" s="2">
        <v>193099.27</v>
      </c>
      <c r="E2286" s="2">
        <v>13784.65</v>
      </c>
      <c r="F2286" s="2">
        <v>27916.15</v>
      </c>
    </row>
    <row r="2287" spans="1:6" x14ac:dyDescent="0.25">
      <c r="A2287" s="1">
        <v>44986</v>
      </c>
      <c r="B2287" t="s">
        <v>40</v>
      </c>
      <c r="C2287" t="s">
        <v>148</v>
      </c>
      <c r="D2287" s="2">
        <v>9299671</v>
      </c>
      <c r="E2287" s="2">
        <v>1218323.17</v>
      </c>
      <c r="F2287" s="2">
        <v>1216045.71</v>
      </c>
    </row>
    <row r="2288" spans="1:6" x14ac:dyDescent="0.25">
      <c r="A2288" s="1">
        <v>44986</v>
      </c>
      <c r="B2288" t="s">
        <v>114</v>
      </c>
      <c r="C2288" t="s">
        <v>578</v>
      </c>
      <c r="D2288" s="2">
        <v>1627880.86</v>
      </c>
      <c r="E2288" s="2">
        <v>11150554.640000001</v>
      </c>
      <c r="F2288" s="2">
        <v>11206551.76</v>
      </c>
    </row>
    <row r="2289" spans="1:6" x14ac:dyDescent="0.25">
      <c r="A2289" s="1">
        <v>44986</v>
      </c>
      <c r="B2289" t="s">
        <v>107</v>
      </c>
      <c r="C2289" t="s">
        <v>505</v>
      </c>
      <c r="D2289" s="2">
        <v>50988694.579999998</v>
      </c>
      <c r="E2289" s="2">
        <v>55812005.170000002</v>
      </c>
      <c r="F2289" s="2">
        <v>55812005.170000002</v>
      </c>
    </row>
    <row r="2290" spans="1:6" x14ac:dyDescent="0.25">
      <c r="A2290" s="1">
        <v>44986</v>
      </c>
      <c r="B2290" t="s">
        <v>40</v>
      </c>
      <c r="C2290" t="s">
        <v>695</v>
      </c>
      <c r="D2290">
        <v>0</v>
      </c>
      <c r="E2290">
        <v>0</v>
      </c>
      <c r="F2290">
        <v>0</v>
      </c>
    </row>
    <row r="2291" spans="1:6" x14ac:dyDescent="0.25">
      <c r="A2291" s="1">
        <v>44986</v>
      </c>
      <c r="B2291" t="s">
        <v>100</v>
      </c>
      <c r="C2291" t="s">
        <v>72</v>
      </c>
      <c r="D2291">
        <v>0</v>
      </c>
      <c r="E2291">
        <v>0</v>
      </c>
      <c r="F2291">
        <v>0</v>
      </c>
    </row>
    <row r="2292" spans="1:6" x14ac:dyDescent="0.25">
      <c r="A2292" s="1">
        <v>44986</v>
      </c>
      <c r="B2292" t="s">
        <v>31</v>
      </c>
      <c r="C2292" t="s">
        <v>430</v>
      </c>
      <c r="D2292">
        <v>0</v>
      </c>
      <c r="E2292">
        <v>0</v>
      </c>
      <c r="F2292">
        <v>0</v>
      </c>
    </row>
    <row r="2293" spans="1:6" x14ac:dyDescent="0.25">
      <c r="A2293" s="1">
        <v>44986</v>
      </c>
      <c r="B2293" t="s">
        <v>105</v>
      </c>
      <c r="C2293" t="s">
        <v>755</v>
      </c>
      <c r="D2293" s="2">
        <v>551046.5</v>
      </c>
      <c r="E2293" s="2">
        <v>551046.5</v>
      </c>
      <c r="F2293" s="2">
        <v>551046.5</v>
      </c>
    </row>
    <row r="2294" spans="1:6" x14ac:dyDescent="0.25">
      <c r="A2294" s="1">
        <v>44986</v>
      </c>
      <c r="B2294" t="s">
        <v>105</v>
      </c>
      <c r="C2294" t="s">
        <v>1127</v>
      </c>
      <c r="D2294" s="2">
        <v>530327</v>
      </c>
      <c r="E2294" s="2">
        <v>530327</v>
      </c>
      <c r="F2294" s="2">
        <v>530327</v>
      </c>
    </row>
    <row r="2295" spans="1:6" x14ac:dyDescent="0.25">
      <c r="A2295" s="1">
        <v>44986</v>
      </c>
      <c r="B2295" t="s">
        <v>11</v>
      </c>
      <c r="C2295" t="s">
        <v>778</v>
      </c>
      <c r="D2295" s="2">
        <v>85817242.689999998</v>
      </c>
      <c r="E2295" s="2">
        <v>85591630.670000002</v>
      </c>
      <c r="F2295" s="2">
        <v>85644372.650000006</v>
      </c>
    </row>
    <row r="2296" spans="1:6" x14ac:dyDescent="0.25">
      <c r="A2296" s="1">
        <v>44986</v>
      </c>
      <c r="B2296" t="s">
        <v>90</v>
      </c>
      <c r="C2296" t="s">
        <v>428</v>
      </c>
      <c r="D2296" s="2">
        <v>24500934.649999999</v>
      </c>
      <c r="E2296" s="2">
        <v>24365294.969999999</v>
      </c>
      <c r="F2296" s="2">
        <v>24365294.969999999</v>
      </c>
    </row>
    <row r="2297" spans="1:6" x14ac:dyDescent="0.25">
      <c r="A2297" s="1">
        <v>44986</v>
      </c>
      <c r="B2297" t="s">
        <v>13</v>
      </c>
      <c r="C2297" t="s">
        <v>474</v>
      </c>
      <c r="D2297">
        <v>0</v>
      </c>
      <c r="E2297" s="2">
        <v>482277542.39999998</v>
      </c>
      <c r="F2297" s="2">
        <v>504950197.66000003</v>
      </c>
    </row>
    <row r="2298" spans="1:6" x14ac:dyDescent="0.25">
      <c r="A2298" s="1">
        <v>44986</v>
      </c>
      <c r="B2298" t="s">
        <v>48</v>
      </c>
      <c r="C2298" t="s">
        <v>1128</v>
      </c>
      <c r="D2298" s="2">
        <v>3980000</v>
      </c>
      <c r="E2298" s="2">
        <v>3327939.07</v>
      </c>
      <c r="F2298" s="2">
        <v>3327939.07</v>
      </c>
    </row>
    <row r="2299" spans="1:6" x14ac:dyDescent="0.25">
      <c r="A2299" s="1">
        <v>44986</v>
      </c>
      <c r="B2299" t="s">
        <v>107</v>
      </c>
      <c r="C2299" t="s">
        <v>239</v>
      </c>
      <c r="D2299" s="2">
        <v>22000000</v>
      </c>
      <c r="E2299" s="2">
        <v>11394759.039999999</v>
      </c>
      <c r="F2299" s="2">
        <v>11394759.039999999</v>
      </c>
    </row>
    <row r="2300" spans="1:6" x14ac:dyDescent="0.25">
      <c r="A2300" s="1">
        <v>44986</v>
      </c>
      <c r="B2300" t="s">
        <v>42</v>
      </c>
      <c r="C2300" t="s">
        <v>548</v>
      </c>
      <c r="D2300" s="2">
        <v>157380127.47999999</v>
      </c>
      <c r="E2300" s="2">
        <v>94918693.379999995</v>
      </c>
      <c r="F2300" s="2">
        <v>59714547.740000002</v>
      </c>
    </row>
    <row r="2301" spans="1:6" x14ac:dyDescent="0.25">
      <c r="A2301" s="1">
        <v>44986</v>
      </c>
      <c r="B2301" t="s">
        <v>90</v>
      </c>
      <c r="C2301" t="s">
        <v>326</v>
      </c>
      <c r="D2301" s="2">
        <v>2562362.2599999998</v>
      </c>
      <c r="E2301" s="2">
        <v>696663.58</v>
      </c>
      <c r="F2301" s="2">
        <v>666844.46</v>
      </c>
    </row>
    <row r="2302" spans="1:6" x14ac:dyDescent="0.25">
      <c r="A2302" s="1">
        <v>44986</v>
      </c>
      <c r="B2302" t="s">
        <v>278</v>
      </c>
      <c r="C2302" t="s">
        <v>401</v>
      </c>
      <c r="D2302" s="2">
        <v>59235208.189999998</v>
      </c>
      <c r="E2302" s="2">
        <v>57981788.740000002</v>
      </c>
      <c r="F2302" s="2">
        <v>56954425.049999997</v>
      </c>
    </row>
    <row r="2303" spans="1:6" x14ac:dyDescent="0.25">
      <c r="A2303" s="1">
        <v>44986</v>
      </c>
      <c r="B2303" t="s">
        <v>103</v>
      </c>
      <c r="C2303" t="s">
        <v>220</v>
      </c>
      <c r="D2303" s="2">
        <v>872000</v>
      </c>
      <c r="E2303" s="2">
        <v>47841.35</v>
      </c>
      <c r="F2303" s="2">
        <v>37160.620000000003</v>
      </c>
    </row>
    <row r="2304" spans="1:6" x14ac:dyDescent="0.25">
      <c r="A2304" s="1">
        <v>44986</v>
      </c>
      <c r="B2304" t="s">
        <v>11</v>
      </c>
      <c r="C2304" t="s">
        <v>749</v>
      </c>
      <c r="D2304" s="2">
        <v>14975280.42</v>
      </c>
      <c r="E2304" s="2">
        <v>14931829.32</v>
      </c>
      <c r="F2304" s="2">
        <v>14897394.699999999</v>
      </c>
    </row>
    <row r="2305" spans="1:6" x14ac:dyDescent="0.25">
      <c r="A2305" s="1">
        <v>44986</v>
      </c>
      <c r="B2305" t="s">
        <v>40</v>
      </c>
      <c r="C2305" t="s">
        <v>388</v>
      </c>
      <c r="D2305" s="2">
        <v>12925509.42</v>
      </c>
      <c r="E2305" s="2">
        <v>35555.07</v>
      </c>
      <c r="F2305" s="2">
        <v>49495.71</v>
      </c>
    </row>
    <row r="2306" spans="1:6" x14ac:dyDescent="0.25">
      <c r="A2306" s="1">
        <v>44986</v>
      </c>
      <c r="B2306" t="s">
        <v>44</v>
      </c>
      <c r="C2306" t="s">
        <v>253</v>
      </c>
      <c r="D2306" s="2">
        <v>109166.67</v>
      </c>
      <c r="E2306">
        <v>0</v>
      </c>
      <c r="F2306">
        <v>0</v>
      </c>
    </row>
    <row r="2307" spans="1:6" x14ac:dyDescent="0.25">
      <c r="A2307" s="1">
        <v>44986</v>
      </c>
      <c r="B2307" t="s">
        <v>21</v>
      </c>
      <c r="C2307" t="s">
        <v>173</v>
      </c>
      <c r="D2307" s="2">
        <v>50000000</v>
      </c>
      <c r="E2307" s="2">
        <v>191960.64</v>
      </c>
      <c r="F2307" s="2">
        <v>184471.79</v>
      </c>
    </row>
    <row r="2308" spans="1:6" x14ac:dyDescent="0.25">
      <c r="A2308" s="1">
        <v>44986</v>
      </c>
      <c r="B2308" t="s">
        <v>9</v>
      </c>
      <c r="C2308" t="s">
        <v>1129</v>
      </c>
      <c r="D2308">
        <v>0</v>
      </c>
      <c r="E2308">
        <v>0</v>
      </c>
      <c r="F2308">
        <v>0</v>
      </c>
    </row>
    <row r="2309" spans="1:6" x14ac:dyDescent="0.25">
      <c r="A2309" s="1">
        <v>44986</v>
      </c>
      <c r="B2309" t="s">
        <v>31</v>
      </c>
      <c r="C2309" t="s">
        <v>925</v>
      </c>
      <c r="D2309" s="2">
        <v>211000</v>
      </c>
      <c r="E2309" s="2">
        <v>128892.51</v>
      </c>
      <c r="F2309" s="2">
        <v>128892.51</v>
      </c>
    </row>
    <row r="2310" spans="1:6" x14ac:dyDescent="0.25">
      <c r="A2310" s="1">
        <v>44986</v>
      </c>
      <c r="B2310" t="s">
        <v>13</v>
      </c>
      <c r="C2310" t="s">
        <v>266</v>
      </c>
      <c r="D2310" s="2">
        <v>12312623.630000001</v>
      </c>
      <c r="E2310" s="2">
        <v>2693269.68</v>
      </c>
      <c r="F2310" s="2">
        <v>2490269.86</v>
      </c>
    </row>
    <row r="2311" spans="1:6" x14ac:dyDescent="0.25">
      <c r="A2311" s="1">
        <v>44986</v>
      </c>
      <c r="B2311" t="s">
        <v>40</v>
      </c>
      <c r="C2311" t="s">
        <v>907</v>
      </c>
      <c r="D2311" s="2">
        <v>217527.35</v>
      </c>
      <c r="E2311" s="2">
        <v>49174.63</v>
      </c>
      <c r="F2311" s="2">
        <v>33702.61</v>
      </c>
    </row>
    <row r="2312" spans="1:6" x14ac:dyDescent="0.25">
      <c r="A2312" s="1">
        <v>44986</v>
      </c>
      <c r="B2312" t="s">
        <v>21</v>
      </c>
      <c r="C2312" t="s">
        <v>191</v>
      </c>
      <c r="D2312" s="2">
        <v>450000</v>
      </c>
      <c r="E2312" s="2">
        <v>1083780.22</v>
      </c>
      <c r="F2312">
        <v>0</v>
      </c>
    </row>
    <row r="2313" spans="1:6" x14ac:dyDescent="0.25">
      <c r="A2313" s="1">
        <v>44986</v>
      </c>
      <c r="B2313" t="s">
        <v>518</v>
      </c>
      <c r="C2313" t="s">
        <v>906</v>
      </c>
      <c r="D2313" s="2">
        <v>44627.9</v>
      </c>
      <c r="E2313" s="2">
        <v>16087.44</v>
      </c>
      <c r="F2313" s="2">
        <v>11683.37</v>
      </c>
    </row>
    <row r="2314" spans="1:6" x14ac:dyDescent="0.25">
      <c r="A2314" s="1">
        <v>44986</v>
      </c>
      <c r="B2314" t="s">
        <v>9</v>
      </c>
      <c r="C2314" t="s">
        <v>363</v>
      </c>
      <c r="D2314" s="2">
        <v>723094.43</v>
      </c>
      <c r="E2314" s="2">
        <v>396665.17</v>
      </c>
      <c r="F2314" s="2">
        <v>232601.97</v>
      </c>
    </row>
    <row r="2315" spans="1:6" x14ac:dyDescent="0.25">
      <c r="A2315" s="1">
        <v>44986</v>
      </c>
      <c r="B2315" t="s">
        <v>37</v>
      </c>
      <c r="C2315" t="s">
        <v>624</v>
      </c>
      <c r="D2315" s="2">
        <v>403149.74</v>
      </c>
      <c r="E2315" s="2">
        <v>635325.09</v>
      </c>
      <c r="F2315" s="2">
        <v>571225.93999999994</v>
      </c>
    </row>
    <row r="2316" spans="1:6" x14ac:dyDescent="0.25">
      <c r="A2316" s="1">
        <v>44986</v>
      </c>
      <c r="B2316" t="s">
        <v>37</v>
      </c>
      <c r="C2316" t="s">
        <v>271</v>
      </c>
      <c r="D2316">
        <v>0</v>
      </c>
      <c r="E2316">
        <v>0</v>
      </c>
      <c r="F2316">
        <v>0</v>
      </c>
    </row>
    <row r="2317" spans="1:6" x14ac:dyDescent="0.25">
      <c r="A2317" s="1">
        <v>44986</v>
      </c>
      <c r="B2317" t="s">
        <v>162</v>
      </c>
      <c r="C2317" t="s">
        <v>335</v>
      </c>
      <c r="D2317" s="2">
        <v>205571646.63999999</v>
      </c>
      <c r="E2317" s="2">
        <v>44901663.740000002</v>
      </c>
      <c r="F2317" s="2">
        <v>481530.55</v>
      </c>
    </row>
    <row r="2318" spans="1:6" x14ac:dyDescent="0.25">
      <c r="A2318" s="1">
        <v>44986</v>
      </c>
      <c r="B2318" t="s">
        <v>107</v>
      </c>
      <c r="C2318" t="s">
        <v>189</v>
      </c>
      <c r="D2318" s="2">
        <v>9939853</v>
      </c>
      <c r="E2318" s="2">
        <v>20859600</v>
      </c>
      <c r="F2318" s="2">
        <v>20859600</v>
      </c>
    </row>
    <row r="2319" spans="1:6" x14ac:dyDescent="0.25">
      <c r="A2319" s="1">
        <v>44986</v>
      </c>
      <c r="B2319" t="s">
        <v>92</v>
      </c>
      <c r="C2319" t="s">
        <v>1130</v>
      </c>
      <c r="D2319" s="2">
        <v>17808.330000000002</v>
      </c>
      <c r="E2319" s="2">
        <v>15879.91</v>
      </c>
      <c r="F2319" s="2">
        <v>15879.91</v>
      </c>
    </row>
    <row r="2320" spans="1:6" x14ac:dyDescent="0.25">
      <c r="A2320" s="1">
        <v>44986</v>
      </c>
      <c r="B2320" t="s">
        <v>40</v>
      </c>
      <c r="C2320" t="s">
        <v>255</v>
      </c>
      <c r="D2320">
        <v>0</v>
      </c>
      <c r="E2320">
        <v>0</v>
      </c>
      <c r="F2320">
        <v>0</v>
      </c>
    </row>
    <row r="2321" spans="1:6" x14ac:dyDescent="0.25">
      <c r="A2321" s="1">
        <v>44986</v>
      </c>
      <c r="B2321" t="s">
        <v>196</v>
      </c>
      <c r="C2321" t="s">
        <v>262</v>
      </c>
      <c r="D2321">
        <v>0</v>
      </c>
      <c r="E2321">
        <v>0</v>
      </c>
      <c r="F2321">
        <v>0</v>
      </c>
    </row>
    <row r="2322" spans="1:6" x14ac:dyDescent="0.25">
      <c r="A2322" s="1">
        <v>44986</v>
      </c>
      <c r="B2322" t="s">
        <v>769</v>
      </c>
      <c r="C2322" t="s">
        <v>1131</v>
      </c>
      <c r="D2322">
        <v>0</v>
      </c>
      <c r="E2322">
        <v>0</v>
      </c>
      <c r="F2322">
        <v>0</v>
      </c>
    </row>
    <row r="2323" spans="1:6" x14ac:dyDescent="0.25">
      <c r="A2323" s="1">
        <v>44986</v>
      </c>
      <c r="B2323" t="s">
        <v>48</v>
      </c>
      <c r="C2323" t="s">
        <v>1132</v>
      </c>
      <c r="D2323">
        <v>0</v>
      </c>
      <c r="E2323">
        <v>0</v>
      </c>
      <c r="F2323">
        <v>0</v>
      </c>
    </row>
    <row r="2324" spans="1:6" x14ac:dyDescent="0.25">
      <c r="A2324" s="1">
        <v>44986</v>
      </c>
      <c r="B2324" t="s">
        <v>443</v>
      </c>
      <c r="C2324" t="s">
        <v>500</v>
      </c>
      <c r="D2324">
        <v>0</v>
      </c>
      <c r="E2324">
        <v>0</v>
      </c>
      <c r="F2324">
        <v>0</v>
      </c>
    </row>
    <row r="2325" spans="1:6" x14ac:dyDescent="0.25">
      <c r="A2325" s="1">
        <v>44986</v>
      </c>
      <c r="B2325" t="s">
        <v>50</v>
      </c>
      <c r="C2325" t="s">
        <v>286</v>
      </c>
      <c r="D2325">
        <v>0</v>
      </c>
      <c r="E2325">
        <v>0</v>
      </c>
      <c r="F2325">
        <v>0</v>
      </c>
    </row>
    <row r="2326" spans="1:6" x14ac:dyDescent="0.25">
      <c r="A2326" s="1">
        <v>44986</v>
      </c>
      <c r="B2326" t="s">
        <v>23</v>
      </c>
      <c r="C2326" t="s">
        <v>496</v>
      </c>
      <c r="D2326" s="2">
        <v>52865.06</v>
      </c>
      <c r="E2326" s="2">
        <v>203568.7</v>
      </c>
      <c r="F2326" s="2">
        <v>175736.87</v>
      </c>
    </row>
    <row r="2327" spans="1:6" x14ac:dyDescent="0.25">
      <c r="A2327" s="1">
        <v>44986</v>
      </c>
      <c r="B2327" t="s">
        <v>288</v>
      </c>
      <c r="C2327" t="s">
        <v>480</v>
      </c>
      <c r="D2327" s="2">
        <v>8755.4599999999991</v>
      </c>
      <c r="E2327" s="2">
        <v>8755.4599999999991</v>
      </c>
      <c r="F2327" s="2">
        <v>8755.4599999999991</v>
      </c>
    </row>
    <row r="2328" spans="1:6" x14ac:dyDescent="0.25">
      <c r="A2328" s="1">
        <v>44986</v>
      </c>
      <c r="B2328" t="s">
        <v>21</v>
      </c>
      <c r="C2328" t="s">
        <v>1133</v>
      </c>
      <c r="D2328" s="2">
        <v>960685.44</v>
      </c>
      <c r="E2328">
        <v>0</v>
      </c>
      <c r="F2328">
        <v>0</v>
      </c>
    </row>
    <row r="2329" spans="1:6" x14ac:dyDescent="0.25">
      <c r="A2329" s="1">
        <v>44986</v>
      </c>
      <c r="B2329" t="s">
        <v>23</v>
      </c>
      <c r="C2329" t="s">
        <v>74</v>
      </c>
      <c r="D2329">
        <v>0</v>
      </c>
      <c r="E2329">
        <v>0</v>
      </c>
      <c r="F2329">
        <v>0</v>
      </c>
    </row>
    <row r="2330" spans="1:6" x14ac:dyDescent="0.25">
      <c r="A2330" s="1">
        <v>44986</v>
      </c>
      <c r="B2330" t="s">
        <v>23</v>
      </c>
      <c r="C2330" t="s">
        <v>580</v>
      </c>
      <c r="D2330" s="2">
        <v>-462433.3</v>
      </c>
      <c r="E2330" s="2">
        <v>42726.6</v>
      </c>
      <c r="F2330" s="2">
        <v>42726.6</v>
      </c>
    </row>
    <row r="2331" spans="1:6" x14ac:dyDescent="0.25">
      <c r="A2331" s="1">
        <v>44986</v>
      </c>
      <c r="B2331" t="s">
        <v>821</v>
      </c>
      <c r="C2331" t="s">
        <v>822</v>
      </c>
      <c r="D2331">
        <v>504</v>
      </c>
      <c r="E2331" s="2">
        <v>67907.990000000005</v>
      </c>
      <c r="F2331" s="2">
        <v>63162.7</v>
      </c>
    </row>
    <row r="2332" spans="1:6" x14ac:dyDescent="0.25">
      <c r="A2332" s="1">
        <v>44986</v>
      </c>
      <c r="B2332" t="s">
        <v>98</v>
      </c>
      <c r="C2332" t="s">
        <v>613</v>
      </c>
      <c r="D2332">
        <v>0</v>
      </c>
      <c r="E2332">
        <v>0</v>
      </c>
      <c r="F2332">
        <v>0</v>
      </c>
    </row>
    <row r="2333" spans="1:6" x14ac:dyDescent="0.25">
      <c r="A2333" s="1">
        <v>44986</v>
      </c>
      <c r="B2333" t="s">
        <v>23</v>
      </c>
      <c r="C2333" t="s">
        <v>1134</v>
      </c>
      <c r="D2333">
        <v>0</v>
      </c>
      <c r="E2333">
        <v>0</v>
      </c>
      <c r="F2333">
        <v>0</v>
      </c>
    </row>
    <row r="2334" spans="1:6" x14ac:dyDescent="0.25">
      <c r="A2334" s="1">
        <v>44986</v>
      </c>
      <c r="B2334" t="s">
        <v>296</v>
      </c>
      <c r="C2334" t="s">
        <v>230</v>
      </c>
      <c r="D2334">
        <v>0</v>
      </c>
      <c r="E2334">
        <v>0</v>
      </c>
      <c r="F2334">
        <v>0</v>
      </c>
    </row>
    <row r="2335" spans="1:6" x14ac:dyDescent="0.25">
      <c r="A2335" s="1">
        <v>44986</v>
      </c>
      <c r="B2335" t="s">
        <v>40</v>
      </c>
      <c r="C2335" t="s">
        <v>555</v>
      </c>
      <c r="D2335" s="2">
        <v>35052545.939999998</v>
      </c>
      <c r="E2335">
        <v>0</v>
      </c>
      <c r="F2335">
        <v>0</v>
      </c>
    </row>
    <row r="2336" spans="1:6" x14ac:dyDescent="0.25">
      <c r="A2336" s="1">
        <v>44986</v>
      </c>
      <c r="B2336" t="s">
        <v>118</v>
      </c>
      <c r="C2336" t="s">
        <v>639</v>
      </c>
      <c r="D2336" s="2">
        <v>3993204.43</v>
      </c>
      <c r="E2336" s="2">
        <v>6870709.0199999996</v>
      </c>
      <c r="F2336" s="2">
        <v>165914.09</v>
      </c>
    </row>
    <row r="2337" spans="1:6" x14ac:dyDescent="0.25">
      <c r="A2337" s="1">
        <v>44986</v>
      </c>
      <c r="B2337" t="s">
        <v>23</v>
      </c>
      <c r="C2337" t="s">
        <v>331</v>
      </c>
      <c r="D2337" s="2">
        <v>2174944.7000000002</v>
      </c>
      <c r="E2337" s="2">
        <v>953378.84</v>
      </c>
      <c r="F2337" s="2">
        <v>987122.61</v>
      </c>
    </row>
    <row r="2338" spans="1:6" x14ac:dyDescent="0.25">
      <c r="A2338" s="1">
        <v>44986</v>
      </c>
      <c r="B2338" t="s">
        <v>120</v>
      </c>
      <c r="C2338" t="s">
        <v>121</v>
      </c>
      <c r="D2338">
        <v>0</v>
      </c>
      <c r="E2338" s="2">
        <v>16167.29</v>
      </c>
      <c r="F2338" s="2">
        <v>16167.29</v>
      </c>
    </row>
    <row r="2339" spans="1:6" x14ac:dyDescent="0.25">
      <c r="A2339" s="1">
        <v>44986</v>
      </c>
      <c r="B2339" t="s">
        <v>296</v>
      </c>
      <c r="C2339" t="s">
        <v>297</v>
      </c>
      <c r="D2339" s="2">
        <v>2356799.15</v>
      </c>
      <c r="E2339" s="2">
        <v>314382.99</v>
      </c>
      <c r="F2339" s="2">
        <v>307047.25</v>
      </c>
    </row>
    <row r="2340" spans="1:6" x14ac:dyDescent="0.25">
      <c r="A2340" s="1">
        <v>44986</v>
      </c>
      <c r="B2340" t="s">
        <v>63</v>
      </c>
      <c r="C2340" t="s">
        <v>1135</v>
      </c>
      <c r="D2340" s="2">
        <v>1000000</v>
      </c>
      <c r="E2340">
        <v>0</v>
      </c>
      <c r="F2340">
        <v>0</v>
      </c>
    </row>
    <row r="2341" spans="1:6" x14ac:dyDescent="0.25">
      <c r="A2341" s="1">
        <v>44986</v>
      </c>
      <c r="B2341" t="s">
        <v>81</v>
      </c>
      <c r="C2341" t="s">
        <v>246</v>
      </c>
      <c r="D2341">
        <v>0</v>
      </c>
      <c r="E2341">
        <v>0</v>
      </c>
      <c r="F2341">
        <v>0</v>
      </c>
    </row>
    <row r="2342" spans="1:6" x14ac:dyDescent="0.25">
      <c r="A2342" s="1">
        <v>44986</v>
      </c>
      <c r="B2342" t="s">
        <v>40</v>
      </c>
      <c r="C2342" t="s">
        <v>325</v>
      </c>
      <c r="D2342" s="2">
        <v>-3022186.9</v>
      </c>
      <c r="E2342" s="2">
        <v>4583107.28</v>
      </c>
      <c r="F2342" s="2">
        <v>4680559.76</v>
      </c>
    </row>
    <row r="2343" spans="1:6" x14ac:dyDescent="0.25">
      <c r="A2343" s="1">
        <v>44986</v>
      </c>
      <c r="B2343" t="s">
        <v>773</v>
      </c>
      <c r="C2343" t="s">
        <v>774</v>
      </c>
      <c r="D2343" s="2">
        <v>81618493.400000006</v>
      </c>
      <c r="E2343" s="2">
        <v>76166704.409999996</v>
      </c>
      <c r="F2343" s="2">
        <v>76179237.230000004</v>
      </c>
    </row>
    <row r="2344" spans="1:6" x14ac:dyDescent="0.25">
      <c r="A2344" s="1">
        <v>44986</v>
      </c>
      <c r="B2344" t="s">
        <v>490</v>
      </c>
      <c r="C2344" t="s">
        <v>538</v>
      </c>
      <c r="D2344" s="2">
        <v>87861985</v>
      </c>
      <c r="E2344" s="2">
        <v>73747133</v>
      </c>
      <c r="F2344" s="2">
        <v>69071077.620000005</v>
      </c>
    </row>
    <row r="2345" spans="1:6" x14ac:dyDescent="0.25">
      <c r="A2345" s="1">
        <v>44986</v>
      </c>
      <c r="B2345" t="s">
        <v>196</v>
      </c>
      <c r="C2345" t="s">
        <v>468</v>
      </c>
      <c r="D2345">
        <v>0</v>
      </c>
      <c r="E2345">
        <v>0</v>
      </c>
      <c r="F2345">
        <v>0</v>
      </c>
    </row>
    <row r="2346" spans="1:6" x14ac:dyDescent="0.25">
      <c r="A2346" s="1">
        <v>44986</v>
      </c>
      <c r="B2346" t="s">
        <v>37</v>
      </c>
      <c r="C2346" t="s">
        <v>743</v>
      </c>
      <c r="D2346" s="2">
        <v>142148.19</v>
      </c>
      <c r="E2346" s="2">
        <v>24191.78</v>
      </c>
      <c r="F2346" s="2">
        <v>25074.54</v>
      </c>
    </row>
    <row r="2347" spans="1:6" x14ac:dyDescent="0.25">
      <c r="A2347" s="1">
        <v>44986</v>
      </c>
      <c r="B2347" t="s">
        <v>196</v>
      </c>
      <c r="C2347" t="s">
        <v>880</v>
      </c>
      <c r="D2347">
        <v>0</v>
      </c>
      <c r="E2347">
        <v>0</v>
      </c>
      <c r="F2347">
        <v>0</v>
      </c>
    </row>
    <row r="2348" spans="1:6" x14ac:dyDescent="0.25">
      <c r="A2348" s="1">
        <v>44986</v>
      </c>
      <c r="B2348" t="s">
        <v>21</v>
      </c>
      <c r="C2348" t="s">
        <v>1136</v>
      </c>
      <c r="D2348" s="2">
        <v>330000</v>
      </c>
      <c r="E2348">
        <v>0</v>
      </c>
      <c r="F2348">
        <v>0</v>
      </c>
    </row>
    <row r="2349" spans="1:6" x14ac:dyDescent="0.25">
      <c r="A2349" s="1">
        <v>44986</v>
      </c>
      <c r="B2349" t="s">
        <v>460</v>
      </c>
      <c r="C2349" t="s">
        <v>856</v>
      </c>
      <c r="D2349" s="2">
        <v>5207496.6100000003</v>
      </c>
      <c r="E2349" s="2">
        <v>9083418.2799999993</v>
      </c>
      <c r="F2349" s="2">
        <v>8044002.9400000004</v>
      </c>
    </row>
    <row r="2350" spans="1:6" x14ac:dyDescent="0.25">
      <c r="A2350" s="1">
        <v>44986</v>
      </c>
      <c r="B2350" t="s">
        <v>162</v>
      </c>
      <c r="C2350" t="s">
        <v>621</v>
      </c>
      <c r="D2350" s="2">
        <v>-59445.09</v>
      </c>
      <c r="E2350" s="2">
        <v>2174232.39</v>
      </c>
      <c r="F2350" s="2">
        <v>2138580.8199999998</v>
      </c>
    </row>
    <row r="2351" spans="1:6" x14ac:dyDescent="0.25">
      <c r="A2351" s="1">
        <v>44986</v>
      </c>
      <c r="B2351" t="s">
        <v>46</v>
      </c>
      <c r="C2351" t="s">
        <v>590</v>
      </c>
      <c r="D2351" s="2">
        <v>80799.009999999995</v>
      </c>
      <c r="E2351" s="2">
        <v>52083.58</v>
      </c>
      <c r="F2351" s="2">
        <v>52083.58</v>
      </c>
    </row>
    <row r="2352" spans="1:6" x14ac:dyDescent="0.25">
      <c r="A2352" s="1">
        <v>44986</v>
      </c>
      <c r="B2352" t="s">
        <v>23</v>
      </c>
      <c r="C2352" t="s">
        <v>418</v>
      </c>
      <c r="D2352" s="2">
        <v>3086282.75</v>
      </c>
      <c r="E2352" s="2">
        <v>6029827.4400000004</v>
      </c>
      <c r="F2352" s="2">
        <v>6029827.4400000004</v>
      </c>
    </row>
    <row r="2353" spans="1:6" x14ac:dyDescent="0.25">
      <c r="A2353" s="1">
        <v>44986</v>
      </c>
      <c r="B2353" t="s">
        <v>31</v>
      </c>
      <c r="C2353" t="s">
        <v>558</v>
      </c>
      <c r="D2353">
        <v>0</v>
      </c>
      <c r="E2353">
        <v>0</v>
      </c>
      <c r="F2353">
        <v>0</v>
      </c>
    </row>
    <row r="2354" spans="1:6" x14ac:dyDescent="0.25">
      <c r="A2354" s="1">
        <v>44986</v>
      </c>
      <c r="B2354" t="s">
        <v>90</v>
      </c>
      <c r="C2354" t="s">
        <v>1037</v>
      </c>
      <c r="D2354" s="2">
        <v>270000</v>
      </c>
      <c r="E2354" s="2">
        <v>1293.1099999999999</v>
      </c>
      <c r="F2354">
        <v>290.92</v>
      </c>
    </row>
    <row r="2355" spans="1:6" x14ac:dyDescent="0.25">
      <c r="A2355" s="1">
        <v>44986</v>
      </c>
      <c r="B2355" t="s">
        <v>40</v>
      </c>
      <c r="C2355" t="s">
        <v>616</v>
      </c>
      <c r="D2355" s="2">
        <v>176493429.16</v>
      </c>
      <c r="E2355" s="2">
        <v>69895029.340000004</v>
      </c>
      <c r="F2355" s="2">
        <v>74280114.950000003</v>
      </c>
    </row>
    <row r="2356" spans="1:6" x14ac:dyDescent="0.25">
      <c r="A2356" s="1">
        <v>44986</v>
      </c>
      <c r="B2356" t="s">
        <v>107</v>
      </c>
      <c r="C2356" t="s">
        <v>982</v>
      </c>
      <c r="D2356">
        <v>0</v>
      </c>
      <c r="E2356">
        <v>0</v>
      </c>
      <c r="F2356">
        <v>0</v>
      </c>
    </row>
    <row r="2357" spans="1:6" x14ac:dyDescent="0.25">
      <c r="A2357" s="1">
        <v>44986</v>
      </c>
      <c r="B2357" t="s">
        <v>105</v>
      </c>
      <c r="C2357" t="s">
        <v>310</v>
      </c>
      <c r="D2357">
        <v>0</v>
      </c>
      <c r="E2357">
        <v>0</v>
      </c>
      <c r="F2357">
        <v>0</v>
      </c>
    </row>
    <row r="2358" spans="1:6" x14ac:dyDescent="0.25">
      <c r="A2358" s="1">
        <v>44986</v>
      </c>
      <c r="B2358" t="s">
        <v>162</v>
      </c>
      <c r="C2358" t="s">
        <v>322</v>
      </c>
      <c r="D2358" s="2">
        <v>15724793</v>
      </c>
      <c r="E2358" s="2">
        <v>226848</v>
      </c>
      <c r="F2358">
        <v>0</v>
      </c>
    </row>
    <row r="2359" spans="1:6" x14ac:dyDescent="0.25">
      <c r="A2359" s="1">
        <v>44986</v>
      </c>
      <c r="B2359" t="s">
        <v>114</v>
      </c>
      <c r="C2359" t="s">
        <v>764</v>
      </c>
      <c r="D2359" s="2">
        <v>19800072.989999998</v>
      </c>
      <c r="E2359" s="2">
        <v>19322688.91</v>
      </c>
      <c r="F2359" s="2">
        <v>16429650.93</v>
      </c>
    </row>
    <row r="2360" spans="1:6" x14ac:dyDescent="0.25">
      <c r="A2360" s="1">
        <v>44986</v>
      </c>
      <c r="B2360" t="s">
        <v>441</v>
      </c>
      <c r="C2360" t="s">
        <v>914</v>
      </c>
      <c r="D2360">
        <v>0</v>
      </c>
      <c r="E2360">
        <v>0</v>
      </c>
      <c r="F2360">
        <v>0</v>
      </c>
    </row>
    <row r="2361" spans="1:6" x14ac:dyDescent="0.25">
      <c r="A2361" s="1">
        <v>44986</v>
      </c>
      <c r="B2361" t="s">
        <v>159</v>
      </c>
      <c r="C2361" t="s">
        <v>640</v>
      </c>
      <c r="D2361">
        <v>0</v>
      </c>
      <c r="E2361">
        <v>0</v>
      </c>
      <c r="F2361">
        <v>0</v>
      </c>
    </row>
    <row r="2362" spans="1:6" x14ac:dyDescent="0.25">
      <c r="A2362" s="1">
        <v>44986</v>
      </c>
      <c r="B2362" t="s">
        <v>29</v>
      </c>
      <c r="C2362" t="s">
        <v>653</v>
      </c>
      <c r="D2362">
        <v>0</v>
      </c>
      <c r="E2362">
        <v>0</v>
      </c>
      <c r="F2362">
        <v>0</v>
      </c>
    </row>
    <row r="2363" spans="1:6" x14ac:dyDescent="0.25">
      <c r="A2363" s="1">
        <v>44986</v>
      </c>
      <c r="B2363" t="s">
        <v>11</v>
      </c>
      <c r="C2363" t="s">
        <v>471</v>
      </c>
      <c r="D2363" s="2">
        <v>5378662.46</v>
      </c>
      <c r="E2363" s="2">
        <v>18299138.690000001</v>
      </c>
      <c r="F2363" s="2">
        <v>17845960.850000001</v>
      </c>
    </row>
    <row r="2364" spans="1:6" x14ac:dyDescent="0.25">
      <c r="A2364" s="1">
        <v>44986</v>
      </c>
      <c r="B2364" t="s">
        <v>398</v>
      </c>
      <c r="C2364" t="s">
        <v>399</v>
      </c>
      <c r="D2364">
        <v>0</v>
      </c>
      <c r="E2364" s="2">
        <v>590709.59</v>
      </c>
      <c r="F2364" s="2">
        <v>590709.59</v>
      </c>
    </row>
    <row r="2365" spans="1:6" x14ac:dyDescent="0.25">
      <c r="A2365" s="1">
        <v>44986</v>
      </c>
      <c r="B2365" t="s">
        <v>17</v>
      </c>
      <c r="C2365" t="s">
        <v>268</v>
      </c>
      <c r="D2365">
        <v>0</v>
      </c>
      <c r="E2365">
        <v>0</v>
      </c>
      <c r="F2365">
        <v>0</v>
      </c>
    </row>
    <row r="2366" spans="1:6" x14ac:dyDescent="0.25">
      <c r="A2366" s="1">
        <v>44986</v>
      </c>
      <c r="B2366" t="s">
        <v>101</v>
      </c>
      <c r="C2366" t="s">
        <v>849</v>
      </c>
      <c r="D2366" s="2">
        <v>32221</v>
      </c>
      <c r="E2366" s="2">
        <v>7614.59</v>
      </c>
      <c r="F2366" s="2">
        <v>7614.59</v>
      </c>
    </row>
    <row r="2367" spans="1:6" x14ac:dyDescent="0.25">
      <c r="A2367" s="1">
        <v>44986</v>
      </c>
      <c r="B2367" t="s">
        <v>27</v>
      </c>
      <c r="C2367" t="s">
        <v>835</v>
      </c>
      <c r="D2367" s="2">
        <v>339656.9</v>
      </c>
      <c r="E2367" s="2">
        <v>239679.44</v>
      </c>
      <c r="F2367" s="2">
        <v>241179.44</v>
      </c>
    </row>
    <row r="2368" spans="1:6" x14ac:dyDescent="0.25">
      <c r="A2368" s="1">
        <v>44986</v>
      </c>
      <c r="B2368" t="s">
        <v>114</v>
      </c>
      <c r="C2368" t="s">
        <v>628</v>
      </c>
      <c r="D2368" s="2">
        <v>1675758.38</v>
      </c>
      <c r="E2368" s="2">
        <v>1123631.1100000001</v>
      </c>
      <c r="F2368" s="2">
        <v>1029379.25</v>
      </c>
    </row>
    <row r="2369" spans="1:6" x14ac:dyDescent="0.25">
      <c r="A2369" s="1">
        <v>44986</v>
      </c>
      <c r="B2369" t="s">
        <v>17</v>
      </c>
      <c r="C2369" t="s">
        <v>350</v>
      </c>
      <c r="D2369" s="2">
        <v>28881860.390000001</v>
      </c>
      <c r="E2369" s="2">
        <v>12399684.73</v>
      </c>
      <c r="F2369" s="2">
        <v>328271.40999999997</v>
      </c>
    </row>
    <row r="2370" spans="1:6" x14ac:dyDescent="0.25">
      <c r="A2370" s="1">
        <v>44986</v>
      </c>
      <c r="B2370" t="s">
        <v>1137</v>
      </c>
      <c r="C2370" t="s">
        <v>1138</v>
      </c>
      <c r="D2370" s="2">
        <v>33699060.109999999</v>
      </c>
      <c r="E2370" s="2">
        <v>33699060.109999999</v>
      </c>
      <c r="F2370" s="2">
        <v>33699060.109999999</v>
      </c>
    </row>
    <row r="2371" spans="1:6" x14ac:dyDescent="0.25">
      <c r="A2371" s="1">
        <v>44986</v>
      </c>
      <c r="B2371" t="s">
        <v>107</v>
      </c>
      <c r="C2371" t="s">
        <v>499</v>
      </c>
      <c r="D2371">
        <v>0</v>
      </c>
      <c r="E2371">
        <v>0</v>
      </c>
      <c r="F2371">
        <v>0</v>
      </c>
    </row>
    <row r="2372" spans="1:6" x14ac:dyDescent="0.25">
      <c r="A2372" s="1">
        <v>44986</v>
      </c>
      <c r="B2372" t="s">
        <v>100</v>
      </c>
      <c r="C2372" t="s">
        <v>1139</v>
      </c>
      <c r="D2372">
        <v>0</v>
      </c>
      <c r="E2372">
        <v>0</v>
      </c>
      <c r="F2372">
        <v>0</v>
      </c>
    </row>
    <row r="2373" spans="1:6" x14ac:dyDescent="0.25">
      <c r="A2373" s="1">
        <v>44986</v>
      </c>
      <c r="B2373" t="s">
        <v>50</v>
      </c>
      <c r="C2373" t="s">
        <v>977</v>
      </c>
      <c r="D2373" s="2">
        <v>11262188.890000001</v>
      </c>
      <c r="E2373">
        <v>0</v>
      </c>
      <c r="F2373">
        <v>0</v>
      </c>
    </row>
    <row r="2374" spans="1:6" x14ac:dyDescent="0.25">
      <c r="A2374" s="1">
        <v>44986</v>
      </c>
      <c r="B2374" t="s">
        <v>402</v>
      </c>
      <c r="C2374" t="s">
        <v>1140</v>
      </c>
      <c r="D2374">
        <v>0</v>
      </c>
      <c r="E2374">
        <v>0</v>
      </c>
      <c r="F2374">
        <v>0</v>
      </c>
    </row>
    <row r="2375" spans="1:6" x14ac:dyDescent="0.25">
      <c r="A2375" s="1">
        <v>44986</v>
      </c>
      <c r="B2375" t="s">
        <v>398</v>
      </c>
      <c r="C2375" t="s">
        <v>437</v>
      </c>
      <c r="D2375" s="2">
        <v>5826138.6699999999</v>
      </c>
      <c r="E2375" s="2">
        <v>53136.18</v>
      </c>
      <c r="F2375" s="2">
        <v>53136.18</v>
      </c>
    </row>
    <row r="2376" spans="1:6" x14ac:dyDescent="0.25">
      <c r="A2376" s="1">
        <v>44986</v>
      </c>
      <c r="B2376" t="s">
        <v>50</v>
      </c>
      <c r="C2376" t="s">
        <v>438</v>
      </c>
      <c r="D2376">
        <v>0</v>
      </c>
      <c r="E2376" s="2">
        <v>27077.63</v>
      </c>
      <c r="F2376" s="2">
        <v>5250.05</v>
      </c>
    </row>
    <row r="2377" spans="1:6" x14ac:dyDescent="0.25">
      <c r="A2377" s="1">
        <v>44986</v>
      </c>
      <c r="B2377" t="s">
        <v>46</v>
      </c>
      <c r="C2377" t="s">
        <v>987</v>
      </c>
      <c r="D2377">
        <v>0</v>
      </c>
      <c r="E2377">
        <v>0</v>
      </c>
      <c r="F2377">
        <v>0</v>
      </c>
    </row>
    <row r="2378" spans="1:6" x14ac:dyDescent="0.25">
      <c r="A2378" s="1">
        <v>44986</v>
      </c>
      <c r="B2378" t="s">
        <v>682</v>
      </c>
      <c r="C2378" t="s">
        <v>866</v>
      </c>
      <c r="D2378" s="2">
        <v>12824.74</v>
      </c>
      <c r="E2378">
        <v>0</v>
      </c>
      <c r="F2378">
        <v>0</v>
      </c>
    </row>
    <row r="2379" spans="1:6" x14ac:dyDescent="0.25">
      <c r="A2379" s="1">
        <v>44986</v>
      </c>
      <c r="B2379" t="s">
        <v>21</v>
      </c>
      <c r="C2379" t="s">
        <v>970</v>
      </c>
      <c r="D2379" s="2">
        <v>15000000</v>
      </c>
      <c r="E2379">
        <v>0</v>
      </c>
      <c r="F2379">
        <v>0</v>
      </c>
    </row>
    <row r="2380" spans="1:6" x14ac:dyDescent="0.25">
      <c r="A2380" s="1">
        <v>44986</v>
      </c>
      <c r="B2380" t="s">
        <v>185</v>
      </c>
      <c r="C2380" t="s">
        <v>478</v>
      </c>
      <c r="D2380" s="2">
        <v>911730006.08000004</v>
      </c>
      <c r="E2380" s="2">
        <v>964856516.67999995</v>
      </c>
      <c r="F2380" s="2">
        <v>694624758.84000003</v>
      </c>
    </row>
    <row r="2381" spans="1:6" x14ac:dyDescent="0.25">
      <c r="A2381" s="1">
        <v>44986</v>
      </c>
      <c r="B2381" t="s">
        <v>107</v>
      </c>
      <c r="C2381" t="s">
        <v>687</v>
      </c>
      <c r="D2381" s="2">
        <v>26800</v>
      </c>
      <c r="E2381" s="2">
        <v>23634.21</v>
      </c>
      <c r="F2381" s="2">
        <v>23634.21</v>
      </c>
    </row>
    <row r="2382" spans="1:6" x14ac:dyDescent="0.25">
      <c r="A2382" s="1">
        <v>44986</v>
      </c>
      <c r="B2382" t="s">
        <v>263</v>
      </c>
      <c r="C2382" t="s">
        <v>741</v>
      </c>
      <c r="D2382" s="2">
        <v>77790.11</v>
      </c>
      <c r="E2382" s="2">
        <v>5645.71</v>
      </c>
      <c r="F2382" s="2">
        <v>4419.6000000000004</v>
      </c>
    </row>
    <row r="2383" spans="1:6" x14ac:dyDescent="0.25">
      <c r="A2383" s="1">
        <v>44986</v>
      </c>
      <c r="B2383" t="s">
        <v>63</v>
      </c>
      <c r="C2383" t="s">
        <v>224</v>
      </c>
      <c r="D2383" s="2">
        <v>6444094.9000000004</v>
      </c>
      <c r="E2383" s="2">
        <v>459960.29</v>
      </c>
      <c r="F2383" s="2">
        <v>459960.29</v>
      </c>
    </row>
    <row r="2384" spans="1:6" x14ac:dyDescent="0.25">
      <c r="A2384" s="1">
        <v>44986</v>
      </c>
      <c r="B2384" t="s">
        <v>37</v>
      </c>
      <c r="C2384" t="s">
        <v>420</v>
      </c>
      <c r="D2384" s="2">
        <v>5000</v>
      </c>
      <c r="E2384" s="2">
        <v>319606378.12</v>
      </c>
      <c r="F2384" s="2">
        <v>319606378.12</v>
      </c>
    </row>
    <row r="2385" spans="1:6" x14ac:dyDescent="0.25">
      <c r="A2385" s="1">
        <v>44986</v>
      </c>
      <c r="B2385" t="s">
        <v>422</v>
      </c>
      <c r="C2385" t="s">
        <v>678</v>
      </c>
      <c r="D2385">
        <v>0</v>
      </c>
      <c r="E2385">
        <v>0</v>
      </c>
      <c r="F2385">
        <v>0</v>
      </c>
    </row>
    <row r="2386" spans="1:6" x14ac:dyDescent="0.25">
      <c r="A2386" s="1">
        <v>44986</v>
      </c>
      <c r="B2386" t="s">
        <v>13</v>
      </c>
      <c r="C2386" t="s">
        <v>475</v>
      </c>
      <c r="D2386" s="2">
        <v>1043135.43</v>
      </c>
      <c r="E2386" s="2">
        <v>371704.07</v>
      </c>
      <c r="F2386" s="2">
        <v>347737.46</v>
      </c>
    </row>
    <row r="2387" spans="1:6" x14ac:dyDescent="0.25">
      <c r="A2387" s="1">
        <v>44986</v>
      </c>
      <c r="B2387" t="s">
        <v>19</v>
      </c>
      <c r="C2387" t="s">
        <v>699</v>
      </c>
      <c r="D2387" s="2">
        <v>2000</v>
      </c>
      <c r="E2387" s="2">
        <v>2664116.52</v>
      </c>
      <c r="F2387" s="2">
        <v>2664116.52</v>
      </c>
    </row>
    <row r="2388" spans="1:6" x14ac:dyDescent="0.25">
      <c r="A2388" s="1">
        <v>44986</v>
      </c>
      <c r="B2388" t="s">
        <v>355</v>
      </c>
      <c r="C2388" t="s">
        <v>417</v>
      </c>
      <c r="D2388" s="2">
        <v>550000</v>
      </c>
      <c r="E2388" s="2">
        <v>118320.93</v>
      </c>
      <c r="F2388" s="2">
        <v>118320.93</v>
      </c>
    </row>
    <row r="2389" spans="1:6" x14ac:dyDescent="0.25">
      <c r="A2389" s="1">
        <v>44986</v>
      </c>
      <c r="B2389" t="s">
        <v>50</v>
      </c>
      <c r="C2389" t="s">
        <v>1014</v>
      </c>
      <c r="D2389">
        <v>0</v>
      </c>
      <c r="E2389">
        <v>0</v>
      </c>
      <c r="F2389">
        <v>0</v>
      </c>
    </row>
    <row r="2390" spans="1:6" x14ac:dyDescent="0.25">
      <c r="A2390" s="1">
        <v>44986</v>
      </c>
      <c r="B2390" t="s">
        <v>407</v>
      </c>
      <c r="C2390" t="s">
        <v>408</v>
      </c>
      <c r="D2390">
        <v>0</v>
      </c>
      <c r="E2390">
        <v>0</v>
      </c>
      <c r="F2390">
        <v>0</v>
      </c>
    </row>
    <row r="2391" spans="1:6" x14ac:dyDescent="0.25">
      <c r="A2391" s="1">
        <v>44986</v>
      </c>
      <c r="B2391" t="s">
        <v>726</v>
      </c>
      <c r="C2391" t="s">
        <v>727</v>
      </c>
      <c r="D2391" s="2">
        <v>2502218.92</v>
      </c>
      <c r="E2391" s="2">
        <v>1445699.21</v>
      </c>
      <c r="F2391" s="2">
        <v>837663.51</v>
      </c>
    </row>
    <row r="2392" spans="1:6" x14ac:dyDescent="0.25">
      <c r="A2392" s="1">
        <v>44986</v>
      </c>
      <c r="B2392" t="s">
        <v>42</v>
      </c>
      <c r="C2392" t="s">
        <v>334</v>
      </c>
      <c r="D2392" s="2">
        <v>168619.92</v>
      </c>
      <c r="E2392" s="2">
        <v>151663.45000000001</v>
      </c>
      <c r="F2392" s="2">
        <v>151663.45000000001</v>
      </c>
    </row>
    <row r="2393" spans="1:6" x14ac:dyDescent="0.25">
      <c r="A2393" s="1">
        <v>44986</v>
      </c>
      <c r="B2393" t="s">
        <v>40</v>
      </c>
      <c r="C2393" t="s">
        <v>1141</v>
      </c>
      <c r="D2393">
        <v>0</v>
      </c>
      <c r="E2393">
        <v>0</v>
      </c>
      <c r="F2393">
        <v>0</v>
      </c>
    </row>
    <row r="2394" spans="1:6" x14ac:dyDescent="0.25">
      <c r="A2394" s="1">
        <v>44986</v>
      </c>
      <c r="B2394" t="s">
        <v>9</v>
      </c>
      <c r="C2394" t="s">
        <v>182</v>
      </c>
      <c r="D2394">
        <v>0</v>
      </c>
      <c r="E2394">
        <v>0</v>
      </c>
      <c r="F2394">
        <v>0</v>
      </c>
    </row>
    <row r="2395" spans="1:6" x14ac:dyDescent="0.25">
      <c r="A2395" s="1">
        <v>44986</v>
      </c>
      <c r="B2395" t="s">
        <v>726</v>
      </c>
      <c r="C2395" t="s">
        <v>837</v>
      </c>
      <c r="D2395" s="2">
        <v>-1632384.9</v>
      </c>
      <c r="E2395" s="2">
        <v>907476.98</v>
      </c>
      <c r="F2395" s="2">
        <v>811711.73</v>
      </c>
    </row>
    <row r="2396" spans="1:6" x14ac:dyDescent="0.25">
      <c r="A2396" s="1">
        <v>44986</v>
      </c>
      <c r="B2396" t="s">
        <v>21</v>
      </c>
      <c r="C2396" t="s">
        <v>527</v>
      </c>
      <c r="D2396" s="2">
        <v>29600</v>
      </c>
      <c r="E2396" s="2">
        <v>2166523.5699999998</v>
      </c>
      <c r="F2396" s="2">
        <v>2060233.08</v>
      </c>
    </row>
    <row r="2397" spans="1:6" x14ac:dyDescent="0.25">
      <c r="A2397" s="1">
        <v>44986</v>
      </c>
      <c r="B2397" t="s">
        <v>40</v>
      </c>
      <c r="C2397" t="s">
        <v>873</v>
      </c>
      <c r="D2397">
        <v>0</v>
      </c>
      <c r="E2397" s="2">
        <v>2294494473.9099998</v>
      </c>
      <c r="F2397" s="2">
        <v>2294494473.9099998</v>
      </c>
    </row>
    <row r="2398" spans="1:6" x14ac:dyDescent="0.25">
      <c r="A2398" s="1">
        <v>44986</v>
      </c>
      <c r="B2398" t="s">
        <v>44</v>
      </c>
      <c r="C2398" t="s">
        <v>723</v>
      </c>
      <c r="D2398" s="2">
        <v>599278.29</v>
      </c>
      <c r="E2398" s="2">
        <v>221630.36</v>
      </c>
      <c r="F2398" s="2">
        <v>139469.73000000001</v>
      </c>
    </row>
    <row r="2399" spans="1:6" x14ac:dyDescent="0.25">
      <c r="A2399" s="1">
        <v>44986</v>
      </c>
      <c r="B2399" t="s">
        <v>92</v>
      </c>
      <c r="C2399" t="s">
        <v>93</v>
      </c>
      <c r="D2399" s="2">
        <v>117813.15</v>
      </c>
      <c r="E2399" s="2">
        <v>88886.23</v>
      </c>
      <c r="F2399" s="2">
        <v>62243.48</v>
      </c>
    </row>
    <row r="2400" spans="1:6" x14ac:dyDescent="0.25">
      <c r="A2400" s="1">
        <v>44986</v>
      </c>
      <c r="B2400" t="s">
        <v>15</v>
      </c>
      <c r="C2400" t="s">
        <v>614</v>
      </c>
      <c r="D2400" s="2">
        <v>4309771.3899999997</v>
      </c>
      <c r="E2400" s="2">
        <v>4300271.5</v>
      </c>
      <c r="F2400" s="2">
        <v>8269278.8899999997</v>
      </c>
    </row>
    <row r="2401" spans="1:6" x14ac:dyDescent="0.25">
      <c r="A2401" s="1">
        <v>44986</v>
      </c>
      <c r="B2401" t="s">
        <v>21</v>
      </c>
      <c r="C2401" t="s">
        <v>1049</v>
      </c>
      <c r="D2401" s="2">
        <v>13000000</v>
      </c>
      <c r="E2401">
        <v>0</v>
      </c>
      <c r="F2401">
        <v>0</v>
      </c>
    </row>
    <row r="2402" spans="1:6" x14ac:dyDescent="0.25">
      <c r="A2402" s="1">
        <v>44986</v>
      </c>
      <c r="B2402" t="s">
        <v>21</v>
      </c>
      <c r="C2402" t="s">
        <v>1028</v>
      </c>
      <c r="D2402" s="2">
        <v>220000</v>
      </c>
      <c r="E2402">
        <v>0</v>
      </c>
      <c r="F2402">
        <v>0</v>
      </c>
    </row>
    <row r="2403" spans="1:6" x14ac:dyDescent="0.25">
      <c r="A2403" s="1">
        <v>44986</v>
      </c>
      <c r="B2403" t="s">
        <v>21</v>
      </c>
      <c r="C2403" t="s">
        <v>522</v>
      </c>
      <c r="D2403" s="2">
        <v>5440113</v>
      </c>
      <c r="E2403" s="2">
        <v>6144915.2199999997</v>
      </c>
      <c r="F2403" s="2">
        <v>6144915.2199999997</v>
      </c>
    </row>
    <row r="2404" spans="1:6" x14ac:dyDescent="0.25">
      <c r="A2404" s="1">
        <v>44986</v>
      </c>
      <c r="B2404" t="s">
        <v>162</v>
      </c>
      <c r="C2404" t="s">
        <v>291</v>
      </c>
      <c r="D2404" s="2">
        <v>357556656.61000001</v>
      </c>
      <c r="E2404" s="2">
        <v>745640987.62</v>
      </c>
      <c r="F2404" s="2">
        <v>652217044.72000003</v>
      </c>
    </row>
    <row r="2405" spans="1:6" x14ac:dyDescent="0.25">
      <c r="A2405" s="1">
        <v>44986</v>
      </c>
      <c r="B2405" t="s">
        <v>37</v>
      </c>
      <c r="C2405" t="s">
        <v>570</v>
      </c>
      <c r="D2405" s="2">
        <v>176054.28</v>
      </c>
      <c r="E2405" s="2">
        <v>21847.64</v>
      </c>
      <c r="F2405" s="2">
        <v>28799.57</v>
      </c>
    </row>
    <row r="2406" spans="1:6" x14ac:dyDescent="0.25">
      <c r="A2406" s="1">
        <v>44986</v>
      </c>
      <c r="B2406" t="s">
        <v>422</v>
      </c>
      <c r="C2406" t="s">
        <v>423</v>
      </c>
      <c r="D2406">
        <v>0</v>
      </c>
      <c r="E2406">
        <v>0</v>
      </c>
      <c r="F2406">
        <v>0</v>
      </c>
    </row>
    <row r="2407" spans="1:6" x14ac:dyDescent="0.25">
      <c r="A2407" s="1">
        <v>44986</v>
      </c>
      <c r="B2407" t="s">
        <v>92</v>
      </c>
      <c r="C2407" t="s">
        <v>381</v>
      </c>
      <c r="D2407" s="2">
        <v>-1992212.72</v>
      </c>
      <c r="E2407" s="2">
        <v>289712.63</v>
      </c>
      <c r="F2407" s="2">
        <v>288048.21999999997</v>
      </c>
    </row>
    <row r="2408" spans="1:6" x14ac:dyDescent="0.25">
      <c r="A2408" s="1">
        <v>44986</v>
      </c>
      <c r="B2408" t="s">
        <v>40</v>
      </c>
      <c r="C2408" t="s">
        <v>528</v>
      </c>
      <c r="D2408" s="2">
        <v>89226.04</v>
      </c>
      <c r="E2408">
        <v>0</v>
      </c>
      <c r="F2408">
        <v>0</v>
      </c>
    </row>
    <row r="2409" spans="1:6" x14ac:dyDescent="0.25">
      <c r="A2409" s="1">
        <v>44986</v>
      </c>
      <c r="B2409" t="s">
        <v>98</v>
      </c>
      <c r="C2409" t="s">
        <v>627</v>
      </c>
      <c r="D2409">
        <v>0</v>
      </c>
      <c r="E2409">
        <v>0</v>
      </c>
      <c r="F2409">
        <v>0</v>
      </c>
    </row>
    <row r="2410" spans="1:6" x14ac:dyDescent="0.25">
      <c r="A2410" s="1">
        <v>44986</v>
      </c>
      <c r="B2410" t="s">
        <v>65</v>
      </c>
      <c r="C2410" t="s">
        <v>66</v>
      </c>
      <c r="D2410" s="2">
        <v>411878.12</v>
      </c>
      <c r="E2410" s="2">
        <v>317412</v>
      </c>
      <c r="F2410" s="2">
        <v>317412</v>
      </c>
    </row>
    <row r="2411" spans="1:6" x14ac:dyDescent="0.25">
      <c r="A2411" s="1">
        <v>44986</v>
      </c>
      <c r="B2411" t="s">
        <v>162</v>
      </c>
      <c r="C2411" t="s">
        <v>218</v>
      </c>
      <c r="D2411" s="2">
        <v>320575836</v>
      </c>
      <c r="E2411" s="2">
        <v>318990000</v>
      </c>
      <c r="F2411" s="2">
        <v>318990000</v>
      </c>
    </row>
    <row r="2412" spans="1:6" x14ac:dyDescent="0.25">
      <c r="A2412" s="1">
        <v>44986</v>
      </c>
      <c r="B2412" t="s">
        <v>118</v>
      </c>
      <c r="C2412" t="s">
        <v>730</v>
      </c>
      <c r="D2412">
        <v>0</v>
      </c>
      <c r="E2412">
        <v>0</v>
      </c>
      <c r="F2412">
        <v>0</v>
      </c>
    </row>
    <row r="2413" spans="1:6" x14ac:dyDescent="0.25">
      <c r="A2413" s="1">
        <v>44986</v>
      </c>
      <c r="B2413" t="s">
        <v>75</v>
      </c>
      <c r="C2413" t="s">
        <v>85</v>
      </c>
      <c r="D2413" s="2">
        <v>15982.15</v>
      </c>
      <c r="E2413">
        <v>0</v>
      </c>
      <c r="F2413">
        <v>0</v>
      </c>
    </row>
    <row r="2414" spans="1:6" x14ac:dyDescent="0.25">
      <c r="A2414" s="1">
        <v>44986</v>
      </c>
      <c r="B2414" t="s">
        <v>196</v>
      </c>
      <c r="C2414" t="s">
        <v>806</v>
      </c>
      <c r="D2414">
        <v>0</v>
      </c>
      <c r="E2414">
        <v>0</v>
      </c>
      <c r="F2414">
        <v>0</v>
      </c>
    </row>
    <row r="2415" spans="1:6" x14ac:dyDescent="0.25">
      <c r="A2415" s="1">
        <v>44986</v>
      </c>
      <c r="B2415" t="s">
        <v>42</v>
      </c>
      <c r="C2415" t="s">
        <v>1142</v>
      </c>
      <c r="D2415">
        <v>0</v>
      </c>
      <c r="E2415">
        <v>0</v>
      </c>
      <c r="F2415">
        <v>0</v>
      </c>
    </row>
    <row r="2416" spans="1:6" x14ac:dyDescent="0.25">
      <c r="A2416" s="1">
        <v>44986</v>
      </c>
      <c r="B2416" t="s">
        <v>21</v>
      </c>
      <c r="C2416" t="s">
        <v>775</v>
      </c>
      <c r="D2416">
        <v>0</v>
      </c>
      <c r="E2416">
        <v>0</v>
      </c>
      <c r="F2416">
        <v>0</v>
      </c>
    </row>
    <row r="2417" spans="1:6" x14ac:dyDescent="0.25">
      <c r="A2417" s="1">
        <v>44986</v>
      </c>
      <c r="B2417" t="s">
        <v>13</v>
      </c>
      <c r="C2417" t="s">
        <v>446</v>
      </c>
      <c r="D2417" s="2">
        <v>-9976108.5800000001</v>
      </c>
      <c r="E2417">
        <v>0</v>
      </c>
      <c r="F2417" s="2">
        <v>3454572.25</v>
      </c>
    </row>
    <row r="2418" spans="1:6" x14ac:dyDescent="0.25">
      <c r="A2418" s="1">
        <v>44986</v>
      </c>
      <c r="B2418" t="s">
        <v>118</v>
      </c>
      <c r="C2418" t="s">
        <v>486</v>
      </c>
      <c r="D2418">
        <v>0</v>
      </c>
      <c r="E2418">
        <v>0</v>
      </c>
      <c r="F2418">
        <v>0</v>
      </c>
    </row>
    <row r="2419" spans="1:6" x14ac:dyDescent="0.25">
      <c r="A2419" s="1">
        <v>44986</v>
      </c>
      <c r="B2419" t="s">
        <v>15</v>
      </c>
      <c r="C2419" t="s">
        <v>1043</v>
      </c>
      <c r="D2419" s="2">
        <v>7463681.9699999997</v>
      </c>
      <c r="E2419">
        <v>0</v>
      </c>
      <c r="F2419">
        <v>0</v>
      </c>
    </row>
    <row r="2420" spans="1:6" x14ac:dyDescent="0.25">
      <c r="A2420" s="1">
        <v>44986</v>
      </c>
      <c r="B2420" t="s">
        <v>648</v>
      </c>
      <c r="C2420" t="s">
        <v>649</v>
      </c>
      <c r="D2420" s="2">
        <v>2293693.4</v>
      </c>
      <c r="E2420" s="2">
        <v>567830.67000000004</v>
      </c>
      <c r="F2420" s="2">
        <v>567830.67000000004</v>
      </c>
    </row>
    <row r="2421" spans="1:6" x14ac:dyDescent="0.25">
      <c r="A2421" s="1">
        <v>44986</v>
      </c>
      <c r="B2421" t="s">
        <v>90</v>
      </c>
      <c r="C2421" t="s">
        <v>73</v>
      </c>
      <c r="D2421" s="2">
        <v>298913.71999999997</v>
      </c>
      <c r="E2421">
        <v>0</v>
      </c>
      <c r="F2421">
        <v>0</v>
      </c>
    </row>
    <row r="2422" spans="1:6" x14ac:dyDescent="0.25">
      <c r="A2422" s="1">
        <v>44986</v>
      </c>
      <c r="B2422" t="s">
        <v>726</v>
      </c>
      <c r="C2422" t="s">
        <v>918</v>
      </c>
      <c r="D2422" s="2">
        <v>47282.66</v>
      </c>
      <c r="E2422" s="2">
        <v>99213.6</v>
      </c>
      <c r="F2422" s="2">
        <v>39699.120000000003</v>
      </c>
    </row>
    <row r="2423" spans="1:6" x14ac:dyDescent="0.25">
      <c r="A2423" s="1">
        <v>44986</v>
      </c>
      <c r="B2423" t="s">
        <v>383</v>
      </c>
      <c r="C2423" t="s">
        <v>754</v>
      </c>
      <c r="D2423">
        <v>0</v>
      </c>
      <c r="E2423">
        <v>0</v>
      </c>
      <c r="F2423">
        <v>0</v>
      </c>
    </row>
    <row r="2424" spans="1:6" x14ac:dyDescent="0.25">
      <c r="A2424" s="1">
        <v>44986</v>
      </c>
      <c r="B2424" t="s">
        <v>42</v>
      </c>
      <c r="C2424" t="s">
        <v>670</v>
      </c>
      <c r="D2424" s="2">
        <v>3535374.24</v>
      </c>
      <c r="E2424" s="2">
        <v>819307.68</v>
      </c>
      <c r="F2424" s="2">
        <v>1182583.1299999999</v>
      </c>
    </row>
    <row r="2425" spans="1:6" x14ac:dyDescent="0.25">
      <c r="A2425" s="1">
        <v>44986</v>
      </c>
      <c r="B2425" t="s">
        <v>92</v>
      </c>
      <c r="C2425" t="s">
        <v>862</v>
      </c>
      <c r="D2425" s="2">
        <v>218287.59</v>
      </c>
      <c r="E2425" s="2">
        <v>338225.19</v>
      </c>
      <c r="F2425" s="2">
        <v>338225.19</v>
      </c>
    </row>
    <row r="2426" spans="1:6" x14ac:dyDescent="0.25">
      <c r="A2426" s="1">
        <v>44986</v>
      </c>
      <c r="B2426" t="s">
        <v>842</v>
      </c>
      <c r="C2426" t="s">
        <v>843</v>
      </c>
      <c r="D2426" s="2">
        <v>14798296.710000001</v>
      </c>
      <c r="E2426" s="2">
        <v>8335479.0099999998</v>
      </c>
      <c r="F2426" s="2">
        <v>7519295.5499999998</v>
      </c>
    </row>
    <row r="2427" spans="1:6" x14ac:dyDescent="0.25">
      <c r="A2427" s="1">
        <v>44986</v>
      </c>
      <c r="B2427" t="s">
        <v>48</v>
      </c>
      <c r="C2427" t="s">
        <v>1143</v>
      </c>
      <c r="D2427" s="2">
        <v>3829657</v>
      </c>
      <c r="E2427" s="2">
        <v>783800.63</v>
      </c>
      <c r="F2427" s="2">
        <v>783800.63</v>
      </c>
    </row>
    <row r="2428" spans="1:6" x14ac:dyDescent="0.25">
      <c r="A2428" s="1">
        <v>44986</v>
      </c>
      <c r="B2428" t="s">
        <v>42</v>
      </c>
      <c r="C2428" t="s">
        <v>447</v>
      </c>
      <c r="D2428">
        <v>0</v>
      </c>
      <c r="E2428">
        <v>0</v>
      </c>
      <c r="F2428">
        <v>0</v>
      </c>
    </row>
    <row r="2429" spans="1:6" x14ac:dyDescent="0.25">
      <c r="A2429" s="1">
        <v>44986</v>
      </c>
      <c r="B2429" t="s">
        <v>127</v>
      </c>
      <c r="C2429" t="s">
        <v>171</v>
      </c>
      <c r="D2429" s="2">
        <v>100761.28</v>
      </c>
      <c r="E2429">
        <v>303.82</v>
      </c>
      <c r="F2429">
        <v>303.82</v>
      </c>
    </row>
    <row r="2430" spans="1:6" x14ac:dyDescent="0.25">
      <c r="A2430" s="1">
        <v>44986</v>
      </c>
      <c r="B2430" t="s">
        <v>196</v>
      </c>
      <c r="C2430" t="s">
        <v>1144</v>
      </c>
      <c r="D2430">
        <v>0</v>
      </c>
      <c r="E2430">
        <v>0</v>
      </c>
      <c r="F2430">
        <v>0</v>
      </c>
    </row>
    <row r="2431" spans="1:6" x14ac:dyDescent="0.25">
      <c r="A2431" s="1">
        <v>44986</v>
      </c>
      <c r="B2431" t="s">
        <v>726</v>
      </c>
      <c r="C2431" t="s">
        <v>763</v>
      </c>
      <c r="D2431" s="2">
        <v>492834.56</v>
      </c>
      <c r="E2431" s="2">
        <v>600191.18000000005</v>
      </c>
      <c r="F2431" s="2">
        <v>383391.42</v>
      </c>
    </row>
    <row r="2432" spans="1:6" x14ac:dyDescent="0.25">
      <c r="A2432" s="1">
        <v>44986</v>
      </c>
      <c r="B2432" t="s">
        <v>159</v>
      </c>
      <c r="C2432" t="s">
        <v>302</v>
      </c>
      <c r="D2432" s="2">
        <v>76236.73</v>
      </c>
      <c r="E2432" s="2">
        <v>112418.4</v>
      </c>
      <c r="F2432" s="2">
        <v>112418.4</v>
      </c>
    </row>
    <row r="2433" spans="1:6" x14ac:dyDescent="0.25">
      <c r="A2433" s="1">
        <v>44986</v>
      </c>
      <c r="B2433" t="s">
        <v>344</v>
      </c>
      <c r="C2433" t="s">
        <v>1145</v>
      </c>
      <c r="D2433" s="2">
        <v>1203.28</v>
      </c>
      <c r="E2433">
        <v>0</v>
      </c>
      <c r="F2433">
        <v>0</v>
      </c>
    </row>
    <row r="2434" spans="1:6" x14ac:dyDescent="0.25">
      <c r="A2434" s="1">
        <v>44986</v>
      </c>
      <c r="B2434" t="s">
        <v>37</v>
      </c>
      <c r="C2434" t="s">
        <v>728</v>
      </c>
      <c r="D2434" s="2">
        <v>509092.46</v>
      </c>
      <c r="E2434" s="2">
        <v>3743.33</v>
      </c>
      <c r="F2434">
        <v>0</v>
      </c>
    </row>
    <row r="2435" spans="1:6" x14ac:dyDescent="0.25">
      <c r="A2435" s="1">
        <v>44986</v>
      </c>
      <c r="B2435" t="s">
        <v>107</v>
      </c>
      <c r="C2435" t="s">
        <v>506</v>
      </c>
      <c r="D2435">
        <v>0</v>
      </c>
      <c r="E2435">
        <v>0</v>
      </c>
      <c r="F2435">
        <v>0</v>
      </c>
    </row>
    <row r="2436" spans="1:6" x14ac:dyDescent="0.25">
      <c r="A2436" s="1">
        <v>44986</v>
      </c>
      <c r="B2436" t="s">
        <v>13</v>
      </c>
      <c r="C2436" t="s">
        <v>711</v>
      </c>
      <c r="D2436" s="2">
        <v>1392970.07</v>
      </c>
      <c r="E2436" s="2">
        <v>2367258.2400000002</v>
      </c>
      <c r="F2436" s="2">
        <v>2370549.96</v>
      </c>
    </row>
    <row r="2437" spans="1:6" x14ac:dyDescent="0.25">
      <c r="A2437" s="1">
        <v>44986</v>
      </c>
      <c r="B2437" t="s">
        <v>225</v>
      </c>
      <c r="C2437" t="s">
        <v>571</v>
      </c>
      <c r="D2437">
        <v>0</v>
      </c>
      <c r="E2437">
        <v>0</v>
      </c>
      <c r="F2437">
        <v>0</v>
      </c>
    </row>
    <row r="2438" spans="1:6" x14ac:dyDescent="0.25">
      <c r="A2438" s="1">
        <v>44986</v>
      </c>
      <c r="B2438" t="s">
        <v>726</v>
      </c>
      <c r="C2438" t="s">
        <v>789</v>
      </c>
      <c r="D2438" s="2">
        <v>695809.11</v>
      </c>
      <c r="E2438" s="2">
        <v>810815.71</v>
      </c>
      <c r="F2438" s="2">
        <v>557272.85</v>
      </c>
    </row>
    <row r="2439" spans="1:6" x14ac:dyDescent="0.25">
      <c r="A2439" s="1">
        <v>44986</v>
      </c>
      <c r="B2439" t="s">
        <v>98</v>
      </c>
      <c r="C2439" t="s">
        <v>413</v>
      </c>
      <c r="D2439">
        <v>0</v>
      </c>
      <c r="E2439">
        <v>0</v>
      </c>
      <c r="F2439">
        <v>0</v>
      </c>
    </row>
    <row r="2440" spans="1:6" x14ac:dyDescent="0.25">
      <c r="A2440" s="1">
        <v>44986</v>
      </c>
      <c r="B2440" t="s">
        <v>101</v>
      </c>
      <c r="C2440" t="s">
        <v>780</v>
      </c>
      <c r="D2440" s="2">
        <v>483737.14</v>
      </c>
      <c r="E2440" s="2">
        <v>1884973.07</v>
      </c>
      <c r="F2440" s="2">
        <v>1694012.38</v>
      </c>
    </row>
    <row r="2441" spans="1:6" x14ac:dyDescent="0.25">
      <c r="A2441" s="1">
        <v>44986</v>
      </c>
      <c r="B2441" t="s">
        <v>9</v>
      </c>
      <c r="C2441" t="s">
        <v>881</v>
      </c>
      <c r="D2441" s="2">
        <v>1505040.15</v>
      </c>
      <c r="E2441" s="2">
        <v>1304047.26</v>
      </c>
      <c r="F2441" s="2">
        <v>724047.26</v>
      </c>
    </row>
    <row r="2442" spans="1:6" x14ac:dyDescent="0.25">
      <c r="A2442" s="1">
        <v>44986</v>
      </c>
      <c r="B2442" t="s">
        <v>46</v>
      </c>
      <c r="C2442" t="s">
        <v>852</v>
      </c>
      <c r="D2442" s="2">
        <v>80500</v>
      </c>
      <c r="E2442" s="2">
        <v>49676.75</v>
      </c>
      <c r="F2442" s="2">
        <v>43596.24</v>
      </c>
    </row>
    <row r="2443" spans="1:6" x14ac:dyDescent="0.25">
      <c r="A2443" s="1">
        <v>44986</v>
      </c>
      <c r="B2443" t="s">
        <v>185</v>
      </c>
      <c r="C2443" t="s">
        <v>968</v>
      </c>
      <c r="D2443" s="2">
        <v>12636000</v>
      </c>
      <c r="E2443" s="2">
        <v>2778492</v>
      </c>
      <c r="F2443" s="2">
        <v>2778492</v>
      </c>
    </row>
    <row r="2444" spans="1:6" x14ac:dyDescent="0.25">
      <c r="A2444" s="1">
        <v>44986</v>
      </c>
      <c r="B2444" t="s">
        <v>251</v>
      </c>
      <c r="C2444" t="s">
        <v>725</v>
      </c>
      <c r="D2444" s="2">
        <v>87244802.709999993</v>
      </c>
      <c r="E2444" s="2">
        <v>38881352.359999999</v>
      </c>
      <c r="F2444" s="2">
        <v>38881352.359999999</v>
      </c>
    </row>
    <row r="2445" spans="1:6" x14ac:dyDescent="0.25">
      <c r="A2445" s="1">
        <v>44986</v>
      </c>
      <c r="B2445" t="s">
        <v>42</v>
      </c>
      <c r="C2445" t="s">
        <v>736</v>
      </c>
      <c r="D2445" s="2">
        <v>13579402.74</v>
      </c>
      <c r="E2445" s="2">
        <v>28339981.920000002</v>
      </c>
      <c r="F2445" s="2">
        <v>28503827.379999999</v>
      </c>
    </row>
    <row r="2446" spans="1:6" x14ac:dyDescent="0.25">
      <c r="A2446" s="1">
        <v>44986</v>
      </c>
      <c r="B2446" t="s">
        <v>40</v>
      </c>
      <c r="C2446" t="s">
        <v>591</v>
      </c>
      <c r="D2446" s="2">
        <v>13886063.390000001</v>
      </c>
      <c r="E2446" s="2">
        <v>7610208.9500000002</v>
      </c>
      <c r="F2446" s="2">
        <v>5695040.2199999997</v>
      </c>
    </row>
    <row r="2447" spans="1:6" x14ac:dyDescent="0.25">
      <c r="A2447" s="1">
        <v>44986</v>
      </c>
      <c r="B2447" t="s">
        <v>46</v>
      </c>
      <c r="C2447" t="s">
        <v>712</v>
      </c>
      <c r="D2447" s="2">
        <v>6808000</v>
      </c>
      <c r="E2447" s="2">
        <v>5543445.6600000001</v>
      </c>
      <c r="F2447" s="2">
        <v>17409765.02</v>
      </c>
    </row>
    <row r="2448" spans="1:6" x14ac:dyDescent="0.25">
      <c r="A2448" s="1">
        <v>44986</v>
      </c>
      <c r="B2448" t="s">
        <v>15</v>
      </c>
      <c r="C2448" t="s">
        <v>111</v>
      </c>
      <c r="D2448" s="2">
        <v>74276.08</v>
      </c>
      <c r="E2448">
        <v>0</v>
      </c>
      <c r="F2448">
        <v>0</v>
      </c>
    </row>
    <row r="2449" spans="1:6" x14ac:dyDescent="0.25">
      <c r="A2449" s="1">
        <v>44986</v>
      </c>
      <c r="B2449" t="s">
        <v>37</v>
      </c>
      <c r="C2449" t="s">
        <v>840</v>
      </c>
      <c r="D2449" s="2">
        <v>16656.75</v>
      </c>
      <c r="E2449" s="2">
        <v>2759.16</v>
      </c>
      <c r="F2449" s="2">
        <v>2499.9</v>
      </c>
    </row>
    <row r="2450" spans="1:6" x14ac:dyDescent="0.25">
      <c r="A2450" s="1">
        <v>44986</v>
      </c>
      <c r="B2450" t="s">
        <v>23</v>
      </c>
      <c r="C2450" t="s">
        <v>281</v>
      </c>
      <c r="D2450">
        <v>0</v>
      </c>
      <c r="E2450">
        <v>0</v>
      </c>
      <c r="F2450">
        <v>0</v>
      </c>
    </row>
    <row r="2451" spans="1:6" x14ac:dyDescent="0.25">
      <c r="A2451" s="1">
        <v>44986</v>
      </c>
      <c r="B2451" t="s">
        <v>23</v>
      </c>
      <c r="C2451" t="s">
        <v>633</v>
      </c>
      <c r="D2451" s="2">
        <v>6769948.1299999999</v>
      </c>
      <c r="E2451" s="2">
        <v>86785.919999999998</v>
      </c>
      <c r="F2451" s="2">
        <v>72707.08</v>
      </c>
    </row>
    <row r="2452" spans="1:6" x14ac:dyDescent="0.25">
      <c r="A2452" s="1">
        <v>44986</v>
      </c>
      <c r="B2452" t="s">
        <v>40</v>
      </c>
      <c r="C2452" t="s">
        <v>805</v>
      </c>
      <c r="D2452" s="2">
        <v>171845962.88</v>
      </c>
      <c r="E2452" s="2">
        <v>1825.73</v>
      </c>
      <c r="F2452" s="2">
        <v>1825.73</v>
      </c>
    </row>
    <row r="2453" spans="1:6" x14ac:dyDescent="0.25">
      <c r="A2453" s="1">
        <v>44986</v>
      </c>
      <c r="B2453" t="s">
        <v>306</v>
      </c>
      <c r="C2453" t="s">
        <v>307</v>
      </c>
      <c r="D2453" s="2">
        <v>2336724.69</v>
      </c>
      <c r="E2453" s="2">
        <v>2479600.52</v>
      </c>
      <c r="F2453" s="2">
        <v>2235987.09</v>
      </c>
    </row>
    <row r="2454" spans="1:6" x14ac:dyDescent="0.25">
      <c r="A2454" s="1">
        <v>44986</v>
      </c>
      <c r="B2454" t="s">
        <v>40</v>
      </c>
      <c r="C2454" t="s">
        <v>487</v>
      </c>
      <c r="D2454" s="2">
        <v>546359008.94000006</v>
      </c>
      <c r="E2454" s="2">
        <v>2686467521</v>
      </c>
      <c r="F2454" s="2">
        <v>2481296362.6900001</v>
      </c>
    </row>
    <row r="2455" spans="1:6" x14ac:dyDescent="0.25">
      <c r="A2455" s="1">
        <v>44986</v>
      </c>
      <c r="B2455" t="s">
        <v>50</v>
      </c>
      <c r="C2455" t="s">
        <v>1146</v>
      </c>
      <c r="D2455" s="2">
        <v>50000000</v>
      </c>
      <c r="E2455">
        <v>0</v>
      </c>
      <c r="F2455">
        <v>0</v>
      </c>
    </row>
    <row r="2456" spans="1:6" x14ac:dyDescent="0.25">
      <c r="A2456" s="1">
        <v>44986</v>
      </c>
      <c r="B2456" t="s">
        <v>185</v>
      </c>
      <c r="C2456" t="s">
        <v>304</v>
      </c>
      <c r="D2456" s="2">
        <v>120532082.97</v>
      </c>
      <c r="E2456" s="2">
        <v>104197742.11</v>
      </c>
      <c r="F2456" s="2">
        <v>104197742.11</v>
      </c>
    </row>
    <row r="2457" spans="1:6" x14ac:dyDescent="0.25">
      <c r="A2457" s="1">
        <v>44986</v>
      </c>
      <c r="B2457" t="s">
        <v>40</v>
      </c>
      <c r="C2457" t="s">
        <v>539</v>
      </c>
      <c r="D2457" s="2">
        <v>107876.24</v>
      </c>
      <c r="E2457">
        <v>0</v>
      </c>
      <c r="F2457">
        <v>0</v>
      </c>
    </row>
    <row r="2458" spans="1:6" x14ac:dyDescent="0.25">
      <c r="A2458" s="1">
        <v>44986</v>
      </c>
      <c r="B2458" t="s">
        <v>9</v>
      </c>
      <c r="C2458" t="s">
        <v>598</v>
      </c>
      <c r="D2458" s="2">
        <v>505913.26</v>
      </c>
      <c r="E2458" s="2">
        <v>68513.350000000006</v>
      </c>
      <c r="F2458" s="2">
        <v>98340.79</v>
      </c>
    </row>
    <row r="2459" spans="1:6" x14ac:dyDescent="0.25">
      <c r="A2459" s="1">
        <v>44986</v>
      </c>
      <c r="B2459" t="s">
        <v>40</v>
      </c>
      <c r="C2459" t="s">
        <v>599</v>
      </c>
      <c r="D2459" s="2">
        <v>52082505.93</v>
      </c>
      <c r="E2459" s="2">
        <v>80609528.969999999</v>
      </c>
      <c r="F2459" s="2">
        <v>96841612.170000002</v>
      </c>
    </row>
    <row r="2460" spans="1:6" x14ac:dyDescent="0.25">
      <c r="A2460" s="1">
        <v>44986</v>
      </c>
      <c r="B2460" t="s">
        <v>23</v>
      </c>
      <c r="C2460" t="s">
        <v>117</v>
      </c>
      <c r="D2460" s="2">
        <v>727252.09</v>
      </c>
      <c r="E2460" s="2">
        <v>138078.79999999999</v>
      </c>
      <c r="F2460" s="2">
        <v>67929.570000000007</v>
      </c>
    </row>
    <row r="2461" spans="1:6" x14ac:dyDescent="0.25">
      <c r="A2461" s="1">
        <v>44986</v>
      </c>
      <c r="B2461" t="s">
        <v>278</v>
      </c>
      <c r="C2461" t="s">
        <v>688</v>
      </c>
      <c r="D2461" s="2">
        <v>430000</v>
      </c>
      <c r="E2461" s="2">
        <v>3218578249.8400002</v>
      </c>
      <c r="F2461" s="2">
        <v>3188101168.8299999</v>
      </c>
    </row>
    <row r="2462" spans="1:6" x14ac:dyDescent="0.25">
      <c r="A2462" s="1">
        <v>44986</v>
      </c>
      <c r="B2462" t="s">
        <v>40</v>
      </c>
      <c r="C2462" t="s">
        <v>803</v>
      </c>
      <c r="D2462">
        <v>0</v>
      </c>
      <c r="E2462" s="2">
        <v>357882.57</v>
      </c>
      <c r="F2462" s="2">
        <v>337105.21</v>
      </c>
    </row>
    <row r="2463" spans="1:6" x14ac:dyDescent="0.25">
      <c r="A2463" s="1">
        <v>44986</v>
      </c>
      <c r="B2463" t="s">
        <v>162</v>
      </c>
      <c r="C2463" t="s">
        <v>178</v>
      </c>
      <c r="D2463" s="2">
        <v>202937086.52000001</v>
      </c>
      <c r="E2463" s="2">
        <v>296376451.86000001</v>
      </c>
      <c r="F2463" s="2">
        <v>296376451.86000001</v>
      </c>
    </row>
    <row r="2464" spans="1:6" x14ac:dyDescent="0.25">
      <c r="A2464" s="1">
        <v>44986</v>
      </c>
      <c r="B2464" t="s">
        <v>29</v>
      </c>
      <c r="C2464" t="s">
        <v>260</v>
      </c>
      <c r="D2464" s="2">
        <v>164306316.13</v>
      </c>
      <c r="E2464" s="2">
        <v>109453590.15000001</v>
      </c>
      <c r="F2464" s="2">
        <v>84730201.659999996</v>
      </c>
    </row>
    <row r="2465" spans="1:6" x14ac:dyDescent="0.25">
      <c r="A2465" s="1">
        <v>44986</v>
      </c>
      <c r="B2465" t="s">
        <v>143</v>
      </c>
      <c r="C2465" t="s">
        <v>144</v>
      </c>
      <c r="D2465" s="2">
        <v>2094000</v>
      </c>
      <c r="E2465" s="2">
        <v>2094000</v>
      </c>
      <c r="F2465" s="2">
        <v>2094000</v>
      </c>
    </row>
    <row r="2466" spans="1:6" x14ac:dyDescent="0.25">
      <c r="A2466" s="1">
        <v>44986</v>
      </c>
      <c r="B2466" t="s">
        <v>35</v>
      </c>
      <c r="C2466" t="s">
        <v>293</v>
      </c>
      <c r="D2466" s="2">
        <v>6890619.5700000003</v>
      </c>
      <c r="E2466" s="2">
        <v>511603.91</v>
      </c>
      <c r="F2466" s="2">
        <v>511603.91</v>
      </c>
    </row>
    <row r="2467" spans="1:6" x14ac:dyDescent="0.25">
      <c r="A2467" s="1">
        <v>44986</v>
      </c>
      <c r="B2467" t="s">
        <v>114</v>
      </c>
      <c r="C2467" t="s">
        <v>1062</v>
      </c>
      <c r="D2467">
        <v>0</v>
      </c>
      <c r="E2467">
        <v>0</v>
      </c>
      <c r="F2467">
        <v>0</v>
      </c>
    </row>
    <row r="2468" spans="1:6" x14ac:dyDescent="0.25">
      <c r="A2468" s="1">
        <v>44986</v>
      </c>
      <c r="B2468" t="s">
        <v>132</v>
      </c>
      <c r="C2468" t="s">
        <v>415</v>
      </c>
      <c r="D2468">
        <v>0</v>
      </c>
      <c r="E2468">
        <v>0</v>
      </c>
      <c r="F2468">
        <v>0</v>
      </c>
    </row>
    <row r="2469" spans="1:6" x14ac:dyDescent="0.25">
      <c r="A2469" s="1">
        <v>44986</v>
      </c>
      <c r="B2469" t="s">
        <v>143</v>
      </c>
      <c r="C2469" t="s">
        <v>507</v>
      </c>
      <c r="D2469" s="2">
        <v>652489488</v>
      </c>
      <c r="E2469" s="2">
        <v>652489488</v>
      </c>
      <c r="F2469" s="2">
        <v>652489488</v>
      </c>
    </row>
    <row r="2470" spans="1:6" x14ac:dyDescent="0.25">
      <c r="A2470" s="1">
        <v>44986</v>
      </c>
      <c r="B2470" t="s">
        <v>272</v>
      </c>
      <c r="C2470" t="s">
        <v>544</v>
      </c>
      <c r="D2470" s="2">
        <v>1610909.78</v>
      </c>
      <c r="E2470" s="2">
        <v>3888313.07</v>
      </c>
      <c r="F2470" s="2">
        <v>3899047.82</v>
      </c>
    </row>
    <row r="2471" spans="1:6" x14ac:dyDescent="0.25">
      <c r="A2471" s="1">
        <v>44986</v>
      </c>
      <c r="B2471" t="s">
        <v>40</v>
      </c>
      <c r="C2471" t="s">
        <v>857</v>
      </c>
      <c r="D2471" s="2">
        <v>21090469.399999999</v>
      </c>
      <c r="E2471" s="2">
        <v>1962438880.47</v>
      </c>
      <c r="F2471" s="2">
        <v>1932398216.3800001</v>
      </c>
    </row>
    <row r="2472" spans="1:6" x14ac:dyDescent="0.25">
      <c r="A2472" s="1">
        <v>44986</v>
      </c>
      <c r="B2472" t="s">
        <v>40</v>
      </c>
      <c r="C2472" t="s">
        <v>815</v>
      </c>
      <c r="D2472" s="2">
        <v>25000</v>
      </c>
      <c r="E2472" s="2">
        <v>41602.14</v>
      </c>
      <c r="F2472" s="2">
        <v>23101.54</v>
      </c>
    </row>
    <row r="2473" spans="1:6" x14ac:dyDescent="0.25">
      <c r="A2473" s="1">
        <v>44986</v>
      </c>
      <c r="B2473" t="s">
        <v>29</v>
      </c>
      <c r="C2473" t="s">
        <v>804</v>
      </c>
      <c r="D2473" s="2">
        <v>1966865.57</v>
      </c>
      <c r="E2473" s="2">
        <v>1319101.96</v>
      </c>
      <c r="F2473" s="2">
        <v>1242611.04</v>
      </c>
    </row>
    <row r="2474" spans="1:6" x14ac:dyDescent="0.25">
      <c r="A2474" s="1">
        <v>44986</v>
      </c>
      <c r="B2474" t="s">
        <v>278</v>
      </c>
      <c r="C2474" t="s">
        <v>900</v>
      </c>
      <c r="D2474">
        <v>0</v>
      </c>
      <c r="E2474" s="2">
        <v>128292.66</v>
      </c>
      <c r="F2474" s="2">
        <v>128993.47</v>
      </c>
    </row>
    <row r="2475" spans="1:6" x14ac:dyDescent="0.25">
      <c r="A2475" s="1">
        <v>44986</v>
      </c>
      <c r="B2475" t="s">
        <v>40</v>
      </c>
      <c r="C2475" t="s">
        <v>466</v>
      </c>
      <c r="D2475" s="2">
        <v>-47000</v>
      </c>
      <c r="E2475">
        <v>0</v>
      </c>
      <c r="F2475" s="2">
        <v>9425.77</v>
      </c>
    </row>
    <row r="2476" spans="1:6" x14ac:dyDescent="0.25">
      <c r="A2476" s="1">
        <v>44986</v>
      </c>
      <c r="B2476" t="s">
        <v>196</v>
      </c>
      <c r="C2476" t="s">
        <v>563</v>
      </c>
      <c r="D2476">
        <v>0</v>
      </c>
      <c r="E2476">
        <v>0</v>
      </c>
      <c r="F2476">
        <v>0</v>
      </c>
    </row>
    <row r="2477" spans="1:6" x14ac:dyDescent="0.25">
      <c r="A2477" s="1">
        <v>44986</v>
      </c>
      <c r="B2477" t="s">
        <v>40</v>
      </c>
      <c r="C2477" t="s">
        <v>311</v>
      </c>
      <c r="D2477" s="2">
        <v>6275164.6600000001</v>
      </c>
      <c r="E2477" s="2">
        <v>609670.94999999995</v>
      </c>
      <c r="F2477" s="2">
        <v>593651.06999999995</v>
      </c>
    </row>
    <row r="2478" spans="1:6" x14ac:dyDescent="0.25">
      <c r="A2478" s="1">
        <v>44986</v>
      </c>
      <c r="B2478" t="s">
        <v>75</v>
      </c>
      <c r="C2478" t="s">
        <v>76</v>
      </c>
      <c r="D2478">
        <v>0</v>
      </c>
      <c r="E2478">
        <v>0</v>
      </c>
      <c r="F2478">
        <v>0</v>
      </c>
    </row>
    <row r="2479" spans="1:6" x14ac:dyDescent="0.25">
      <c r="A2479" s="1">
        <v>44986</v>
      </c>
      <c r="B2479" t="s">
        <v>105</v>
      </c>
      <c r="C2479" t="s">
        <v>922</v>
      </c>
      <c r="D2479">
        <v>0</v>
      </c>
      <c r="E2479">
        <v>0</v>
      </c>
      <c r="F2479">
        <v>0</v>
      </c>
    </row>
    <row r="2480" spans="1:6" x14ac:dyDescent="0.25">
      <c r="A2480" s="1">
        <v>44986</v>
      </c>
      <c r="B2480" t="s">
        <v>65</v>
      </c>
      <c r="C2480" t="s">
        <v>883</v>
      </c>
      <c r="D2480" s="2">
        <v>184936988.47</v>
      </c>
      <c r="E2480" s="2">
        <v>2904083.4</v>
      </c>
      <c r="F2480" s="2">
        <v>2946075.31</v>
      </c>
    </row>
    <row r="2481" spans="1:6" x14ac:dyDescent="0.25">
      <c r="A2481" s="1">
        <v>44986</v>
      </c>
      <c r="B2481" t="s">
        <v>21</v>
      </c>
      <c r="C2481" t="s">
        <v>462</v>
      </c>
      <c r="D2481" s="2">
        <v>96370000</v>
      </c>
      <c r="E2481">
        <v>0</v>
      </c>
      <c r="F2481">
        <v>0</v>
      </c>
    </row>
    <row r="2482" spans="1:6" x14ac:dyDescent="0.25">
      <c r="A2482" s="1">
        <v>44986</v>
      </c>
      <c r="B2482" t="s">
        <v>50</v>
      </c>
      <c r="C2482" t="s">
        <v>320</v>
      </c>
      <c r="D2482" s="2">
        <v>11508411.32</v>
      </c>
      <c r="E2482" s="2">
        <v>421783.99</v>
      </c>
      <c r="F2482" s="2">
        <v>14391.59</v>
      </c>
    </row>
    <row r="2483" spans="1:6" x14ac:dyDescent="0.25">
      <c r="A2483" s="1">
        <v>44986</v>
      </c>
      <c r="B2483" t="s">
        <v>648</v>
      </c>
      <c r="C2483" t="s">
        <v>765</v>
      </c>
      <c r="D2483" s="2">
        <v>327143.62</v>
      </c>
      <c r="E2483" s="2">
        <v>276019.42</v>
      </c>
      <c r="F2483" s="2">
        <v>226903.88</v>
      </c>
    </row>
    <row r="2484" spans="1:6" x14ac:dyDescent="0.25">
      <c r="A2484" s="1">
        <v>44986</v>
      </c>
      <c r="B2484" t="s">
        <v>27</v>
      </c>
      <c r="C2484" t="s">
        <v>788</v>
      </c>
      <c r="D2484" s="2">
        <v>120000</v>
      </c>
      <c r="E2484" s="2">
        <v>61593.24</v>
      </c>
      <c r="F2484" s="2">
        <v>71655.19</v>
      </c>
    </row>
    <row r="2485" spans="1:6" x14ac:dyDescent="0.25">
      <c r="A2485" s="1">
        <v>44986</v>
      </c>
      <c r="B2485" t="s">
        <v>23</v>
      </c>
      <c r="C2485" t="s">
        <v>611</v>
      </c>
      <c r="D2485" s="2">
        <v>-595765.54</v>
      </c>
      <c r="E2485" s="2">
        <v>68874.720000000001</v>
      </c>
      <c r="F2485" s="2">
        <v>32612569.09</v>
      </c>
    </row>
    <row r="2486" spans="1:6" x14ac:dyDescent="0.25">
      <c r="A2486" s="1">
        <v>44986</v>
      </c>
      <c r="B2486" t="s">
        <v>476</v>
      </c>
      <c r="C2486" t="s">
        <v>477</v>
      </c>
      <c r="D2486">
        <v>0</v>
      </c>
      <c r="E2486">
        <v>0</v>
      </c>
      <c r="F2486">
        <v>0</v>
      </c>
    </row>
    <row r="2487" spans="1:6" x14ac:dyDescent="0.25">
      <c r="A2487" s="1">
        <v>44986</v>
      </c>
      <c r="B2487" t="s">
        <v>17</v>
      </c>
      <c r="C2487" t="s">
        <v>951</v>
      </c>
      <c r="D2487">
        <v>0</v>
      </c>
      <c r="E2487">
        <v>0</v>
      </c>
      <c r="F2487">
        <v>0</v>
      </c>
    </row>
    <row r="2488" spans="1:6" x14ac:dyDescent="0.25">
      <c r="A2488" s="1">
        <v>44986</v>
      </c>
      <c r="B2488" t="s">
        <v>50</v>
      </c>
      <c r="C2488" t="s">
        <v>1147</v>
      </c>
      <c r="D2488" s="2">
        <v>50000000</v>
      </c>
      <c r="E2488">
        <v>0</v>
      </c>
      <c r="F2488">
        <v>0</v>
      </c>
    </row>
    <row r="2489" spans="1:6" x14ac:dyDescent="0.25">
      <c r="A2489" s="1">
        <v>44986</v>
      </c>
      <c r="B2489" t="s">
        <v>21</v>
      </c>
      <c r="C2489" t="s">
        <v>463</v>
      </c>
      <c r="D2489" s="2">
        <v>2750000</v>
      </c>
      <c r="E2489">
        <v>0</v>
      </c>
      <c r="F2489">
        <v>0</v>
      </c>
    </row>
    <row r="2490" spans="1:6" x14ac:dyDescent="0.25">
      <c r="A2490" s="1">
        <v>44986</v>
      </c>
      <c r="B2490" t="s">
        <v>344</v>
      </c>
      <c r="C2490" t="s">
        <v>1148</v>
      </c>
      <c r="D2490" s="2">
        <v>139662.68</v>
      </c>
      <c r="E2490" s="2">
        <v>2392.63</v>
      </c>
      <c r="F2490" s="2">
        <v>2392.63</v>
      </c>
    </row>
    <row r="2491" spans="1:6" x14ac:dyDescent="0.25">
      <c r="A2491" s="1">
        <v>44986</v>
      </c>
      <c r="B2491" t="s">
        <v>13</v>
      </c>
      <c r="C2491" t="s">
        <v>868</v>
      </c>
      <c r="D2491" s="2">
        <v>-993701.64</v>
      </c>
      <c r="E2491" s="2">
        <v>112577.85</v>
      </c>
      <c r="F2491" s="2">
        <v>130337.81</v>
      </c>
    </row>
    <row r="2492" spans="1:6" x14ac:dyDescent="0.25">
      <c r="A2492" s="1">
        <v>44986</v>
      </c>
      <c r="B2492" t="s">
        <v>619</v>
      </c>
      <c r="C2492" t="s">
        <v>165</v>
      </c>
      <c r="D2492" s="2">
        <v>40810.660000000003</v>
      </c>
      <c r="E2492" s="2">
        <v>26024.21</v>
      </c>
      <c r="F2492" s="2">
        <v>26024.21</v>
      </c>
    </row>
    <row r="2493" spans="1:6" x14ac:dyDescent="0.25">
      <c r="A2493" s="1">
        <v>44986</v>
      </c>
      <c r="B2493" t="s">
        <v>17</v>
      </c>
      <c r="C2493" t="s">
        <v>799</v>
      </c>
      <c r="D2493" s="2">
        <v>558567</v>
      </c>
      <c r="E2493" s="2">
        <v>139298.13</v>
      </c>
      <c r="F2493" s="2">
        <v>133135.29999999999</v>
      </c>
    </row>
    <row r="2494" spans="1:6" x14ac:dyDescent="0.25">
      <c r="A2494" s="1">
        <v>44986</v>
      </c>
      <c r="B2494" t="s">
        <v>21</v>
      </c>
      <c r="C2494" t="s">
        <v>123</v>
      </c>
      <c r="D2494" s="2">
        <v>30000</v>
      </c>
      <c r="E2494" s="2">
        <v>12036103.43</v>
      </c>
      <c r="F2494" s="2">
        <v>10887055.16</v>
      </c>
    </row>
    <row r="2495" spans="1:6" x14ac:dyDescent="0.25">
      <c r="A2495" s="1">
        <v>44986</v>
      </c>
      <c r="B2495" t="s">
        <v>181</v>
      </c>
      <c r="C2495" t="s">
        <v>182</v>
      </c>
      <c r="D2495">
        <v>0</v>
      </c>
      <c r="E2495">
        <v>0</v>
      </c>
      <c r="F2495">
        <v>0</v>
      </c>
    </row>
    <row r="2496" spans="1:6" x14ac:dyDescent="0.25">
      <c r="A2496" s="1">
        <v>44986</v>
      </c>
      <c r="B2496" t="s">
        <v>769</v>
      </c>
      <c r="C2496" t="s">
        <v>770</v>
      </c>
      <c r="D2496" s="2">
        <v>29933523.059999999</v>
      </c>
      <c r="E2496" s="2">
        <v>30097845.940000001</v>
      </c>
      <c r="F2496" s="2">
        <v>28351676.41</v>
      </c>
    </row>
    <row r="2497" spans="1:6" x14ac:dyDescent="0.25">
      <c r="A2497" s="1">
        <v>44986</v>
      </c>
      <c r="B2497" t="s">
        <v>114</v>
      </c>
      <c r="C2497" t="s">
        <v>882</v>
      </c>
      <c r="D2497">
        <v>0</v>
      </c>
      <c r="E2497">
        <v>0</v>
      </c>
      <c r="F2497">
        <v>0</v>
      </c>
    </row>
    <row r="2498" spans="1:6" x14ac:dyDescent="0.25">
      <c r="A2498" s="1">
        <v>44986</v>
      </c>
      <c r="B2498" t="s">
        <v>490</v>
      </c>
      <c r="C2498" t="s">
        <v>1009</v>
      </c>
      <c r="D2498">
        <v>0</v>
      </c>
      <c r="E2498">
        <v>0</v>
      </c>
      <c r="F2498">
        <v>0</v>
      </c>
    </row>
    <row r="2499" spans="1:6" x14ac:dyDescent="0.25">
      <c r="A2499" s="1">
        <v>44986</v>
      </c>
      <c r="B2499" t="s">
        <v>101</v>
      </c>
      <c r="C2499" t="s">
        <v>102</v>
      </c>
      <c r="D2499" s="2">
        <v>144950.20000000001</v>
      </c>
      <c r="E2499">
        <v>0</v>
      </c>
      <c r="F2499">
        <v>0</v>
      </c>
    </row>
    <row r="2500" spans="1:6" x14ac:dyDescent="0.25">
      <c r="A2500" s="1">
        <v>44986</v>
      </c>
      <c r="B2500" t="s">
        <v>15</v>
      </c>
      <c r="C2500" t="s">
        <v>796</v>
      </c>
      <c r="D2500" s="2">
        <v>2770320.69</v>
      </c>
      <c r="E2500" s="2">
        <v>1870386.04</v>
      </c>
      <c r="F2500" s="2">
        <v>1636987.04</v>
      </c>
    </row>
    <row r="2501" spans="1:6" x14ac:dyDescent="0.25">
      <c r="A2501" s="1">
        <v>44986</v>
      </c>
      <c r="B2501" t="s">
        <v>114</v>
      </c>
      <c r="C2501" t="s">
        <v>547</v>
      </c>
      <c r="D2501" s="2">
        <v>290985.23</v>
      </c>
      <c r="E2501">
        <v>0</v>
      </c>
      <c r="F2501" s="2">
        <v>2316.84</v>
      </c>
    </row>
    <row r="2502" spans="1:6" x14ac:dyDescent="0.25">
      <c r="A2502" s="1">
        <v>44986</v>
      </c>
      <c r="B2502" t="s">
        <v>114</v>
      </c>
      <c r="C2502" t="s">
        <v>690</v>
      </c>
      <c r="D2502" s="2">
        <v>140475732.83000001</v>
      </c>
      <c r="E2502" s="2">
        <v>24227408.640000001</v>
      </c>
      <c r="F2502" s="2">
        <v>20935474.41</v>
      </c>
    </row>
    <row r="2503" spans="1:6" x14ac:dyDescent="0.25">
      <c r="A2503" s="1">
        <v>44986</v>
      </c>
      <c r="B2503" t="s">
        <v>118</v>
      </c>
      <c r="C2503" t="s">
        <v>1040</v>
      </c>
      <c r="D2503">
        <v>0</v>
      </c>
      <c r="E2503">
        <v>0</v>
      </c>
      <c r="F2503">
        <v>0</v>
      </c>
    </row>
    <row r="2504" spans="1:6" x14ac:dyDescent="0.25">
      <c r="A2504" s="1">
        <v>44986</v>
      </c>
      <c r="B2504" t="s">
        <v>25</v>
      </c>
      <c r="C2504" t="s">
        <v>373</v>
      </c>
      <c r="D2504" s="2">
        <v>55998.15</v>
      </c>
      <c r="E2504" s="2">
        <v>9506.82</v>
      </c>
      <c r="F2504" s="2">
        <v>9506.82</v>
      </c>
    </row>
    <row r="2505" spans="1:6" x14ac:dyDescent="0.25">
      <c r="A2505" s="1">
        <v>44986</v>
      </c>
      <c r="B2505" t="s">
        <v>490</v>
      </c>
      <c r="C2505" t="s">
        <v>542</v>
      </c>
      <c r="D2505" s="2">
        <v>9822.6</v>
      </c>
      <c r="E2505" s="2">
        <v>1326701.8700000001</v>
      </c>
      <c r="F2505" s="2">
        <v>1077507.83</v>
      </c>
    </row>
    <row r="2506" spans="1:6" x14ac:dyDescent="0.25">
      <c r="A2506" s="1">
        <v>44986</v>
      </c>
      <c r="B2506" t="s">
        <v>398</v>
      </c>
      <c r="C2506" t="s">
        <v>826</v>
      </c>
      <c r="D2506" s="2">
        <v>1243500</v>
      </c>
      <c r="E2506" s="2">
        <v>158405.72</v>
      </c>
      <c r="F2506" s="2">
        <v>137585.71</v>
      </c>
    </row>
    <row r="2507" spans="1:6" x14ac:dyDescent="0.25">
      <c r="A2507" s="1">
        <v>44986</v>
      </c>
      <c r="B2507" t="s">
        <v>196</v>
      </c>
      <c r="C2507" t="s">
        <v>612</v>
      </c>
      <c r="D2507">
        <v>0</v>
      </c>
      <c r="E2507">
        <v>0</v>
      </c>
      <c r="F2507">
        <v>0</v>
      </c>
    </row>
    <row r="2508" spans="1:6" x14ac:dyDescent="0.25">
      <c r="A2508" s="1">
        <v>44986</v>
      </c>
      <c r="B2508" t="s">
        <v>118</v>
      </c>
      <c r="C2508" t="s">
        <v>658</v>
      </c>
      <c r="D2508">
        <v>0</v>
      </c>
      <c r="E2508">
        <v>0</v>
      </c>
      <c r="F2508">
        <v>0</v>
      </c>
    </row>
    <row r="2509" spans="1:6" x14ac:dyDescent="0.25">
      <c r="A2509" s="1">
        <v>44986</v>
      </c>
      <c r="B2509" t="s">
        <v>23</v>
      </c>
      <c r="C2509" t="s">
        <v>681</v>
      </c>
      <c r="D2509" s="2">
        <v>92698889.980000004</v>
      </c>
      <c r="E2509" s="2">
        <v>72360.69</v>
      </c>
      <c r="F2509" s="2">
        <v>70027.490000000005</v>
      </c>
    </row>
    <row r="2510" spans="1:6" x14ac:dyDescent="0.25">
      <c r="A2510" s="1">
        <v>44986</v>
      </c>
      <c r="B2510" t="s">
        <v>37</v>
      </c>
      <c r="C2510" t="s">
        <v>561</v>
      </c>
      <c r="D2510" s="2">
        <v>1048070.91</v>
      </c>
      <c r="E2510" s="2">
        <v>36431.53</v>
      </c>
      <c r="F2510">
        <v>0</v>
      </c>
    </row>
    <row r="2511" spans="1:6" x14ac:dyDescent="0.25">
      <c r="A2511" s="1">
        <v>44986</v>
      </c>
      <c r="B2511" t="s">
        <v>75</v>
      </c>
      <c r="C2511" t="s">
        <v>269</v>
      </c>
      <c r="D2511">
        <v>0</v>
      </c>
      <c r="E2511">
        <v>0</v>
      </c>
      <c r="F2511">
        <v>0</v>
      </c>
    </row>
    <row r="2512" spans="1:6" x14ac:dyDescent="0.25">
      <c r="A2512" s="1">
        <v>44986</v>
      </c>
      <c r="B2512" t="s">
        <v>105</v>
      </c>
      <c r="C2512" t="s">
        <v>106</v>
      </c>
      <c r="D2512" s="2">
        <v>1000</v>
      </c>
      <c r="E2512">
        <v>0</v>
      </c>
      <c r="F2512">
        <v>0</v>
      </c>
    </row>
    <row r="2513" spans="1:6" x14ac:dyDescent="0.25">
      <c r="A2513" s="1">
        <v>44986</v>
      </c>
      <c r="B2513" t="s">
        <v>398</v>
      </c>
      <c r="C2513" t="s">
        <v>498</v>
      </c>
      <c r="D2513" s="2">
        <v>606650.77</v>
      </c>
      <c r="E2513" s="2">
        <v>195401.76</v>
      </c>
      <c r="F2513" s="2">
        <v>197759.2</v>
      </c>
    </row>
    <row r="2514" spans="1:6" x14ac:dyDescent="0.25">
      <c r="A2514" s="1">
        <v>44986</v>
      </c>
      <c r="B2514" t="s">
        <v>196</v>
      </c>
      <c r="C2514" t="s">
        <v>897</v>
      </c>
      <c r="D2514">
        <v>0</v>
      </c>
      <c r="E2514">
        <v>0</v>
      </c>
      <c r="F2514">
        <v>0</v>
      </c>
    </row>
    <row r="2515" spans="1:6" x14ac:dyDescent="0.25">
      <c r="A2515" s="1">
        <v>44986</v>
      </c>
      <c r="B2515" t="s">
        <v>21</v>
      </c>
      <c r="C2515" t="s">
        <v>757</v>
      </c>
      <c r="D2515" s="2">
        <v>8500216</v>
      </c>
      <c r="E2515">
        <v>0</v>
      </c>
      <c r="F2515">
        <v>0</v>
      </c>
    </row>
    <row r="2516" spans="1:6" x14ac:dyDescent="0.25">
      <c r="A2516" s="1">
        <v>44986</v>
      </c>
      <c r="B2516" t="s">
        <v>23</v>
      </c>
      <c r="C2516" t="s">
        <v>203</v>
      </c>
      <c r="D2516">
        <v>0</v>
      </c>
      <c r="E2516">
        <v>0</v>
      </c>
      <c r="F2516">
        <v>0</v>
      </c>
    </row>
    <row r="2517" spans="1:6" x14ac:dyDescent="0.25">
      <c r="A2517" s="1">
        <v>44986</v>
      </c>
      <c r="B2517" t="s">
        <v>17</v>
      </c>
      <c r="C2517" t="s">
        <v>18</v>
      </c>
      <c r="D2517" s="2">
        <v>20312789.73</v>
      </c>
      <c r="E2517" s="2">
        <v>20312789.73</v>
      </c>
      <c r="F2517" s="2">
        <v>20312789.73</v>
      </c>
    </row>
    <row r="2518" spans="1:6" x14ac:dyDescent="0.25">
      <c r="A2518" s="1">
        <v>44986</v>
      </c>
      <c r="B2518" t="s">
        <v>25</v>
      </c>
      <c r="C2518" t="s">
        <v>1039</v>
      </c>
      <c r="D2518" s="2">
        <v>74870.600000000006</v>
      </c>
      <c r="E2518" s="2">
        <v>9620.0400000000009</v>
      </c>
      <c r="F2518" s="2">
        <v>9620.0400000000009</v>
      </c>
    </row>
    <row r="2519" spans="1:6" x14ac:dyDescent="0.25">
      <c r="A2519" s="1">
        <v>44986</v>
      </c>
      <c r="B2519" t="s">
        <v>25</v>
      </c>
      <c r="C2519" t="s">
        <v>865</v>
      </c>
      <c r="D2519" s="2">
        <v>1643529.68</v>
      </c>
      <c r="E2519" s="2">
        <v>575226.09</v>
      </c>
      <c r="F2519" s="2">
        <v>577085.88</v>
      </c>
    </row>
    <row r="2520" spans="1:6" x14ac:dyDescent="0.25">
      <c r="A2520" s="1">
        <v>44986</v>
      </c>
      <c r="B2520" t="s">
        <v>422</v>
      </c>
      <c r="C2520" t="s">
        <v>671</v>
      </c>
      <c r="D2520" s="2">
        <v>123112.61</v>
      </c>
      <c r="E2520" s="2">
        <v>4514587.6100000003</v>
      </c>
      <c r="F2520" s="2">
        <v>4514587.6100000003</v>
      </c>
    </row>
    <row r="2521" spans="1:6" x14ac:dyDescent="0.25">
      <c r="A2521" s="1">
        <v>44986</v>
      </c>
      <c r="B2521" t="s">
        <v>63</v>
      </c>
      <c r="C2521" t="s">
        <v>714</v>
      </c>
      <c r="D2521" s="2">
        <v>-2853539.32</v>
      </c>
      <c r="E2521" s="2">
        <v>2472430.2400000002</v>
      </c>
      <c r="F2521" s="2">
        <v>2595530.7999999998</v>
      </c>
    </row>
    <row r="2522" spans="1:6" x14ac:dyDescent="0.25">
      <c r="A2522" s="1">
        <v>44986</v>
      </c>
      <c r="B2522" t="s">
        <v>21</v>
      </c>
      <c r="C2522" t="s">
        <v>642</v>
      </c>
      <c r="D2522" s="2">
        <v>6184524.5199999996</v>
      </c>
      <c r="E2522" s="2">
        <v>990925</v>
      </c>
      <c r="F2522" s="2">
        <v>990925</v>
      </c>
    </row>
    <row r="2523" spans="1:6" x14ac:dyDescent="0.25">
      <c r="A2523" s="1">
        <v>44986</v>
      </c>
      <c r="B2523" t="s">
        <v>29</v>
      </c>
      <c r="C2523" t="s">
        <v>798</v>
      </c>
      <c r="D2523">
        <v>0</v>
      </c>
      <c r="E2523">
        <v>0</v>
      </c>
      <c r="F2523">
        <v>0</v>
      </c>
    </row>
    <row r="2524" spans="1:6" x14ac:dyDescent="0.25">
      <c r="A2524" s="1">
        <v>44986</v>
      </c>
      <c r="B2524" t="s">
        <v>23</v>
      </c>
      <c r="C2524" t="s">
        <v>1020</v>
      </c>
      <c r="D2524" s="2">
        <v>206048</v>
      </c>
      <c r="E2524">
        <v>0</v>
      </c>
      <c r="F2524">
        <v>0</v>
      </c>
    </row>
    <row r="2525" spans="1:6" x14ac:dyDescent="0.25">
      <c r="A2525" s="1">
        <v>44986</v>
      </c>
      <c r="B2525" t="s">
        <v>23</v>
      </c>
      <c r="C2525" t="s">
        <v>551</v>
      </c>
      <c r="D2525" s="2">
        <v>257639.98</v>
      </c>
      <c r="E2525" s="2">
        <v>47387.67</v>
      </c>
      <c r="F2525" s="2">
        <v>66212.899999999994</v>
      </c>
    </row>
    <row r="2526" spans="1:6" x14ac:dyDescent="0.25">
      <c r="A2526" s="1">
        <v>44986</v>
      </c>
      <c r="B2526" t="s">
        <v>46</v>
      </c>
      <c r="C2526" t="s">
        <v>152</v>
      </c>
      <c r="D2526" s="2">
        <v>685461.53</v>
      </c>
      <c r="E2526" s="2">
        <v>685461.53</v>
      </c>
      <c r="F2526" s="2">
        <v>685716.56</v>
      </c>
    </row>
    <row r="2527" spans="1:6" x14ac:dyDescent="0.25">
      <c r="A2527" s="1">
        <v>44986</v>
      </c>
      <c r="B2527" t="s">
        <v>50</v>
      </c>
      <c r="C2527" t="s">
        <v>594</v>
      </c>
      <c r="D2527" s="2">
        <v>39744622.490000002</v>
      </c>
      <c r="E2527" s="2">
        <v>42440.14</v>
      </c>
      <c r="F2527" s="2">
        <v>39262.54</v>
      </c>
    </row>
    <row r="2528" spans="1:6" x14ac:dyDescent="0.25">
      <c r="A2528" s="1">
        <v>44986</v>
      </c>
      <c r="B2528" t="s">
        <v>337</v>
      </c>
      <c r="C2528" t="s">
        <v>338</v>
      </c>
      <c r="D2528" s="2">
        <v>-2389191.48</v>
      </c>
      <c r="E2528" s="2">
        <v>2866598.04</v>
      </c>
      <c r="F2528" s="2">
        <v>2255201.31</v>
      </c>
    </row>
    <row r="2529" spans="1:6" x14ac:dyDescent="0.25">
      <c r="A2529" s="1">
        <v>44986</v>
      </c>
      <c r="B2529" t="s">
        <v>159</v>
      </c>
      <c r="C2529" t="s">
        <v>34</v>
      </c>
      <c r="D2529" s="2">
        <v>247250</v>
      </c>
      <c r="E2529" s="2">
        <v>3500</v>
      </c>
      <c r="F2529" s="2">
        <v>3500</v>
      </c>
    </row>
    <row r="2530" spans="1:6" x14ac:dyDescent="0.25">
      <c r="A2530" s="1">
        <v>44986</v>
      </c>
      <c r="B2530" t="s">
        <v>278</v>
      </c>
      <c r="C2530" t="s">
        <v>626</v>
      </c>
      <c r="D2530" s="2">
        <v>1560052.42</v>
      </c>
      <c r="E2530" s="2">
        <v>3997285505.9499998</v>
      </c>
      <c r="F2530" s="2">
        <v>3928964374.3800001</v>
      </c>
    </row>
    <row r="2531" spans="1:6" x14ac:dyDescent="0.25">
      <c r="A2531" s="1">
        <v>44986</v>
      </c>
      <c r="B2531" t="s">
        <v>426</v>
      </c>
      <c r="C2531" t="s">
        <v>427</v>
      </c>
      <c r="D2531" s="2">
        <v>154000000000</v>
      </c>
      <c r="E2531" s="2">
        <v>213709734956.48001</v>
      </c>
      <c r="F2531" s="2">
        <v>213709734956.48001</v>
      </c>
    </row>
    <row r="2532" spans="1:6" x14ac:dyDescent="0.25">
      <c r="A2532" s="1">
        <v>44986</v>
      </c>
      <c r="B2532" t="s">
        <v>23</v>
      </c>
      <c r="C2532" t="s">
        <v>637</v>
      </c>
      <c r="D2532" s="2">
        <v>1148992.1100000001</v>
      </c>
      <c r="E2532" s="2">
        <v>137773.48000000001</v>
      </c>
      <c r="F2532" s="2">
        <v>37672.71</v>
      </c>
    </row>
    <row r="2533" spans="1:6" x14ac:dyDescent="0.25">
      <c r="A2533" s="1">
        <v>44986</v>
      </c>
      <c r="B2533" t="s">
        <v>648</v>
      </c>
      <c r="C2533" t="s">
        <v>844</v>
      </c>
      <c r="D2533" s="2">
        <v>205341.72</v>
      </c>
      <c r="E2533" s="2">
        <v>130363.15</v>
      </c>
      <c r="F2533" s="2">
        <v>114852.71</v>
      </c>
    </row>
    <row r="2534" spans="1:6" x14ac:dyDescent="0.25">
      <c r="A2534" s="1">
        <v>44986</v>
      </c>
      <c r="B2534" t="s">
        <v>15</v>
      </c>
      <c r="C2534" t="s">
        <v>948</v>
      </c>
      <c r="D2534" s="2">
        <v>4992901</v>
      </c>
      <c r="E2534">
        <v>666.71</v>
      </c>
      <c r="F2534">
        <v>666.71</v>
      </c>
    </row>
    <row r="2535" spans="1:6" x14ac:dyDescent="0.25">
      <c r="A2535" s="1">
        <v>44986</v>
      </c>
      <c r="B2535" t="s">
        <v>344</v>
      </c>
      <c r="C2535" t="s">
        <v>1054</v>
      </c>
      <c r="D2535">
        <v>0</v>
      </c>
      <c r="E2535">
        <v>0</v>
      </c>
      <c r="F2535">
        <v>0</v>
      </c>
    </row>
    <row r="2536" spans="1:6" x14ac:dyDescent="0.25">
      <c r="A2536" s="1">
        <v>44986</v>
      </c>
      <c r="B2536" t="s">
        <v>159</v>
      </c>
      <c r="C2536" t="s">
        <v>525</v>
      </c>
      <c r="D2536" s="2">
        <v>397320</v>
      </c>
      <c r="E2536" s="2">
        <v>5610.84</v>
      </c>
      <c r="F2536" s="2">
        <v>5610.84</v>
      </c>
    </row>
    <row r="2537" spans="1:6" x14ac:dyDescent="0.25">
      <c r="A2537" s="1">
        <v>44986</v>
      </c>
      <c r="B2537" t="s">
        <v>48</v>
      </c>
      <c r="C2537" t="s">
        <v>1149</v>
      </c>
      <c r="D2537">
        <v>0</v>
      </c>
      <c r="E2537">
        <v>0</v>
      </c>
      <c r="F2537">
        <v>0</v>
      </c>
    </row>
    <row r="2538" spans="1:6" x14ac:dyDescent="0.25">
      <c r="A2538" s="1">
        <v>44986</v>
      </c>
      <c r="B2538" t="s">
        <v>50</v>
      </c>
      <c r="C2538" t="s">
        <v>1150</v>
      </c>
      <c r="D2538" s="2">
        <v>80000</v>
      </c>
      <c r="E2538">
        <v>0</v>
      </c>
      <c r="F2538">
        <v>0</v>
      </c>
    </row>
    <row r="2539" spans="1:6" x14ac:dyDescent="0.25">
      <c r="A2539" s="1">
        <v>44986</v>
      </c>
      <c r="B2539" t="s">
        <v>48</v>
      </c>
      <c r="C2539" t="s">
        <v>472</v>
      </c>
      <c r="D2539" s="2">
        <v>2494526.44</v>
      </c>
      <c r="E2539" s="2">
        <v>4361214.74</v>
      </c>
      <c r="F2539" s="2">
        <v>4345164.74</v>
      </c>
    </row>
    <row r="2540" spans="1:6" x14ac:dyDescent="0.25">
      <c r="A2540" s="1">
        <v>44986</v>
      </c>
      <c r="B2540" t="s">
        <v>40</v>
      </c>
      <c r="C2540" t="s">
        <v>686</v>
      </c>
      <c r="D2540" s="2">
        <v>17853877.890000001</v>
      </c>
      <c r="E2540" s="2">
        <v>9247528.6099999994</v>
      </c>
      <c r="F2540" s="2">
        <v>9059816.3699999992</v>
      </c>
    </row>
    <row r="2541" spans="1:6" x14ac:dyDescent="0.25">
      <c r="A2541" s="1">
        <v>44986</v>
      </c>
      <c r="B2541" t="s">
        <v>23</v>
      </c>
      <c r="C2541" t="s">
        <v>708</v>
      </c>
      <c r="D2541" s="2">
        <v>35257.64</v>
      </c>
      <c r="E2541" s="2">
        <v>39035.93</v>
      </c>
      <c r="F2541" s="2">
        <v>77856.179999999993</v>
      </c>
    </row>
    <row r="2542" spans="1:6" x14ac:dyDescent="0.25">
      <c r="A2542" s="1">
        <v>44986</v>
      </c>
      <c r="B2542" t="s">
        <v>50</v>
      </c>
      <c r="C2542" t="s">
        <v>689</v>
      </c>
      <c r="D2542">
        <v>0</v>
      </c>
      <c r="E2542" s="2">
        <v>10480.5</v>
      </c>
      <c r="F2542" s="2">
        <v>10480.5</v>
      </c>
    </row>
    <row r="2543" spans="1:6" x14ac:dyDescent="0.25">
      <c r="A2543" s="1">
        <v>44986</v>
      </c>
      <c r="B2543" t="s">
        <v>518</v>
      </c>
      <c r="C2543" t="s">
        <v>892</v>
      </c>
      <c r="D2543" s="2">
        <v>389318.44</v>
      </c>
      <c r="E2543" s="2">
        <v>231296.58</v>
      </c>
      <c r="F2543" s="2">
        <v>76686.05</v>
      </c>
    </row>
    <row r="2544" spans="1:6" x14ac:dyDescent="0.25">
      <c r="A2544" s="1">
        <v>44986</v>
      </c>
      <c r="B2544" t="s">
        <v>726</v>
      </c>
      <c r="C2544" t="s">
        <v>876</v>
      </c>
      <c r="D2544" s="2">
        <v>176054.63</v>
      </c>
      <c r="E2544" s="2">
        <v>182035.66</v>
      </c>
      <c r="F2544" s="2">
        <v>214035.57</v>
      </c>
    </row>
    <row r="2545" spans="1:6" x14ac:dyDescent="0.25">
      <c r="A2545" s="1">
        <v>44986</v>
      </c>
      <c r="B2545" t="s">
        <v>21</v>
      </c>
      <c r="C2545" t="s">
        <v>562</v>
      </c>
      <c r="D2545" s="2">
        <v>29821660.010000002</v>
      </c>
      <c r="E2545" s="2">
        <v>1110627.68</v>
      </c>
      <c r="F2545" s="2">
        <v>1106587.73</v>
      </c>
    </row>
    <row r="2546" spans="1:6" x14ac:dyDescent="0.25">
      <c r="A2546" s="1">
        <v>44986</v>
      </c>
      <c r="B2546" t="s">
        <v>154</v>
      </c>
      <c r="C2546" t="s">
        <v>354</v>
      </c>
      <c r="D2546" s="2">
        <v>-8010000</v>
      </c>
      <c r="E2546" s="2">
        <v>1636518.66</v>
      </c>
      <c r="F2546" s="2">
        <v>1636518.66</v>
      </c>
    </row>
    <row r="2547" spans="1:6" x14ac:dyDescent="0.25">
      <c r="A2547" s="1">
        <v>44986</v>
      </c>
      <c r="B2547" t="s">
        <v>23</v>
      </c>
      <c r="C2547" t="s">
        <v>854</v>
      </c>
      <c r="D2547" s="2">
        <v>26372276.859999999</v>
      </c>
      <c r="E2547" s="2">
        <v>4985324.09</v>
      </c>
      <c r="F2547" s="2">
        <v>4691753.62</v>
      </c>
    </row>
    <row r="2548" spans="1:6" x14ac:dyDescent="0.25">
      <c r="A2548" s="1">
        <v>44986</v>
      </c>
      <c r="B2548" t="s">
        <v>68</v>
      </c>
      <c r="C2548" t="s">
        <v>810</v>
      </c>
      <c r="D2548" s="2">
        <v>1447685.68</v>
      </c>
      <c r="E2548" s="2">
        <v>1347994.74</v>
      </c>
      <c r="F2548" s="2">
        <v>1355398.11</v>
      </c>
    </row>
    <row r="2549" spans="1:6" x14ac:dyDescent="0.25">
      <c r="A2549" s="1">
        <v>44986</v>
      </c>
      <c r="B2549" t="s">
        <v>118</v>
      </c>
      <c r="C2549" t="s">
        <v>885</v>
      </c>
      <c r="D2549">
        <v>0</v>
      </c>
      <c r="E2549">
        <v>0</v>
      </c>
      <c r="F2549">
        <v>0</v>
      </c>
    </row>
    <row r="2550" spans="1:6" x14ac:dyDescent="0.25">
      <c r="A2550" s="1">
        <v>44986</v>
      </c>
      <c r="B2550" t="s">
        <v>216</v>
      </c>
      <c r="C2550" t="s">
        <v>781</v>
      </c>
      <c r="D2550" s="2">
        <v>14500</v>
      </c>
      <c r="E2550" s="2">
        <v>13500</v>
      </c>
      <c r="F2550" s="2">
        <v>13500</v>
      </c>
    </row>
    <row r="2551" spans="1:6" x14ac:dyDescent="0.25">
      <c r="A2551" s="1">
        <v>44986</v>
      </c>
      <c r="B2551" t="s">
        <v>185</v>
      </c>
      <c r="C2551" t="s">
        <v>316</v>
      </c>
      <c r="D2551" s="2">
        <v>88726260.769999996</v>
      </c>
      <c r="E2551" s="2">
        <v>68873632.170000002</v>
      </c>
      <c r="F2551" s="2">
        <v>73485270.670000002</v>
      </c>
    </row>
    <row r="2552" spans="1:6" x14ac:dyDescent="0.25">
      <c r="A2552" s="1">
        <v>44986</v>
      </c>
      <c r="B2552" t="s">
        <v>23</v>
      </c>
      <c r="C2552" t="s">
        <v>1004</v>
      </c>
      <c r="D2552" s="2">
        <v>8768896.4499999993</v>
      </c>
      <c r="E2552" s="2">
        <v>2118541.9</v>
      </c>
      <c r="F2552" s="2">
        <v>5639.24</v>
      </c>
    </row>
    <row r="2553" spans="1:6" x14ac:dyDescent="0.25">
      <c r="A2553" s="1">
        <v>44986</v>
      </c>
      <c r="B2553" t="s">
        <v>96</v>
      </c>
      <c r="C2553" t="s">
        <v>51</v>
      </c>
      <c r="D2553">
        <v>0</v>
      </c>
      <c r="E2553">
        <v>0</v>
      </c>
      <c r="F2553">
        <v>0</v>
      </c>
    </row>
    <row r="2554" spans="1:6" x14ac:dyDescent="0.25">
      <c r="A2554" s="1">
        <v>44986</v>
      </c>
      <c r="B2554" t="s">
        <v>35</v>
      </c>
      <c r="C2554" t="s">
        <v>632</v>
      </c>
      <c r="D2554" s="2">
        <v>-402572.82</v>
      </c>
      <c r="E2554" s="2">
        <v>319068.15000000002</v>
      </c>
      <c r="F2554" s="2">
        <v>314099.77</v>
      </c>
    </row>
    <row r="2555" spans="1:6" x14ac:dyDescent="0.25">
      <c r="A2555" s="1">
        <v>44986</v>
      </c>
      <c r="B2555" t="s">
        <v>187</v>
      </c>
      <c r="C2555" t="s">
        <v>830</v>
      </c>
      <c r="D2555" s="2">
        <v>1437567.93</v>
      </c>
      <c r="E2555" s="2">
        <v>1716572.81</v>
      </c>
      <c r="F2555" s="2">
        <v>1686207.46</v>
      </c>
    </row>
    <row r="2556" spans="1:6" x14ac:dyDescent="0.25">
      <c r="A2556" s="1">
        <v>44986</v>
      </c>
      <c r="B2556" t="s">
        <v>23</v>
      </c>
      <c r="C2556" t="s">
        <v>905</v>
      </c>
      <c r="D2556" s="2">
        <v>29307.61</v>
      </c>
      <c r="E2556" s="2">
        <v>323822.33</v>
      </c>
      <c r="F2556" s="2">
        <v>344069.75</v>
      </c>
    </row>
    <row r="2557" spans="1:6" x14ac:dyDescent="0.25">
      <c r="A2557" s="1">
        <v>44986</v>
      </c>
      <c r="B2557" t="s">
        <v>132</v>
      </c>
      <c r="C2557" t="s">
        <v>140</v>
      </c>
      <c r="D2557" s="2">
        <v>37053281.799999997</v>
      </c>
      <c r="E2557" s="2">
        <v>34998566.240000002</v>
      </c>
      <c r="F2557" s="2">
        <v>33275030.690000001</v>
      </c>
    </row>
    <row r="2558" spans="1:6" x14ac:dyDescent="0.25">
      <c r="A2558" s="1">
        <v>44986</v>
      </c>
      <c r="B2558" t="s">
        <v>107</v>
      </c>
      <c r="C2558" t="s">
        <v>514</v>
      </c>
      <c r="D2558" s="2">
        <v>4841469.84</v>
      </c>
      <c r="E2558" s="2">
        <v>4835697.2</v>
      </c>
      <c r="F2558" s="2">
        <v>4841684</v>
      </c>
    </row>
    <row r="2559" spans="1:6" x14ac:dyDescent="0.25">
      <c r="A2559" s="1">
        <v>44986</v>
      </c>
      <c r="B2559" t="s">
        <v>114</v>
      </c>
      <c r="C2559" t="s">
        <v>913</v>
      </c>
      <c r="D2559" s="2">
        <v>26256158.68</v>
      </c>
      <c r="E2559" s="2">
        <v>20129667.260000002</v>
      </c>
      <c r="F2559" s="2">
        <v>20245589.789999999</v>
      </c>
    </row>
    <row r="2560" spans="1:6" x14ac:dyDescent="0.25">
      <c r="A2560" s="1">
        <v>44986</v>
      </c>
      <c r="B2560" t="s">
        <v>23</v>
      </c>
      <c r="C2560" t="s">
        <v>630</v>
      </c>
      <c r="D2560">
        <v>0</v>
      </c>
      <c r="E2560">
        <v>0</v>
      </c>
      <c r="F2560">
        <v>0</v>
      </c>
    </row>
    <row r="2561" spans="1:6" x14ac:dyDescent="0.25">
      <c r="A2561" s="1">
        <v>44986</v>
      </c>
      <c r="B2561" t="s">
        <v>263</v>
      </c>
      <c r="C2561" t="s">
        <v>824</v>
      </c>
      <c r="D2561" s="2">
        <v>26111915.800000001</v>
      </c>
      <c r="E2561" s="2">
        <v>8284834.0199999996</v>
      </c>
      <c r="F2561" s="2">
        <v>10561957.08</v>
      </c>
    </row>
    <row r="2562" spans="1:6" x14ac:dyDescent="0.25">
      <c r="A2562" s="1">
        <v>44986</v>
      </c>
      <c r="B2562" t="s">
        <v>15</v>
      </c>
      <c r="C2562" t="s">
        <v>205</v>
      </c>
      <c r="D2562" s="2">
        <v>11946834.49</v>
      </c>
      <c r="E2562" s="2">
        <v>14172179.92</v>
      </c>
      <c r="F2562" s="2">
        <v>12588281.939999999</v>
      </c>
    </row>
    <row r="2563" spans="1:6" x14ac:dyDescent="0.25">
      <c r="A2563" s="1">
        <v>44986</v>
      </c>
      <c r="B2563" t="s">
        <v>816</v>
      </c>
      <c r="C2563" t="s">
        <v>870</v>
      </c>
      <c r="D2563" s="2">
        <v>17433645.609999999</v>
      </c>
      <c r="E2563" s="2">
        <v>3682842.12</v>
      </c>
      <c r="F2563" s="2">
        <v>3274725.83</v>
      </c>
    </row>
    <row r="2564" spans="1:6" x14ac:dyDescent="0.25">
      <c r="A2564" s="1">
        <v>44986</v>
      </c>
      <c r="B2564" t="s">
        <v>25</v>
      </c>
      <c r="C2564" t="s">
        <v>703</v>
      </c>
      <c r="D2564" s="2">
        <v>66246.740000000005</v>
      </c>
      <c r="E2564" s="2">
        <v>13212.87</v>
      </c>
      <c r="F2564" s="2">
        <v>13212.87</v>
      </c>
    </row>
    <row r="2565" spans="1:6" x14ac:dyDescent="0.25">
      <c r="A2565" s="1">
        <v>44986</v>
      </c>
      <c r="B2565" t="s">
        <v>40</v>
      </c>
      <c r="C2565" t="s">
        <v>850</v>
      </c>
      <c r="D2565" s="2">
        <v>3996661.34</v>
      </c>
      <c r="E2565" s="2">
        <v>346293.3</v>
      </c>
      <c r="F2565" s="2">
        <v>362310.84</v>
      </c>
    </row>
    <row r="2566" spans="1:6" x14ac:dyDescent="0.25">
      <c r="A2566" s="1">
        <v>44986</v>
      </c>
      <c r="B2566" t="s">
        <v>21</v>
      </c>
      <c r="C2566" t="s">
        <v>470</v>
      </c>
      <c r="D2566" s="2">
        <v>244867446.25</v>
      </c>
      <c r="E2566" s="2">
        <v>129978441.48999999</v>
      </c>
      <c r="F2566" s="2">
        <v>125022189.81</v>
      </c>
    </row>
    <row r="2567" spans="1:6" x14ac:dyDescent="0.25">
      <c r="A2567" s="1">
        <v>44986</v>
      </c>
      <c r="B2567" t="s">
        <v>23</v>
      </c>
      <c r="C2567" t="s">
        <v>365</v>
      </c>
      <c r="D2567" s="2">
        <v>-22334.03</v>
      </c>
      <c r="E2567" s="2">
        <v>91980.33</v>
      </c>
      <c r="F2567" s="2">
        <v>87516.17</v>
      </c>
    </row>
    <row r="2568" spans="1:6" x14ac:dyDescent="0.25">
      <c r="A2568" s="1">
        <v>44986</v>
      </c>
      <c r="B2568" t="s">
        <v>92</v>
      </c>
      <c r="C2568" t="s">
        <v>1023</v>
      </c>
      <c r="D2568">
        <v>0</v>
      </c>
      <c r="E2568">
        <v>0</v>
      </c>
      <c r="F2568">
        <v>0</v>
      </c>
    </row>
    <row r="2569" spans="1:6" x14ac:dyDescent="0.25">
      <c r="A2569" s="1">
        <v>44986</v>
      </c>
      <c r="B2569" t="s">
        <v>68</v>
      </c>
      <c r="C2569" t="s">
        <v>503</v>
      </c>
      <c r="D2569">
        <v>0</v>
      </c>
      <c r="E2569">
        <v>0</v>
      </c>
      <c r="F2569">
        <v>0</v>
      </c>
    </row>
    <row r="2570" spans="1:6" x14ac:dyDescent="0.25">
      <c r="A2570" s="1">
        <v>44986</v>
      </c>
      <c r="B2570" t="s">
        <v>296</v>
      </c>
      <c r="C2570" t="s">
        <v>552</v>
      </c>
      <c r="D2570" s="2">
        <v>1208584.1000000001</v>
      </c>
      <c r="E2570" s="2">
        <v>625725.02</v>
      </c>
      <c r="F2570" s="2">
        <v>499150.71</v>
      </c>
    </row>
    <row r="2571" spans="1:6" x14ac:dyDescent="0.25">
      <c r="A2571" s="1">
        <v>44986</v>
      </c>
      <c r="B2571" t="s">
        <v>107</v>
      </c>
      <c r="C2571" t="s">
        <v>921</v>
      </c>
      <c r="D2571" s="2">
        <v>70140881.010000005</v>
      </c>
      <c r="E2571" s="2">
        <v>66648099.759999998</v>
      </c>
      <c r="F2571" s="2">
        <v>65723352.060000002</v>
      </c>
    </row>
    <row r="2572" spans="1:6" x14ac:dyDescent="0.25">
      <c r="A2572" s="1">
        <v>44986</v>
      </c>
      <c r="B2572" t="s">
        <v>23</v>
      </c>
      <c r="C2572" t="s">
        <v>710</v>
      </c>
      <c r="D2572" s="2">
        <v>24192</v>
      </c>
      <c r="E2572">
        <v>0</v>
      </c>
      <c r="F2572">
        <v>0</v>
      </c>
    </row>
    <row r="2573" spans="1:6" x14ac:dyDescent="0.25">
      <c r="A2573" s="1">
        <v>44986</v>
      </c>
      <c r="B2573" t="s">
        <v>50</v>
      </c>
      <c r="C2573" t="s">
        <v>530</v>
      </c>
      <c r="D2573" s="2">
        <v>486192.77</v>
      </c>
      <c r="E2573" s="2">
        <v>369746.07</v>
      </c>
      <c r="F2573" s="2">
        <v>292693.12</v>
      </c>
    </row>
    <row r="2574" spans="1:6" x14ac:dyDescent="0.25">
      <c r="A2574" s="1">
        <v>44986</v>
      </c>
      <c r="B2574" t="s">
        <v>21</v>
      </c>
      <c r="C2574" t="s">
        <v>369</v>
      </c>
      <c r="D2574" s="2">
        <v>94541.89</v>
      </c>
      <c r="E2574" s="2">
        <v>20739.09</v>
      </c>
      <c r="F2574" s="2">
        <v>11219.66</v>
      </c>
    </row>
    <row r="2575" spans="1:6" x14ac:dyDescent="0.25">
      <c r="A2575" s="1">
        <v>44986</v>
      </c>
      <c r="B2575" t="s">
        <v>458</v>
      </c>
      <c r="C2575" t="s">
        <v>260</v>
      </c>
      <c r="D2575">
        <v>0</v>
      </c>
      <c r="E2575">
        <v>0</v>
      </c>
      <c r="F2575">
        <v>0</v>
      </c>
    </row>
    <row r="2576" spans="1:6" x14ac:dyDescent="0.25">
      <c r="A2576" s="1">
        <v>44986</v>
      </c>
      <c r="B2576" t="s">
        <v>17</v>
      </c>
      <c r="C2576" t="s">
        <v>145</v>
      </c>
      <c r="D2576" s="2">
        <v>16886771.43</v>
      </c>
      <c r="E2576" s="2">
        <v>1900.79</v>
      </c>
      <c r="F2576" s="2">
        <v>1900.79</v>
      </c>
    </row>
    <row r="2577" spans="1:6" x14ac:dyDescent="0.25">
      <c r="A2577" s="1">
        <v>44986</v>
      </c>
      <c r="B2577" t="s">
        <v>13</v>
      </c>
      <c r="C2577" t="s">
        <v>791</v>
      </c>
      <c r="D2577" s="2">
        <v>6969014.5499999998</v>
      </c>
      <c r="E2577" s="2">
        <v>64256570884.379997</v>
      </c>
      <c r="F2577" s="2">
        <v>63992957331.25</v>
      </c>
    </row>
    <row r="2578" spans="1:6" x14ac:dyDescent="0.25">
      <c r="A2578" s="1">
        <v>44986</v>
      </c>
      <c r="B2578" t="s">
        <v>619</v>
      </c>
      <c r="C2578" t="s">
        <v>848</v>
      </c>
      <c r="D2578" s="2">
        <v>1144469.52</v>
      </c>
      <c r="E2578" s="2">
        <v>683172.81</v>
      </c>
      <c r="F2578" s="2">
        <v>620712.34</v>
      </c>
    </row>
    <row r="2579" spans="1:6" x14ac:dyDescent="0.25">
      <c r="A2579" s="1">
        <v>44986</v>
      </c>
      <c r="B2579" t="s">
        <v>458</v>
      </c>
      <c r="C2579" t="s">
        <v>30</v>
      </c>
      <c r="D2579">
        <v>0</v>
      </c>
      <c r="E2579">
        <v>0</v>
      </c>
      <c r="F2579">
        <v>0</v>
      </c>
    </row>
    <row r="2580" spans="1:6" x14ac:dyDescent="0.25">
      <c r="A2580" s="1">
        <v>44986</v>
      </c>
      <c r="B2580" t="s">
        <v>101</v>
      </c>
      <c r="C2580" t="s">
        <v>861</v>
      </c>
      <c r="D2580" s="2">
        <v>10392730.960000001</v>
      </c>
      <c r="E2580" s="2">
        <v>6713138.79</v>
      </c>
      <c r="F2580" s="2">
        <v>3788742.49</v>
      </c>
    </row>
    <row r="2581" spans="1:6" x14ac:dyDescent="0.25">
      <c r="A2581" s="1">
        <v>44986</v>
      </c>
      <c r="B2581" t="s">
        <v>25</v>
      </c>
      <c r="C2581" t="s">
        <v>324</v>
      </c>
      <c r="D2581">
        <v>0</v>
      </c>
      <c r="E2581">
        <v>0</v>
      </c>
      <c r="F2581">
        <v>0</v>
      </c>
    </row>
    <row r="2582" spans="1:6" x14ac:dyDescent="0.25">
      <c r="A2582" s="1">
        <v>44986</v>
      </c>
      <c r="B2582" t="s">
        <v>23</v>
      </c>
      <c r="C2582" t="s">
        <v>370</v>
      </c>
      <c r="D2582" s="2">
        <v>292208.74</v>
      </c>
      <c r="E2582" s="2">
        <v>180153.25</v>
      </c>
      <c r="F2582" s="2">
        <v>180764.24</v>
      </c>
    </row>
    <row r="2583" spans="1:6" x14ac:dyDescent="0.25">
      <c r="A2583" s="1">
        <v>44986</v>
      </c>
      <c r="B2583" t="s">
        <v>46</v>
      </c>
      <c r="C2583" t="s">
        <v>584</v>
      </c>
      <c r="D2583" s="2">
        <v>1273891.6599999999</v>
      </c>
      <c r="E2583" s="2">
        <v>3046427.08</v>
      </c>
      <c r="F2583" s="2">
        <v>2978728.43</v>
      </c>
    </row>
    <row r="2584" spans="1:6" x14ac:dyDescent="0.25">
      <c r="A2584" s="1">
        <v>44986</v>
      </c>
      <c r="B2584" t="s">
        <v>23</v>
      </c>
      <c r="C2584" t="s">
        <v>665</v>
      </c>
      <c r="D2584" s="2">
        <v>145184.12</v>
      </c>
      <c r="E2584" s="2">
        <v>306112.69</v>
      </c>
      <c r="F2584" s="2">
        <v>306112.69</v>
      </c>
    </row>
    <row r="2585" spans="1:6" x14ac:dyDescent="0.25">
      <c r="A2585" s="1">
        <v>44986</v>
      </c>
      <c r="B2585" t="s">
        <v>288</v>
      </c>
      <c r="C2585" t="s">
        <v>434</v>
      </c>
      <c r="D2585">
        <v>0</v>
      </c>
      <c r="E2585">
        <v>0</v>
      </c>
      <c r="F2585">
        <v>0</v>
      </c>
    </row>
    <row r="2586" spans="1:6" x14ac:dyDescent="0.25">
      <c r="A2586" s="1">
        <v>44986</v>
      </c>
      <c r="B2586" t="s">
        <v>545</v>
      </c>
      <c r="C2586" t="s">
        <v>362</v>
      </c>
      <c r="D2586" s="2">
        <v>17820368.07</v>
      </c>
      <c r="E2586" s="2">
        <v>11507109.359999999</v>
      </c>
      <c r="F2586" s="2">
        <v>10407565.41</v>
      </c>
    </row>
    <row r="2587" spans="1:6" x14ac:dyDescent="0.25">
      <c r="A2587" s="1">
        <v>44986</v>
      </c>
      <c r="B2587" t="s">
        <v>132</v>
      </c>
      <c r="C2587" t="s">
        <v>375</v>
      </c>
      <c r="D2587" s="2">
        <v>1090000</v>
      </c>
      <c r="E2587" s="2">
        <v>1090000</v>
      </c>
      <c r="F2587" s="2">
        <v>1090000</v>
      </c>
    </row>
    <row r="2588" spans="1:6" x14ac:dyDescent="0.25">
      <c r="A2588" s="1">
        <v>44986</v>
      </c>
      <c r="B2588" t="s">
        <v>68</v>
      </c>
      <c r="C2588" t="s">
        <v>221</v>
      </c>
      <c r="D2588" s="2">
        <v>-38974505.140000001</v>
      </c>
      <c r="E2588" s="2">
        <v>10464192.029999999</v>
      </c>
      <c r="F2588" s="2">
        <v>6939348.1900000004</v>
      </c>
    </row>
    <row r="2589" spans="1:6" x14ac:dyDescent="0.25">
      <c r="A2589" s="1">
        <v>44986</v>
      </c>
      <c r="B2589" t="s">
        <v>9</v>
      </c>
      <c r="C2589" t="s">
        <v>1151</v>
      </c>
      <c r="D2589">
        <v>0</v>
      </c>
      <c r="E2589">
        <v>0</v>
      </c>
      <c r="F2589">
        <v>0</v>
      </c>
    </row>
    <row r="2590" spans="1:6" x14ac:dyDescent="0.25">
      <c r="A2590" s="1">
        <v>44986</v>
      </c>
      <c r="B2590" t="s">
        <v>40</v>
      </c>
      <c r="C2590" t="s">
        <v>802</v>
      </c>
      <c r="D2590" s="2">
        <v>92518699.109999999</v>
      </c>
      <c r="E2590" s="2">
        <v>106376602.48</v>
      </c>
      <c r="F2590" s="2">
        <v>118837020.45999999</v>
      </c>
    </row>
    <row r="2591" spans="1:6" x14ac:dyDescent="0.25">
      <c r="A2591" s="1">
        <v>44986</v>
      </c>
      <c r="B2591" t="s">
        <v>154</v>
      </c>
      <c r="C2591" t="s">
        <v>785</v>
      </c>
      <c r="D2591" s="2">
        <v>71221699.579999998</v>
      </c>
      <c r="E2591" s="2">
        <v>11884940.449999999</v>
      </c>
      <c r="F2591" s="2">
        <v>11875096.369999999</v>
      </c>
    </row>
    <row r="2592" spans="1:6" x14ac:dyDescent="0.25">
      <c r="A2592" s="1">
        <v>44986</v>
      </c>
      <c r="B2592" t="s">
        <v>35</v>
      </c>
      <c r="C2592" t="s">
        <v>560</v>
      </c>
      <c r="D2592" s="2">
        <v>1807519.25</v>
      </c>
      <c r="E2592" s="2">
        <v>1395973.31</v>
      </c>
      <c r="F2592" s="2">
        <v>1367498.16</v>
      </c>
    </row>
    <row r="2593" spans="1:6" x14ac:dyDescent="0.25">
      <c r="A2593" s="1">
        <v>44986</v>
      </c>
      <c r="B2593" t="s">
        <v>13</v>
      </c>
      <c r="C2593" t="s">
        <v>737</v>
      </c>
      <c r="D2593" s="2">
        <v>10179994.42</v>
      </c>
      <c r="E2593" s="2">
        <v>2942238</v>
      </c>
      <c r="F2593" s="2">
        <v>2866394.47</v>
      </c>
    </row>
    <row r="2594" spans="1:6" x14ac:dyDescent="0.25">
      <c r="A2594" s="1">
        <v>44986</v>
      </c>
      <c r="B2594" t="s">
        <v>44</v>
      </c>
      <c r="C2594" t="s">
        <v>684</v>
      </c>
      <c r="D2594" s="2">
        <v>975406.22</v>
      </c>
      <c r="E2594" s="2">
        <v>543029.49</v>
      </c>
      <c r="F2594" s="2">
        <v>490294.98</v>
      </c>
    </row>
    <row r="2595" spans="1:6" x14ac:dyDescent="0.25">
      <c r="A2595" s="1">
        <v>44986</v>
      </c>
      <c r="B2595" t="s">
        <v>23</v>
      </c>
      <c r="C2595" t="s">
        <v>776</v>
      </c>
      <c r="D2595" s="2">
        <v>45392900.240000002</v>
      </c>
      <c r="E2595" s="2">
        <v>14947021.369999999</v>
      </c>
      <c r="F2595" s="2">
        <v>12264638.75</v>
      </c>
    </row>
    <row r="2596" spans="1:6" x14ac:dyDescent="0.25">
      <c r="A2596" s="1">
        <v>44986</v>
      </c>
      <c r="B2596" t="s">
        <v>11</v>
      </c>
      <c r="C2596" t="s">
        <v>696</v>
      </c>
      <c r="D2596" s="2">
        <v>18611566.850000001</v>
      </c>
      <c r="E2596" s="2">
        <v>18697826.68</v>
      </c>
      <c r="F2596" s="2">
        <v>18629807.449999999</v>
      </c>
    </row>
    <row r="2597" spans="1:6" x14ac:dyDescent="0.25">
      <c r="A2597" s="1">
        <v>44986</v>
      </c>
      <c r="B2597" t="s">
        <v>196</v>
      </c>
      <c r="C2597" t="s">
        <v>615</v>
      </c>
      <c r="D2597">
        <v>0</v>
      </c>
      <c r="E2597">
        <v>0</v>
      </c>
      <c r="F2597">
        <v>0</v>
      </c>
    </row>
    <row r="2598" spans="1:6" x14ac:dyDescent="0.25">
      <c r="A2598" s="1">
        <v>44986</v>
      </c>
      <c r="B2598" t="s">
        <v>37</v>
      </c>
      <c r="C2598" t="s">
        <v>884</v>
      </c>
      <c r="D2598" s="2">
        <v>321381.98</v>
      </c>
      <c r="E2598" s="2">
        <v>508062.04</v>
      </c>
      <c r="F2598" s="2">
        <v>478279.48</v>
      </c>
    </row>
    <row r="2599" spans="1:6" x14ac:dyDescent="0.25">
      <c r="A2599" s="1">
        <v>44986</v>
      </c>
      <c r="B2599" t="s">
        <v>159</v>
      </c>
      <c r="C2599" t="s">
        <v>360</v>
      </c>
      <c r="D2599" s="2">
        <v>47926.18</v>
      </c>
      <c r="E2599">
        <v>0</v>
      </c>
      <c r="F2599">
        <v>0</v>
      </c>
    </row>
    <row r="2600" spans="1:6" x14ac:dyDescent="0.25">
      <c r="A2600" s="1">
        <v>44986</v>
      </c>
      <c r="B2600" t="s">
        <v>545</v>
      </c>
      <c r="C2600" t="s">
        <v>738</v>
      </c>
      <c r="D2600" s="2">
        <v>3390</v>
      </c>
      <c r="E2600">
        <v>400</v>
      </c>
      <c r="F2600">
        <v>0</v>
      </c>
    </row>
    <row r="2601" spans="1:6" x14ac:dyDescent="0.25">
      <c r="A2601" s="1">
        <v>44986</v>
      </c>
      <c r="B2601" t="s">
        <v>23</v>
      </c>
      <c r="C2601" t="s">
        <v>603</v>
      </c>
      <c r="D2601" s="2">
        <v>93114.78</v>
      </c>
      <c r="E2601" s="2">
        <v>62979.76</v>
      </c>
      <c r="F2601" s="2">
        <v>59191</v>
      </c>
    </row>
    <row r="2602" spans="1:6" x14ac:dyDescent="0.25">
      <c r="A2602" s="1">
        <v>44986</v>
      </c>
      <c r="B2602" t="s">
        <v>15</v>
      </c>
      <c r="C2602" t="s">
        <v>964</v>
      </c>
      <c r="D2602">
        <v>0</v>
      </c>
      <c r="E2602">
        <v>0</v>
      </c>
      <c r="F2602">
        <v>0</v>
      </c>
    </row>
    <row r="2603" spans="1:6" x14ac:dyDescent="0.25">
      <c r="A2603" s="1">
        <v>44986</v>
      </c>
      <c r="B2603" t="s">
        <v>92</v>
      </c>
      <c r="C2603" t="s">
        <v>488</v>
      </c>
      <c r="D2603" s="2">
        <v>180269.49</v>
      </c>
      <c r="E2603" s="2">
        <v>146673.67000000001</v>
      </c>
      <c r="F2603" s="2">
        <v>146673.67000000001</v>
      </c>
    </row>
    <row r="2604" spans="1:6" x14ac:dyDescent="0.25">
      <c r="A2604" s="1">
        <v>44986</v>
      </c>
      <c r="B2604" t="s">
        <v>48</v>
      </c>
      <c r="C2604" t="s">
        <v>1152</v>
      </c>
      <c r="D2604" s="2">
        <v>29759943.129999999</v>
      </c>
      <c r="E2604" s="2">
        <v>2808379.99</v>
      </c>
      <c r="F2604" s="2">
        <v>2808379.99</v>
      </c>
    </row>
    <row r="2605" spans="1:6" x14ac:dyDescent="0.25">
      <c r="A2605" s="1">
        <v>44986</v>
      </c>
      <c r="B2605" t="s">
        <v>752</v>
      </c>
      <c r="C2605" t="s">
        <v>753</v>
      </c>
      <c r="D2605" s="2">
        <v>8466998.0099999998</v>
      </c>
      <c r="E2605" s="2">
        <v>1091272.3999999999</v>
      </c>
      <c r="F2605" s="2">
        <v>908186.98</v>
      </c>
    </row>
    <row r="2606" spans="1:6" x14ac:dyDescent="0.25">
      <c r="A2606" s="1">
        <v>44986</v>
      </c>
      <c r="B2606" t="s">
        <v>101</v>
      </c>
      <c r="C2606" t="s">
        <v>203</v>
      </c>
      <c r="D2606">
        <v>0</v>
      </c>
      <c r="E2606">
        <v>0</v>
      </c>
      <c r="F2606">
        <v>0</v>
      </c>
    </row>
    <row r="2607" spans="1:6" x14ac:dyDescent="0.25">
      <c r="A2607" s="1">
        <v>44986</v>
      </c>
      <c r="B2607" t="s">
        <v>40</v>
      </c>
      <c r="C2607" t="s">
        <v>457</v>
      </c>
      <c r="D2607" s="2">
        <v>34947315.159999996</v>
      </c>
      <c r="E2607" s="2">
        <v>20189077.449999999</v>
      </c>
      <c r="F2607" s="2">
        <v>17648530.989999998</v>
      </c>
    </row>
    <row r="2608" spans="1:6" x14ac:dyDescent="0.25">
      <c r="A2608" s="1">
        <v>44986</v>
      </c>
      <c r="B2608" t="s">
        <v>17</v>
      </c>
      <c r="C2608" t="s">
        <v>782</v>
      </c>
      <c r="D2608" s="2">
        <v>3366.19</v>
      </c>
      <c r="E2608" s="2">
        <v>3366.19</v>
      </c>
      <c r="F2608" s="2">
        <v>3366.19</v>
      </c>
    </row>
    <row r="2609" spans="1:6" x14ac:dyDescent="0.25">
      <c r="A2609" s="1">
        <v>44986</v>
      </c>
      <c r="B2609" t="s">
        <v>162</v>
      </c>
      <c r="C2609" t="s">
        <v>421</v>
      </c>
      <c r="D2609" s="2">
        <v>3681209.67</v>
      </c>
      <c r="E2609" s="2">
        <v>1511664.76</v>
      </c>
      <c r="F2609" s="2">
        <v>519100.1</v>
      </c>
    </row>
    <row r="2610" spans="1:6" x14ac:dyDescent="0.25">
      <c r="A2610" s="1">
        <v>44986</v>
      </c>
      <c r="B2610" t="s">
        <v>23</v>
      </c>
      <c r="C2610" t="s">
        <v>761</v>
      </c>
      <c r="D2610" s="2">
        <v>226819168.94999999</v>
      </c>
      <c r="E2610" s="2">
        <v>102811545.67</v>
      </c>
      <c r="F2610" s="2">
        <v>102018863.58</v>
      </c>
    </row>
    <row r="2611" spans="1:6" x14ac:dyDescent="0.25">
      <c r="A2611" s="1">
        <v>44986</v>
      </c>
      <c r="B2611" t="s">
        <v>23</v>
      </c>
      <c r="C2611" t="s">
        <v>394</v>
      </c>
      <c r="D2611">
        <v>0</v>
      </c>
      <c r="E2611">
        <v>0</v>
      </c>
      <c r="F2611">
        <v>0</v>
      </c>
    </row>
    <row r="2612" spans="1:6" x14ac:dyDescent="0.25">
      <c r="A2612" s="1">
        <v>44986</v>
      </c>
      <c r="B2612" t="s">
        <v>44</v>
      </c>
      <c r="C2612" t="s">
        <v>838</v>
      </c>
      <c r="D2612" s="2">
        <v>12419992.57</v>
      </c>
      <c r="E2612" s="2">
        <v>8926738.3900000006</v>
      </c>
      <c r="F2612" s="2">
        <v>9056075.2899999991</v>
      </c>
    </row>
    <row r="2613" spans="1:6" x14ac:dyDescent="0.25">
      <c r="A2613" s="1">
        <v>44986</v>
      </c>
      <c r="B2613" t="s">
        <v>31</v>
      </c>
      <c r="C2613" t="s">
        <v>855</v>
      </c>
      <c r="D2613" s="2">
        <v>268950</v>
      </c>
      <c r="E2613" s="2">
        <v>218347.95</v>
      </c>
      <c r="F2613" s="2">
        <v>238040.3</v>
      </c>
    </row>
    <row r="2614" spans="1:6" x14ac:dyDescent="0.25">
      <c r="A2614" s="1">
        <v>44986</v>
      </c>
      <c r="B2614" t="s">
        <v>23</v>
      </c>
      <c r="C2614" t="s">
        <v>610</v>
      </c>
      <c r="D2614" s="2">
        <v>43732705.689999998</v>
      </c>
      <c r="E2614" s="2">
        <v>27946908.25</v>
      </c>
      <c r="F2614" s="2">
        <v>36397745.590000004</v>
      </c>
    </row>
    <row r="2615" spans="1:6" x14ac:dyDescent="0.25">
      <c r="A2615" s="1">
        <v>44986</v>
      </c>
      <c r="B2615" t="s">
        <v>13</v>
      </c>
      <c r="C2615" t="s">
        <v>635</v>
      </c>
      <c r="D2615" s="2">
        <v>-186279.56</v>
      </c>
      <c r="E2615" s="2">
        <v>26606.18</v>
      </c>
      <c r="F2615" s="2">
        <v>26387.74</v>
      </c>
    </row>
    <row r="2616" spans="1:6" x14ac:dyDescent="0.25">
      <c r="A2616" s="1">
        <v>44986</v>
      </c>
      <c r="B2616" t="s">
        <v>92</v>
      </c>
      <c r="C2616" t="s">
        <v>465</v>
      </c>
      <c r="D2616" s="2">
        <v>3940.79</v>
      </c>
      <c r="E2616" s="2">
        <v>3940.79</v>
      </c>
      <c r="F2616" s="2">
        <v>3940.79</v>
      </c>
    </row>
    <row r="2617" spans="1:6" x14ac:dyDescent="0.25">
      <c r="A2617" s="1">
        <v>44986</v>
      </c>
      <c r="B2617" t="s">
        <v>107</v>
      </c>
      <c r="C2617" t="s">
        <v>501</v>
      </c>
      <c r="D2617" s="2">
        <v>220066510.37</v>
      </c>
      <c r="E2617" s="2">
        <v>2924895.5</v>
      </c>
      <c r="F2617" s="2">
        <v>204843454.50999999</v>
      </c>
    </row>
    <row r="2618" spans="1:6" x14ac:dyDescent="0.25">
      <c r="A2618" s="1">
        <v>44986</v>
      </c>
      <c r="B2618" t="s">
        <v>23</v>
      </c>
      <c r="C2618" t="s">
        <v>675</v>
      </c>
      <c r="D2618" s="2">
        <v>27128652.300000001</v>
      </c>
      <c r="E2618" s="2">
        <v>873252.01</v>
      </c>
      <c r="F2618" s="2">
        <v>609341.64</v>
      </c>
    </row>
    <row r="2619" spans="1:6" x14ac:dyDescent="0.25">
      <c r="A2619" s="1">
        <v>44986</v>
      </c>
      <c r="B2619" t="s">
        <v>107</v>
      </c>
      <c r="C2619" t="s">
        <v>615</v>
      </c>
      <c r="D2619" s="2">
        <v>24634894.859999999</v>
      </c>
      <c r="E2619" s="2">
        <v>21931385.41</v>
      </c>
      <c r="F2619" s="2">
        <v>21181601.940000001</v>
      </c>
    </row>
    <row r="2620" spans="1:6" x14ac:dyDescent="0.25">
      <c r="A2620" s="1">
        <v>44986</v>
      </c>
      <c r="B2620" t="s">
        <v>40</v>
      </c>
      <c r="C2620" t="s">
        <v>825</v>
      </c>
      <c r="D2620" s="2">
        <v>31841725.960000001</v>
      </c>
      <c r="E2620" s="2">
        <v>1296994.1499999999</v>
      </c>
      <c r="F2620" s="2">
        <v>809291.57</v>
      </c>
    </row>
    <row r="2621" spans="1:6" x14ac:dyDescent="0.25">
      <c r="A2621" s="1">
        <v>44986</v>
      </c>
      <c r="B2621" t="s">
        <v>37</v>
      </c>
      <c r="C2621" t="s">
        <v>504</v>
      </c>
      <c r="D2621">
        <v>0</v>
      </c>
      <c r="E2621" s="2">
        <v>489293.15</v>
      </c>
      <c r="F2621" s="2">
        <v>489293.15</v>
      </c>
    </row>
    <row r="2622" spans="1:6" x14ac:dyDescent="0.25">
      <c r="A2622" s="1">
        <v>44986</v>
      </c>
      <c r="B2622" t="s">
        <v>251</v>
      </c>
      <c r="C2622" t="s">
        <v>808</v>
      </c>
      <c r="D2622" s="2">
        <v>1549239.32</v>
      </c>
      <c r="E2622" s="2">
        <v>115894607.81999999</v>
      </c>
      <c r="F2622" s="2">
        <v>114799645.14</v>
      </c>
    </row>
    <row r="2623" spans="1:6" x14ac:dyDescent="0.25">
      <c r="A2623" s="1">
        <v>44986</v>
      </c>
      <c r="B2623" t="s">
        <v>25</v>
      </c>
      <c r="C2623" t="s">
        <v>138</v>
      </c>
      <c r="D2623" s="2">
        <v>86314.54</v>
      </c>
      <c r="E2623" s="2">
        <v>14282.66</v>
      </c>
      <c r="F2623" s="2">
        <v>15061.77</v>
      </c>
    </row>
    <row r="2624" spans="1:6" x14ac:dyDescent="0.25">
      <c r="A2624" s="1">
        <v>44986</v>
      </c>
      <c r="B2624" t="s">
        <v>23</v>
      </c>
      <c r="C2624" t="s">
        <v>759</v>
      </c>
      <c r="D2624" s="2">
        <v>172600.38</v>
      </c>
      <c r="E2624" s="2">
        <v>100953.31</v>
      </c>
      <c r="F2624" s="2">
        <v>110120.48</v>
      </c>
    </row>
    <row r="2625" spans="1:6" x14ac:dyDescent="0.25">
      <c r="A2625" s="1">
        <v>44986</v>
      </c>
      <c r="B2625" t="s">
        <v>21</v>
      </c>
      <c r="C2625" t="s">
        <v>406</v>
      </c>
      <c r="D2625" s="2">
        <v>3320000</v>
      </c>
      <c r="E2625" s="2">
        <v>8513.68</v>
      </c>
      <c r="F2625" s="2">
        <v>8513.68</v>
      </c>
    </row>
    <row r="2626" spans="1:6" x14ac:dyDescent="0.25">
      <c r="A2626" s="1">
        <v>44986</v>
      </c>
      <c r="B2626" t="s">
        <v>31</v>
      </c>
      <c r="C2626" t="s">
        <v>82</v>
      </c>
      <c r="D2626" s="2">
        <v>32594.9</v>
      </c>
      <c r="E2626" s="2">
        <v>22143.35</v>
      </c>
      <c r="F2626" s="2">
        <v>19291.93</v>
      </c>
    </row>
    <row r="2627" spans="1:6" x14ac:dyDescent="0.25">
      <c r="A2627" s="1">
        <v>44986</v>
      </c>
      <c r="B2627" t="s">
        <v>37</v>
      </c>
      <c r="C2627" t="s">
        <v>784</v>
      </c>
      <c r="D2627" s="2">
        <v>3467962.14</v>
      </c>
      <c r="E2627" s="2">
        <v>3188689.87</v>
      </c>
      <c r="F2627" s="2">
        <v>3352779.59</v>
      </c>
    </row>
    <row r="2628" spans="1:6" x14ac:dyDescent="0.25">
      <c r="A2628" s="1">
        <v>44986</v>
      </c>
      <c r="B2628" t="s">
        <v>216</v>
      </c>
      <c r="C2628" t="s">
        <v>756</v>
      </c>
      <c r="D2628">
        <v>0</v>
      </c>
      <c r="E2628">
        <v>0</v>
      </c>
      <c r="F2628">
        <v>0</v>
      </c>
    </row>
    <row r="2629" spans="1:6" x14ac:dyDescent="0.25">
      <c r="A2629" s="1">
        <v>44986</v>
      </c>
      <c r="B2629" t="s">
        <v>132</v>
      </c>
      <c r="C2629" t="s">
        <v>469</v>
      </c>
      <c r="D2629" s="2">
        <v>75861069.989999995</v>
      </c>
      <c r="E2629" s="2">
        <v>82886259.909999996</v>
      </c>
      <c r="F2629" s="2">
        <v>72569495.030000001</v>
      </c>
    </row>
    <row r="2630" spans="1:6" x14ac:dyDescent="0.25">
      <c r="A2630" s="1">
        <v>44986</v>
      </c>
      <c r="B2630" t="s">
        <v>23</v>
      </c>
      <c r="C2630" t="s">
        <v>248</v>
      </c>
      <c r="D2630" s="2">
        <v>8372279.5499999998</v>
      </c>
      <c r="E2630">
        <v>0</v>
      </c>
      <c r="F2630">
        <v>0</v>
      </c>
    </row>
    <row r="2631" spans="1:6" x14ac:dyDescent="0.25">
      <c r="A2631" s="1">
        <v>44986</v>
      </c>
      <c r="B2631" t="s">
        <v>251</v>
      </c>
      <c r="C2631" t="s">
        <v>750</v>
      </c>
      <c r="D2631" s="2">
        <v>33387687.289999999</v>
      </c>
      <c r="E2631" s="2">
        <v>36964151.219999999</v>
      </c>
      <c r="F2631" s="2">
        <v>38715392.710000001</v>
      </c>
    </row>
    <row r="2632" spans="1:6" x14ac:dyDescent="0.25">
      <c r="A2632" s="1">
        <v>44986</v>
      </c>
      <c r="B2632" t="s">
        <v>44</v>
      </c>
      <c r="C2632" t="s">
        <v>579</v>
      </c>
      <c r="D2632" s="2">
        <v>260840.81</v>
      </c>
      <c r="E2632" s="2">
        <v>141054.76999999999</v>
      </c>
      <c r="F2632" s="2">
        <v>147607.59</v>
      </c>
    </row>
    <row r="2633" spans="1:6" x14ac:dyDescent="0.25">
      <c r="A2633" s="1">
        <v>44986</v>
      </c>
      <c r="B2633" t="s">
        <v>40</v>
      </c>
      <c r="C2633" t="s">
        <v>772</v>
      </c>
      <c r="D2633" s="2">
        <v>3623253.7</v>
      </c>
      <c r="E2633" s="2">
        <v>1080941.25</v>
      </c>
      <c r="F2633" s="2">
        <v>1935584.14</v>
      </c>
    </row>
    <row r="2634" spans="1:6" x14ac:dyDescent="0.25">
      <c r="A2634" s="1">
        <v>44986</v>
      </c>
      <c r="B2634" t="s">
        <v>159</v>
      </c>
      <c r="C2634" t="s">
        <v>367</v>
      </c>
      <c r="D2634">
        <v>0</v>
      </c>
      <c r="E2634">
        <v>0</v>
      </c>
      <c r="F2634">
        <v>0</v>
      </c>
    </row>
    <row r="2635" spans="1:6" x14ac:dyDescent="0.25">
      <c r="A2635" s="1">
        <v>44986</v>
      </c>
      <c r="B2635" t="s">
        <v>306</v>
      </c>
      <c r="C2635" t="s">
        <v>702</v>
      </c>
      <c r="D2635" s="2">
        <v>-260064</v>
      </c>
      <c r="E2635" s="2">
        <v>128220.41</v>
      </c>
      <c r="F2635" s="2">
        <v>128220.41</v>
      </c>
    </row>
    <row r="2636" spans="1:6" x14ac:dyDescent="0.25">
      <c r="A2636" s="1">
        <v>44986</v>
      </c>
      <c r="B2636" t="s">
        <v>23</v>
      </c>
      <c r="C2636" t="s">
        <v>575</v>
      </c>
      <c r="D2636" s="2">
        <v>10360583.25</v>
      </c>
      <c r="E2636" s="2">
        <v>10153621.050000001</v>
      </c>
      <c r="F2636" s="2">
        <v>9278390.9600000009</v>
      </c>
    </row>
    <row r="2637" spans="1:6" x14ac:dyDescent="0.25">
      <c r="A2637" s="1">
        <v>44986</v>
      </c>
      <c r="B2637" t="s">
        <v>9</v>
      </c>
      <c r="C2637" t="s">
        <v>667</v>
      </c>
      <c r="D2637" s="2">
        <v>286040.59999999998</v>
      </c>
      <c r="E2637" s="2">
        <v>180120</v>
      </c>
      <c r="F2637" s="2">
        <v>180120</v>
      </c>
    </row>
    <row r="2638" spans="1:6" x14ac:dyDescent="0.25">
      <c r="A2638" s="1">
        <v>44986</v>
      </c>
      <c r="B2638" t="s">
        <v>101</v>
      </c>
      <c r="C2638" t="s">
        <v>786</v>
      </c>
      <c r="D2638" s="2">
        <v>1369918.06</v>
      </c>
      <c r="E2638" s="2">
        <v>269425.09000000003</v>
      </c>
      <c r="F2638" s="2">
        <v>150118.85</v>
      </c>
    </row>
    <row r="2639" spans="1:6" x14ac:dyDescent="0.25">
      <c r="A2639" s="1">
        <v>44986</v>
      </c>
      <c r="B2639" t="s">
        <v>65</v>
      </c>
      <c r="C2639" t="s">
        <v>834</v>
      </c>
      <c r="D2639" s="2">
        <v>6011740.4800000004</v>
      </c>
      <c r="E2639" s="2">
        <v>1895808.4</v>
      </c>
      <c r="F2639" s="2">
        <v>1792595.76</v>
      </c>
    </row>
    <row r="2640" spans="1:6" x14ac:dyDescent="0.25">
      <c r="A2640" s="1">
        <v>44986</v>
      </c>
      <c r="B2640" t="s">
        <v>23</v>
      </c>
      <c r="C2640" t="s">
        <v>867</v>
      </c>
      <c r="D2640" s="2">
        <v>1426155.77</v>
      </c>
      <c r="E2640" s="2">
        <v>436184.01</v>
      </c>
      <c r="F2640" s="2">
        <v>391927.92</v>
      </c>
    </row>
    <row r="2641" spans="1:6" x14ac:dyDescent="0.25">
      <c r="A2641" s="1">
        <v>44986</v>
      </c>
      <c r="B2641" t="s">
        <v>68</v>
      </c>
      <c r="C2641" t="s">
        <v>87</v>
      </c>
      <c r="D2641" s="2">
        <v>2877500</v>
      </c>
      <c r="E2641" s="2">
        <v>646802.79</v>
      </c>
      <c r="F2641" s="2">
        <v>646802.79</v>
      </c>
    </row>
    <row r="2642" spans="1:6" x14ac:dyDescent="0.25">
      <c r="A2642" s="1">
        <v>44986</v>
      </c>
      <c r="B2642" t="s">
        <v>272</v>
      </c>
      <c r="C2642" t="s">
        <v>593</v>
      </c>
      <c r="D2642" s="2">
        <v>2926482.64</v>
      </c>
      <c r="E2642" s="2">
        <v>1385306.46</v>
      </c>
      <c r="F2642" s="2">
        <v>1318173.3700000001</v>
      </c>
    </row>
    <row r="2643" spans="1:6" x14ac:dyDescent="0.25">
      <c r="A2643" s="1">
        <v>44986</v>
      </c>
      <c r="B2643" t="s">
        <v>23</v>
      </c>
      <c r="C2643" t="s">
        <v>896</v>
      </c>
      <c r="D2643" s="2">
        <v>6024516.9500000002</v>
      </c>
      <c r="E2643" s="2">
        <v>3254506.52</v>
      </c>
      <c r="F2643" s="2">
        <v>1753688.2</v>
      </c>
    </row>
    <row r="2644" spans="1:6" x14ac:dyDescent="0.25">
      <c r="A2644" s="1">
        <v>44986</v>
      </c>
      <c r="B2644" t="s">
        <v>46</v>
      </c>
      <c r="C2644" t="s">
        <v>618</v>
      </c>
      <c r="D2644" s="2">
        <v>156665817.41999999</v>
      </c>
      <c r="E2644" s="2">
        <v>128871092.90000001</v>
      </c>
      <c r="F2644" s="2">
        <v>126440191.78</v>
      </c>
    </row>
    <row r="2645" spans="1:6" x14ac:dyDescent="0.25">
      <c r="A2645" s="1">
        <v>44986</v>
      </c>
      <c r="B2645" t="s">
        <v>162</v>
      </c>
      <c r="C2645" t="s">
        <v>605</v>
      </c>
      <c r="D2645" s="2">
        <v>632245.04</v>
      </c>
      <c r="E2645" s="2">
        <v>446290.29</v>
      </c>
      <c r="F2645" s="2">
        <v>387325.31</v>
      </c>
    </row>
    <row r="2646" spans="1:6" x14ac:dyDescent="0.25">
      <c r="A2646" s="1">
        <v>44986</v>
      </c>
      <c r="B2646" t="s">
        <v>21</v>
      </c>
      <c r="C2646" t="s">
        <v>797</v>
      </c>
      <c r="D2646">
        <v>0</v>
      </c>
      <c r="E2646">
        <v>0</v>
      </c>
      <c r="F2646">
        <v>0</v>
      </c>
    </row>
    <row r="2647" spans="1:6" x14ac:dyDescent="0.25">
      <c r="A2647" s="1">
        <v>44986</v>
      </c>
      <c r="B2647" t="s">
        <v>105</v>
      </c>
      <c r="C2647" t="s">
        <v>336</v>
      </c>
      <c r="D2647" s="2">
        <v>5520961.0300000003</v>
      </c>
      <c r="E2647" s="2">
        <v>795121.16</v>
      </c>
      <c r="F2647" s="2">
        <v>785982.15</v>
      </c>
    </row>
    <row r="2648" spans="1:6" x14ac:dyDescent="0.25">
      <c r="A2648" s="1">
        <v>44986</v>
      </c>
      <c r="B2648" t="s">
        <v>118</v>
      </c>
      <c r="C2648" t="s">
        <v>742</v>
      </c>
      <c r="D2648" s="2">
        <v>464212.91</v>
      </c>
      <c r="E2648" s="2">
        <v>306852.33</v>
      </c>
      <c r="F2648" s="2">
        <v>22469.89</v>
      </c>
    </row>
    <row r="2649" spans="1:6" x14ac:dyDescent="0.25">
      <c r="A2649" s="1">
        <v>44986</v>
      </c>
      <c r="B2649" t="s">
        <v>37</v>
      </c>
      <c r="C2649" t="s">
        <v>676</v>
      </c>
      <c r="D2649" s="2">
        <v>979886.98</v>
      </c>
      <c r="E2649" s="2">
        <v>513682.16</v>
      </c>
      <c r="F2649" s="2">
        <v>516749.18</v>
      </c>
    </row>
    <row r="2650" spans="1:6" x14ac:dyDescent="0.25">
      <c r="A2650" s="1">
        <v>44986</v>
      </c>
      <c r="B2650" t="s">
        <v>23</v>
      </c>
      <c r="C2650" t="s">
        <v>891</v>
      </c>
      <c r="D2650" s="2">
        <v>1516410.65</v>
      </c>
      <c r="E2650" s="2">
        <v>249201.13</v>
      </c>
      <c r="F2650" s="2">
        <v>249201.13</v>
      </c>
    </row>
    <row r="2651" spans="1:6" x14ac:dyDescent="0.25">
      <c r="A2651" s="1">
        <v>44986</v>
      </c>
      <c r="B2651" t="s">
        <v>37</v>
      </c>
      <c r="C2651" t="s">
        <v>851</v>
      </c>
      <c r="D2651" s="2">
        <v>-5310450.6500000004</v>
      </c>
      <c r="E2651" s="2">
        <v>8449637.2799999993</v>
      </c>
      <c r="F2651" s="2">
        <v>19250437.559999999</v>
      </c>
    </row>
    <row r="2652" spans="1:6" x14ac:dyDescent="0.25">
      <c r="A2652" s="1">
        <v>44986</v>
      </c>
      <c r="B2652" t="s">
        <v>545</v>
      </c>
      <c r="C2652" t="s">
        <v>908</v>
      </c>
      <c r="D2652" s="2">
        <v>42143.3</v>
      </c>
      <c r="E2652" s="2">
        <v>12276</v>
      </c>
      <c r="F2652" s="2">
        <v>12276</v>
      </c>
    </row>
    <row r="2653" spans="1:6" x14ac:dyDescent="0.25">
      <c r="A2653" s="1">
        <v>44986</v>
      </c>
      <c r="B2653" t="s">
        <v>40</v>
      </c>
      <c r="C2653" t="s">
        <v>729</v>
      </c>
      <c r="D2653" s="2">
        <v>22486883.949999999</v>
      </c>
      <c r="E2653" s="2">
        <v>56609044.729999997</v>
      </c>
      <c r="F2653" s="2">
        <v>54068786.259999998</v>
      </c>
    </row>
    <row r="2654" spans="1:6" x14ac:dyDescent="0.25">
      <c r="A2654" s="1">
        <v>44986</v>
      </c>
      <c r="B2654" t="s">
        <v>50</v>
      </c>
      <c r="C2654" t="s">
        <v>274</v>
      </c>
      <c r="D2654" s="2">
        <v>-2907.27</v>
      </c>
      <c r="E2654" s="2">
        <v>19696.18</v>
      </c>
      <c r="F2654">
        <v>946.4</v>
      </c>
    </row>
    <row r="2655" spans="1:6" x14ac:dyDescent="0.25">
      <c r="A2655" s="1">
        <v>44986</v>
      </c>
      <c r="B2655" t="s">
        <v>648</v>
      </c>
      <c r="C2655" t="s">
        <v>914</v>
      </c>
      <c r="D2655" s="2">
        <v>122958926.87</v>
      </c>
      <c r="E2655" s="2">
        <v>82732178.909999996</v>
      </c>
      <c r="F2655" s="2">
        <v>48070436.200000003</v>
      </c>
    </row>
    <row r="2656" spans="1:6" x14ac:dyDescent="0.25">
      <c r="A2656" s="1">
        <v>44986</v>
      </c>
      <c r="B2656" t="s">
        <v>288</v>
      </c>
      <c r="C2656" t="s">
        <v>660</v>
      </c>
      <c r="D2656" s="2">
        <v>8619.4599999999991</v>
      </c>
      <c r="E2656" s="2">
        <v>8619.4599999999991</v>
      </c>
      <c r="F2656" s="2">
        <v>8619.4599999999991</v>
      </c>
    </row>
    <row r="2657" spans="1:6" x14ac:dyDescent="0.25">
      <c r="A2657" s="1">
        <v>44986</v>
      </c>
      <c r="B2657" t="s">
        <v>40</v>
      </c>
      <c r="C2657" t="s">
        <v>449</v>
      </c>
      <c r="D2657">
        <v>0</v>
      </c>
      <c r="E2657">
        <v>0</v>
      </c>
      <c r="F2657">
        <v>0</v>
      </c>
    </row>
    <row r="2658" spans="1:6" x14ac:dyDescent="0.25">
      <c r="A2658" s="1">
        <v>44986</v>
      </c>
      <c r="B2658" t="s">
        <v>118</v>
      </c>
      <c r="C2658" t="s">
        <v>298</v>
      </c>
      <c r="D2658">
        <v>0</v>
      </c>
      <c r="E2658">
        <v>613.64</v>
      </c>
      <c r="F2658" s="2">
        <v>4147.92</v>
      </c>
    </row>
    <row r="2659" spans="1:6" x14ac:dyDescent="0.25">
      <c r="A2659" s="1">
        <v>44986</v>
      </c>
      <c r="B2659" t="s">
        <v>40</v>
      </c>
      <c r="C2659" t="s">
        <v>706</v>
      </c>
      <c r="D2659" s="2">
        <v>3368034.53</v>
      </c>
      <c r="E2659" s="2">
        <v>185457.39</v>
      </c>
      <c r="F2659" s="2">
        <v>183359.72</v>
      </c>
    </row>
    <row r="2660" spans="1:6" x14ac:dyDescent="0.25">
      <c r="A2660" s="1">
        <v>44986</v>
      </c>
      <c r="B2660" t="s">
        <v>40</v>
      </c>
      <c r="C2660" t="s">
        <v>766</v>
      </c>
      <c r="D2660" s="2">
        <v>4984209.28</v>
      </c>
      <c r="E2660" s="2">
        <v>1343773.55</v>
      </c>
      <c r="F2660" s="2">
        <v>1349394.51</v>
      </c>
    </row>
    <row r="2661" spans="1:6" x14ac:dyDescent="0.25">
      <c r="A2661" s="1">
        <v>44986</v>
      </c>
      <c r="B2661" t="s">
        <v>46</v>
      </c>
      <c r="C2661" t="s">
        <v>1007</v>
      </c>
      <c r="D2661" s="2">
        <v>30100</v>
      </c>
      <c r="E2661">
        <v>0</v>
      </c>
      <c r="F2661" s="2">
        <v>4493450</v>
      </c>
    </row>
    <row r="2662" spans="1:6" x14ac:dyDescent="0.25">
      <c r="A2662" s="1">
        <v>44986</v>
      </c>
      <c r="B2662" t="s">
        <v>132</v>
      </c>
      <c r="C2662" t="s">
        <v>543</v>
      </c>
      <c r="D2662" s="2">
        <v>4799903627.2799997</v>
      </c>
      <c r="E2662" s="2">
        <v>4694680239.7600002</v>
      </c>
      <c r="F2662" s="2">
        <v>4707795586.6999998</v>
      </c>
    </row>
    <row r="2663" spans="1:6" x14ac:dyDescent="0.25">
      <c r="A2663" s="1">
        <v>44986</v>
      </c>
      <c r="B2663" t="s">
        <v>821</v>
      </c>
      <c r="C2663" t="s">
        <v>965</v>
      </c>
      <c r="D2663" s="2">
        <v>138135.57</v>
      </c>
      <c r="E2663" s="2">
        <v>138135.57</v>
      </c>
      <c r="F2663" s="2">
        <v>138135.57</v>
      </c>
    </row>
    <row r="2664" spans="1:6" x14ac:dyDescent="0.25">
      <c r="A2664" s="1">
        <v>44986</v>
      </c>
      <c r="B2664" t="s">
        <v>44</v>
      </c>
      <c r="C2664" t="s">
        <v>828</v>
      </c>
      <c r="D2664" s="2">
        <v>564437.81000000006</v>
      </c>
      <c r="E2664" s="2">
        <v>933157.9</v>
      </c>
      <c r="F2664" s="2">
        <v>906770.27</v>
      </c>
    </row>
    <row r="2665" spans="1:6" x14ac:dyDescent="0.25">
      <c r="A2665" s="1">
        <v>44986</v>
      </c>
      <c r="B2665" t="s">
        <v>107</v>
      </c>
      <c r="C2665" t="s">
        <v>890</v>
      </c>
      <c r="D2665" s="2">
        <v>24713299.300000001</v>
      </c>
      <c r="E2665" s="2">
        <v>19694925.539999999</v>
      </c>
      <c r="F2665" s="2">
        <v>20627147.219999999</v>
      </c>
    </row>
    <row r="2666" spans="1:6" x14ac:dyDescent="0.25">
      <c r="A2666" s="1">
        <v>44986</v>
      </c>
      <c r="B2666" t="s">
        <v>143</v>
      </c>
      <c r="C2666" t="s">
        <v>858</v>
      </c>
      <c r="D2666" s="2">
        <v>100775289.17</v>
      </c>
      <c r="E2666" s="2">
        <v>121111309.52</v>
      </c>
      <c r="F2666" s="2">
        <v>120904118.31</v>
      </c>
    </row>
    <row r="2667" spans="1:6" x14ac:dyDescent="0.25">
      <c r="A2667" s="1">
        <v>44986</v>
      </c>
      <c r="B2667" t="s">
        <v>23</v>
      </c>
      <c r="C2667" t="s">
        <v>368</v>
      </c>
      <c r="D2667" s="2">
        <v>352419.6</v>
      </c>
      <c r="E2667" s="2">
        <v>160276.12</v>
      </c>
      <c r="F2667" s="2">
        <v>160276.12</v>
      </c>
    </row>
    <row r="2668" spans="1:6" x14ac:dyDescent="0.25">
      <c r="A2668" s="1">
        <v>44986</v>
      </c>
      <c r="B2668" t="s">
        <v>23</v>
      </c>
      <c r="C2668" t="s">
        <v>869</v>
      </c>
      <c r="D2668" s="2">
        <v>136535.25</v>
      </c>
      <c r="E2668" s="2">
        <v>41633.230000000003</v>
      </c>
      <c r="F2668" s="2">
        <v>41633.230000000003</v>
      </c>
    </row>
    <row r="2669" spans="1:6" x14ac:dyDescent="0.25">
      <c r="A2669" s="1">
        <v>44986</v>
      </c>
      <c r="B2669" t="s">
        <v>23</v>
      </c>
      <c r="C2669" t="s">
        <v>864</v>
      </c>
      <c r="D2669" s="2">
        <v>2341844.5</v>
      </c>
      <c r="E2669" s="2">
        <v>531937.84</v>
      </c>
      <c r="F2669" s="2">
        <v>890381.54</v>
      </c>
    </row>
    <row r="2670" spans="1:6" x14ac:dyDescent="0.25">
      <c r="A2670" s="1">
        <v>44986</v>
      </c>
      <c r="B2670" t="s">
        <v>101</v>
      </c>
      <c r="C2670" t="s">
        <v>536</v>
      </c>
      <c r="D2670" s="2">
        <v>-175980.96</v>
      </c>
      <c r="E2670" s="2">
        <v>25634.46</v>
      </c>
      <c r="F2670" s="2">
        <v>25634.46</v>
      </c>
    </row>
    <row r="2671" spans="1:6" x14ac:dyDescent="0.25">
      <c r="A2671" s="1">
        <v>44986</v>
      </c>
      <c r="B2671" t="s">
        <v>48</v>
      </c>
      <c r="C2671" t="s">
        <v>818</v>
      </c>
      <c r="D2671" s="2">
        <v>2016173.8</v>
      </c>
      <c r="E2671" s="2">
        <v>1908442.17</v>
      </c>
      <c r="F2671" s="2">
        <v>1514187.87</v>
      </c>
    </row>
    <row r="2672" spans="1:6" x14ac:dyDescent="0.25">
      <c r="A2672" s="1">
        <v>44986</v>
      </c>
      <c r="B2672" t="s">
        <v>619</v>
      </c>
      <c r="C2672" t="s">
        <v>823</v>
      </c>
      <c r="D2672" s="2">
        <v>379517.61</v>
      </c>
      <c r="E2672" s="2">
        <v>415669.36</v>
      </c>
      <c r="F2672" s="2">
        <v>457998.11</v>
      </c>
    </row>
    <row r="2673" spans="1:6" x14ac:dyDescent="0.25">
      <c r="A2673" s="1">
        <v>44986</v>
      </c>
      <c r="B2673" t="s">
        <v>234</v>
      </c>
      <c r="C2673" t="s">
        <v>646</v>
      </c>
      <c r="D2673" s="2">
        <v>1996010.55</v>
      </c>
      <c r="E2673" s="2">
        <v>1253462.78</v>
      </c>
      <c r="F2673" s="2">
        <v>1259496.73</v>
      </c>
    </row>
    <row r="2674" spans="1:6" x14ac:dyDescent="0.25">
      <c r="A2674" s="1">
        <v>44986</v>
      </c>
      <c r="B2674" t="s">
        <v>23</v>
      </c>
      <c r="C2674" t="s">
        <v>886</v>
      </c>
      <c r="D2674" s="2">
        <v>23485755.530000001</v>
      </c>
      <c r="E2674" s="2">
        <v>1345058.24</v>
      </c>
      <c r="F2674" s="2">
        <v>956278.13</v>
      </c>
    </row>
    <row r="2675" spans="1:6" x14ac:dyDescent="0.25">
      <c r="A2675" s="1">
        <v>44986</v>
      </c>
      <c r="B2675" t="s">
        <v>23</v>
      </c>
      <c r="C2675" t="s">
        <v>874</v>
      </c>
      <c r="D2675" s="2">
        <v>1472428.94</v>
      </c>
      <c r="E2675" s="2">
        <v>216153.39</v>
      </c>
      <c r="F2675" s="2">
        <v>208201.89</v>
      </c>
    </row>
    <row r="2676" spans="1:6" x14ac:dyDescent="0.25">
      <c r="A2676" s="1">
        <v>44986</v>
      </c>
      <c r="B2676" t="s">
        <v>50</v>
      </c>
      <c r="C2676" t="s">
        <v>625</v>
      </c>
      <c r="D2676" s="2">
        <v>7148.4</v>
      </c>
      <c r="E2676">
        <v>0</v>
      </c>
      <c r="F2676">
        <v>0</v>
      </c>
    </row>
    <row r="2677" spans="1:6" x14ac:dyDescent="0.25">
      <c r="A2677" s="1">
        <v>44986</v>
      </c>
      <c r="B2677" t="s">
        <v>9</v>
      </c>
      <c r="C2677" t="s">
        <v>663</v>
      </c>
      <c r="D2677" s="2">
        <v>25525295.120000001</v>
      </c>
      <c r="E2677" s="2">
        <v>9478771.8300000001</v>
      </c>
      <c r="F2677" s="2">
        <v>10103723.720000001</v>
      </c>
    </row>
    <row r="2678" spans="1:6" x14ac:dyDescent="0.25">
      <c r="A2678" s="1">
        <v>44986</v>
      </c>
      <c r="B2678" t="s">
        <v>726</v>
      </c>
      <c r="C2678" t="s">
        <v>871</v>
      </c>
      <c r="D2678" s="2">
        <v>2968762.06</v>
      </c>
      <c r="E2678" s="2">
        <v>718975.76</v>
      </c>
      <c r="F2678" s="2">
        <v>342546.36</v>
      </c>
    </row>
    <row r="2679" spans="1:6" x14ac:dyDescent="0.25">
      <c r="A2679" s="1">
        <v>44986</v>
      </c>
      <c r="B2679" t="s">
        <v>90</v>
      </c>
      <c r="C2679" t="s">
        <v>1021</v>
      </c>
      <c r="D2679" s="2">
        <v>25000</v>
      </c>
      <c r="E2679" s="2">
        <v>1701.79</v>
      </c>
      <c r="F2679" s="2">
        <v>1701.79</v>
      </c>
    </row>
    <row r="2680" spans="1:6" x14ac:dyDescent="0.25">
      <c r="A2680" s="1">
        <v>44986</v>
      </c>
      <c r="B2680" t="s">
        <v>48</v>
      </c>
      <c r="C2680" t="s">
        <v>1153</v>
      </c>
      <c r="D2680" s="2">
        <v>11305326</v>
      </c>
      <c r="E2680" s="2">
        <v>428314.73</v>
      </c>
      <c r="F2680" s="2">
        <v>428314.73</v>
      </c>
    </row>
    <row r="2681" spans="1:6" x14ac:dyDescent="0.25">
      <c r="A2681" s="1">
        <v>44986</v>
      </c>
      <c r="B2681" t="s">
        <v>40</v>
      </c>
      <c r="C2681" t="s">
        <v>450</v>
      </c>
      <c r="D2681" s="2">
        <v>575314.23</v>
      </c>
      <c r="E2681" s="2">
        <v>550103.48</v>
      </c>
      <c r="F2681" s="2">
        <v>433340.52</v>
      </c>
    </row>
    <row r="2682" spans="1:6" x14ac:dyDescent="0.25">
      <c r="A2682" s="1">
        <v>44986</v>
      </c>
      <c r="B2682" t="s">
        <v>50</v>
      </c>
      <c r="C2682" t="s">
        <v>425</v>
      </c>
      <c r="D2682">
        <v>0</v>
      </c>
      <c r="E2682">
        <v>0</v>
      </c>
      <c r="F2682">
        <v>0</v>
      </c>
    </row>
    <row r="2683" spans="1:6" x14ac:dyDescent="0.25">
      <c r="A2683" s="1">
        <v>44986</v>
      </c>
      <c r="B2683" t="s">
        <v>92</v>
      </c>
      <c r="C2683" t="s">
        <v>701</v>
      </c>
      <c r="D2683" s="2">
        <v>6227146.54</v>
      </c>
      <c r="E2683" s="2">
        <v>6105547.7199999997</v>
      </c>
      <c r="F2683" s="2">
        <v>5896561.5300000003</v>
      </c>
    </row>
    <row r="2684" spans="1:6" x14ac:dyDescent="0.25">
      <c r="A2684" s="1">
        <v>44986</v>
      </c>
      <c r="B2684" t="s">
        <v>206</v>
      </c>
      <c r="C2684" t="s">
        <v>207</v>
      </c>
      <c r="D2684" s="2">
        <v>132778.4</v>
      </c>
      <c r="E2684" s="2">
        <v>57939.8</v>
      </c>
      <c r="F2684" s="2">
        <v>21520.5</v>
      </c>
    </row>
    <row r="2685" spans="1:6" x14ac:dyDescent="0.25">
      <c r="A2685" s="1">
        <v>44986</v>
      </c>
      <c r="B2685" t="s">
        <v>70</v>
      </c>
      <c r="C2685" t="s">
        <v>141</v>
      </c>
      <c r="D2685" s="2">
        <v>2045755.2</v>
      </c>
      <c r="E2685" s="2">
        <v>4247814.76</v>
      </c>
      <c r="F2685" s="2">
        <v>4049067.19</v>
      </c>
    </row>
    <row r="2686" spans="1:6" x14ac:dyDescent="0.25">
      <c r="A2686" s="1">
        <v>44986</v>
      </c>
      <c r="B2686" t="s">
        <v>11</v>
      </c>
      <c r="C2686" t="s">
        <v>59</v>
      </c>
      <c r="D2686">
        <v>0</v>
      </c>
      <c r="E2686" s="2">
        <v>353189751.06999999</v>
      </c>
      <c r="F2686" s="2">
        <v>353189751.06999999</v>
      </c>
    </row>
    <row r="2687" spans="1:6" x14ac:dyDescent="0.25">
      <c r="A2687" s="1">
        <v>44986</v>
      </c>
      <c r="B2687" t="s">
        <v>40</v>
      </c>
      <c r="C2687" t="s">
        <v>718</v>
      </c>
      <c r="D2687" s="2">
        <v>16570422.199999999</v>
      </c>
      <c r="E2687" s="2">
        <v>3333050.02</v>
      </c>
      <c r="F2687" s="2">
        <v>2398426.42</v>
      </c>
    </row>
    <row r="2688" spans="1:6" x14ac:dyDescent="0.25">
      <c r="A2688" s="1">
        <v>44986</v>
      </c>
      <c r="B2688" t="s">
        <v>92</v>
      </c>
      <c r="C2688" t="s">
        <v>860</v>
      </c>
      <c r="D2688" s="2">
        <v>5364481.51</v>
      </c>
      <c r="E2688" s="2">
        <v>5349410.62</v>
      </c>
      <c r="F2688" s="2">
        <v>5379957.46</v>
      </c>
    </row>
    <row r="2689" spans="1:6" x14ac:dyDescent="0.25">
      <c r="A2689" s="1">
        <v>44986</v>
      </c>
      <c r="B2689" t="s">
        <v>37</v>
      </c>
      <c r="C2689" t="s">
        <v>809</v>
      </c>
      <c r="D2689" s="2">
        <v>446964.25</v>
      </c>
      <c r="E2689" s="2">
        <v>426760.58</v>
      </c>
      <c r="F2689" s="2">
        <v>405107.42</v>
      </c>
    </row>
    <row r="2690" spans="1:6" x14ac:dyDescent="0.25">
      <c r="A2690" s="1">
        <v>44986</v>
      </c>
      <c r="B2690" t="s">
        <v>476</v>
      </c>
      <c r="C2690" t="s">
        <v>904</v>
      </c>
      <c r="D2690" s="2">
        <v>1987178.73</v>
      </c>
      <c r="E2690" s="2">
        <v>721399.11</v>
      </c>
      <c r="F2690" s="2">
        <v>642217.05000000005</v>
      </c>
    </row>
    <row r="2691" spans="1:6" x14ac:dyDescent="0.25">
      <c r="A2691" s="1">
        <v>44986</v>
      </c>
      <c r="B2691" t="s">
        <v>118</v>
      </c>
      <c r="C2691" t="s">
        <v>754</v>
      </c>
      <c r="D2691">
        <v>0</v>
      </c>
      <c r="E2691">
        <v>0</v>
      </c>
      <c r="F2691">
        <v>0</v>
      </c>
    </row>
    <row r="2692" spans="1:6" x14ac:dyDescent="0.25">
      <c r="A2692" s="1">
        <v>44986</v>
      </c>
      <c r="B2692" t="s">
        <v>216</v>
      </c>
      <c r="C2692" t="s">
        <v>638</v>
      </c>
      <c r="D2692">
        <v>0</v>
      </c>
      <c r="E2692">
        <v>0</v>
      </c>
      <c r="F2692">
        <v>0</v>
      </c>
    </row>
    <row r="2693" spans="1:6" x14ac:dyDescent="0.25">
      <c r="A2693" s="1">
        <v>44986</v>
      </c>
      <c r="B2693" t="s">
        <v>25</v>
      </c>
      <c r="C2693" t="s">
        <v>319</v>
      </c>
      <c r="D2693" s="2">
        <v>1127568.99</v>
      </c>
      <c r="E2693" s="2">
        <v>913546.55</v>
      </c>
      <c r="F2693" s="2">
        <v>8140.94</v>
      </c>
    </row>
    <row r="2694" spans="1:6" x14ac:dyDescent="0.25">
      <c r="A2694" s="1">
        <v>44986</v>
      </c>
      <c r="B2694" t="s">
        <v>143</v>
      </c>
      <c r="C2694" t="s">
        <v>529</v>
      </c>
      <c r="D2694">
        <v>0</v>
      </c>
      <c r="E2694">
        <v>0</v>
      </c>
      <c r="F2694">
        <v>0</v>
      </c>
    </row>
    <row r="2695" spans="1:6" x14ac:dyDescent="0.25">
      <c r="A2695" s="1">
        <v>44986</v>
      </c>
      <c r="B2695" t="s">
        <v>196</v>
      </c>
      <c r="C2695" t="s">
        <v>993</v>
      </c>
      <c r="D2695">
        <v>0</v>
      </c>
      <c r="E2695">
        <v>0</v>
      </c>
      <c r="F2695">
        <v>0</v>
      </c>
    </row>
    <row r="2696" spans="1:6" x14ac:dyDescent="0.25">
      <c r="A2696" s="1">
        <v>44986</v>
      </c>
      <c r="B2696" t="s">
        <v>40</v>
      </c>
      <c r="C2696" t="s">
        <v>692</v>
      </c>
      <c r="D2696">
        <v>0</v>
      </c>
      <c r="E2696">
        <v>0</v>
      </c>
      <c r="F2696">
        <v>0</v>
      </c>
    </row>
    <row r="2697" spans="1:6" x14ac:dyDescent="0.25">
      <c r="A2697" s="1">
        <v>44986</v>
      </c>
      <c r="B2697" t="s">
        <v>490</v>
      </c>
      <c r="C2697" t="s">
        <v>875</v>
      </c>
      <c r="D2697" s="2">
        <v>-4427820.46</v>
      </c>
      <c r="E2697" s="2">
        <v>3261457.63</v>
      </c>
      <c r="F2697" s="2">
        <v>3244812.8</v>
      </c>
    </row>
    <row r="2698" spans="1:6" x14ac:dyDescent="0.25">
      <c r="A2698" s="1">
        <v>44986</v>
      </c>
      <c r="B2698" t="s">
        <v>422</v>
      </c>
      <c r="C2698" t="s">
        <v>920</v>
      </c>
      <c r="D2698">
        <v>0</v>
      </c>
      <c r="E2698">
        <v>0</v>
      </c>
      <c r="F2698">
        <v>0</v>
      </c>
    </row>
    <row r="2699" spans="1:6" x14ac:dyDescent="0.25">
      <c r="A2699" s="1">
        <v>44986</v>
      </c>
      <c r="B2699" t="s">
        <v>23</v>
      </c>
      <c r="C2699" t="s">
        <v>760</v>
      </c>
      <c r="D2699" s="2">
        <v>-227732463</v>
      </c>
      <c r="E2699">
        <v>0</v>
      </c>
      <c r="F2699">
        <v>0</v>
      </c>
    </row>
    <row r="2700" spans="1:6" x14ac:dyDescent="0.25">
      <c r="A2700" s="1">
        <v>44986</v>
      </c>
      <c r="B2700" t="s">
        <v>206</v>
      </c>
      <c r="C2700" t="s">
        <v>878</v>
      </c>
      <c r="D2700" s="2">
        <v>5556213.9000000004</v>
      </c>
      <c r="E2700" s="2">
        <v>3427835.45</v>
      </c>
      <c r="F2700" s="2">
        <v>3262367.44</v>
      </c>
    </row>
    <row r="2701" spans="1:6" x14ac:dyDescent="0.25">
      <c r="A2701" s="1">
        <v>44986</v>
      </c>
      <c r="B2701" t="s">
        <v>40</v>
      </c>
      <c r="C2701" t="s">
        <v>910</v>
      </c>
      <c r="D2701" s="2">
        <v>3762377084.54</v>
      </c>
      <c r="E2701" s="2">
        <v>7231566889.0200005</v>
      </c>
      <c r="F2701" s="2">
        <v>7530172275.6999998</v>
      </c>
    </row>
    <row r="2702" spans="1:6" x14ac:dyDescent="0.25">
      <c r="A2702" s="1">
        <v>44986</v>
      </c>
      <c r="B2702" t="s">
        <v>476</v>
      </c>
      <c r="C2702" t="s">
        <v>853</v>
      </c>
      <c r="D2702" s="2">
        <v>5012344.8899999997</v>
      </c>
      <c r="E2702" s="2">
        <v>2479371.63</v>
      </c>
      <c r="F2702" s="2">
        <v>1488303.03</v>
      </c>
    </row>
    <row r="2703" spans="1:6" x14ac:dyDescent="0.25">
      <c r="A2703" s="1">
        <v>44986</v>
      </c>
      <c r="B2703" t="s">
        <v>40</v>
      </c>
      <c r="C2703" t="s">
        <v>629</v>
      </c>
      <c r="D2703" s="2">
        <v>223145</v>
      </c>
      <c r="E2703" s="2">
        <v>283964.09000000003</v>
      </c>
      <c r="F2703" s="2">
        <v>295237.44</v>
      </c>
    </row>
    <row r="2704" spans="1:6" x14ac:dyDescent="0.25">
      <c r="A2704" s="1">
        <v>44986</v>
      </c>
      <c r="B2704" t="s">
        <v>107</v>
      </c>
      <c r="C2704" t="s">
        <v>197</v>
      </c>
      <c r="D2704" s="2">
        <v>49463402.280000001</v>
      </c>
      <c r="E2704" s="2">
        <v>26983442.77</v>
      </c>
      <c r="F2704" s="2">
        <v>34492352.409999996</v>
      </c>
    </row>
    <row r="2705" spans="1:6" x14ac:dyDescent="0.25">
      <c r="A2705" s="1">
        <v>44986</v>
      </c>
      <c r="B2705" t="s">
        <v>40</v>
      </c>
      <c r="C2705" t="s">
        <v>606</v>
      </c>
      <c r="D2705" s="2">
        <v>37043968.520000003</v>
      </c>
      <c r="E2705" s="2">
        <v>7210078.9100000001</v>
      </c>
      <c r="F2705" s="2">
        <v>7413828.1399999997</v>
      </c>
    </row>
    <row r="2706" spans="1:6" x14ac:dyDescent="0.25">
      <c r="A2706" s="1">
        <v>44986</v>
      </c>
      <c r="B2706" t="s">
        <v>490</v>
      </c>
      <c r="C2706" t="s">
        <v>999</v>
      </c>
      <c r="D2706" s="2">
        <v>3022678</v>
      </c>
      <c r="E2706" s="2">
        <v>2356178</v>
      </c>
      <c r="F2706" s="2">
        <v>2356178</v>
      </c>
    </row>
    <row r="2707" spans="1:6" x14ac:dyDescent="0.25">
      <c r="A2707" s="1">
        <v>44986</v>
      </c>
      <c r="B2707" t="s">
        <v>101</v>
      </c>
      <c r="C2707" t="s">
        <v>827</v>
      </c>
      <c r="D2707">
        <v>0</v>
      </c>
      <c r="E2707">
        <v>0</v>
      </c>
      <c r="F2707">
        <v>0</v>
      </c>
    </row>
    <row r="2708" spans="1:6" x14ac:dyDescent="0.25">
      <c r="A2708" s="1">
        <v>44986</v>
      </c>
      <c r="B2708" t="s">
        <v>306</v>
      </c>
      <c r="C2708" t="s">
        <v>814</v>
      </c>
      <c r="D2708" s="2">
        <v>3682.65</v>
      </c>
      <c r="E2708" s="2">
        <v>445841.47</v>
      </c>
      <c r="F2708" s="2">
        <v>461198.51</v>
      </c>
    </row>
    <row r="2709" spans="1:6" x14ac:dyDescent="0.25">
      <c r="A2709" s="1">
        <v>44986</v>
      </c>
      <c r="B2709" t="s">
        <v>216</v>
      </c>
      <c r="C2709" t="s">
        <v>887</v>
      </c>
      <c r="D2709" s="2">
        <v>1523641.01</v>
      </c>
      <c r="E2709" s="2">
        <v>1091508.58</v>
      </c>
      <c r="F2709" s="2">
        <v>1020230.58</v>
      </c>
    </row>
    <row r="2710" spans="1:6" x14ac:dyDescent="0.25">
      <c r="A2710" s="1">
        <v>44986</v>
      </c>
      <c r="B2710" t="s">
        <v>15</v>
      </c>
      <c r="C2710" t="s">
        <v>693</v>
      </c>
      <c r="D2710" s="2">
        <v>9291472.3000000007</v>
      </c>
      <c r="E2710" s="2">
        <v>4080836.98</v>
      </c>
      <c r="F2710" s="2">
        <v>3267056.55</v>
      </c>
    </row>
    <row r="2711" spans="1:6" x14ac:dyDescent="0.25">
      <c r="A2711" s="1">
        <v>44986</v>
      </c>
      <c r="B2711" t="s">
        <v>46</v>
      </c>
      <c r="C2711" t="s">
        <v>409</v>
      </c>
      <c r="D2711" s="2">
        <v>1300000</v>
      </c>
      <c r="E2711" s="2">
        <v>8351062.9699999997</v>
      </c>
      <c r="F2711" s="2">
        <v>8331439.8499999996</v>
      </c>
    </row>
    <row r="2712" spans="1:6" x14ac:dyDescent="0.25">
      <c r="A2712" s="1">
        <v>44986</v>
      </c>
      <c r="B2712" t="s">
        <v>23</v>
      </c>
      <c r="C2712" t="s">
        <v>56</v>
      </c>
      <c r="D2712" s="2">
        <v>9136789.7599999998</v>
      </c>
      <c r="E2712" s="2">
        <v>4701136.8899999997</v>
      </c>
      <c r="F2712" s="2">
        <v>4703508.46</v>
      </c>
    </row>
    <row r="2713" spans="1:6" x14ac:dyDescent="0.25">
      <c r="A2713" s="1">
        <v>44986</v>
      </c>
      <c r="B2713" t="s">
        <v>40</v>
      </c>
      <c r="C2713" t="s">
        <v>923</v>
      </c>
      <c r="D2713" s="2">
        <v>3931847.97</v>
      </c>
      <c r="E2713" s="2">
        <v>888569.41</v>
      </c>
      <c r="F2713" s="2">
        <v>615147.14</v>
      </c>
    </row>
    <row r="2714" spans="1:6" x14ac:dyDescent="0.25">
      <c r="A2714" s="1">
        <v>44986</v>
      </c>
      <c r="B2714" t="s">
        <v>114</v>
      </c>
      <c r="C2714" t="s">
        <v>829</v>
      </c>
      <c r="D2714" s="2">
        <v>30533570.489999998</v>
      </c>
      <c r="E2714" s="2">
        <v>18595264.93</v>
      </c>
      <c r="F2714" s="2">
        <v>12939986.130000001</v>
      </c>
    </row>
    <row r="2715" spans="1:6" x14ac:dyDescent="0.25">
      <c r="A2715" s="1">
        <v>44986</v>
      </c>
      <c r="B2715" t="s">
        <v>40</v>
      </c>
      <c r="C2715" t="s">
        <v>919</v>
      </c>
      <c r="D2715" s="2">
        <v>4134912591.1100001</v>
      </c>
      <c r="E2715" s="2">
        <v>5604319300.3199997</v>
      </c>
      <c r="F2715" s="2">
        <v>5694393720.2799997</v>
      </c>
    </row>
    <row r="2716" spans="1:6" x14ac:dyDescent="0.25">
      <c r="A2716" s="1">
        <v>44986</v>
      </c>
      <c r="B2716" t="s">
        <v>23</v>
      </c>
      <c r="C2716" t="s">
        <v>655</v>
      </c>
      <c r="D2716">
        <v>0</v>
      </c>
      <c r="E2716">
        <v>0</v>
      </c>
      <c r="F2716">
        <v>0</v>
      </c>
    </row>
    <row r="2717" spans="1:6" x14ac:dyDescent="0.25">
      <c r="A2717" s="1">
        <v>44986</v>
      </c>
      <c r="B2717" t="s">
        <v>263</v>
      </c>
      <c r="C2717" t="s">
        <v>745</v>
      </c>
      <c r="D2717" s="2">
        <v>2195136.9300000002</v>
      </c>
      <c r="E2717" s="2">
        <v>945438.68</v>
      </c>
      <c r="F2717" s="2">
        <v>1168520.05</v>
      </c>
    </row>
    <row r="2718" spans="1:6" x14ac:dyDescent="0.25">
      <c r="A2718" s="1">
        <v>44986</v>
      </c>
      <c r="B2718" t="s">
        <v>40</v>
      </c>
      <c r="C2718" t="s">
        <v>749</v>
      </c>
      <c r="D2718" s="2">
        <v>372538043.5</v>
      </c>
      <c r="E2718" s="2">
        <v>1163754985.4300001</v>
      </c>
      <c r="F2718" s="2">
        <v>1251570905.1900001</v>
      </c>
    </row>
    <row r="2719" spans="1:6" x14ac:dyDescent="0.25">
      <c r="A2719" s="1">
        <v>44986</v>
      </c>
      <c r="B2719" t="s">
        <v>37</v>
      </c>
      <c r="C2719" t="s">
        <v>384</v>
      </c>
      <c r="D2719" s="2">
        <v>616432.77</v>
      </c>
      <c r="E2719" s="2">
        <v>10843.3</v>
      </c>
      <c r="F2719">
        <v>0</v>
      </c>
    </row>
    <row r="2720" spans="1:6" x14ac:dyDescent="0.25">
      <c r="A2720" s="1">
        <v>44986</v>
      </c>
      <c r="B2720" t="s">
        <v>114</v>
      </c>
      <c r="C2720" t="s">
        <v>597</v>
      </c>
      <c r="D2720" s="2">
        <v>-2547695.4700000002</v>
      </c>
      <c r="E2720" s="2">
        <v>3523364.66</v>
      </c>
      <c r="F2720" s="2">
        <v>3496210.64</v>
      </c>
    </row>
    <row r="2721" spans="1:6" x14ac:dyDescent="0.25">
      <c r="A2721" s="1">
        <v>44986</v>
      </c>
      <c r="B2721" t="s">
        <v>92</v>
      </c>
      <c r="C2721" t="s">
        <v>903</v>
      </c>
      <c r="D2721" s="2">
        <v>1597218.26</v>
      </c>
      <c r="E2721" s="2">
        <v>1449869.73</v>
      </c>
      <c r="F2721" s="2">
        <v>1424050.15</v>
      </c>
    </row>
    <row r="2722" spans="1:6" x14ac:dyDescent="0.25">
      <c r="A2722" s="1">
        <v>44986</v>
      </c>
      <c r="B2722" t="s">
        <v>118</v>
      </c>
      <c r="C2722" t="s">
        <v>62</v>
      </c>
      <c r="D2722" s="2">
        <v>917836.39</v>
      </c>
      <c r="E2722" s="2">
        <v>514766.4</v>
      </c>
      <c r="F2722" s="2">
        <v>30825.88</v>
      </c>
    </row>
    <row r="2723" spans="1:6" x14ac:dyDescent="0.25">
      <c r="A2723" s="1">
        <v>44986</v>
      </c>
      <c r="B2723" t="s">
        <v>37</v>
      </c>
      <c r="C2723" t="s">
        <v>647</v>
      </c>
      <c r="D2723">
        <v>0</v>
      </c>
      <c r="E2723">
        <v>0</v>
      </c>
      <c r="F2723">
        <v>0</v>
      </c>
    </row>
    <row r="2724" spans="1:6" x14ac:dyDescent="0.25">
      <c r="A2724" s="1">
        <v>44986</v>
      </c>
      <c r="B2724" t="s">
        <v>216</v>
      </c>
      <c r="C2724" t="s">
        <v>806</v>
      </c>
      <c r="D2724" s="2">
        <v>5620109.3200000003</v>
      </c>
      <c r="E2724" s="2">
        <v>1602496.31</v>
      </c>
      <c r="F2724" s="2">
        <v>1571673.67</v>
      </c>
    </row>
    <row r="2725" spans="1:6" x14ac:dyDescent="0.25">
      <c r="A2725" s="1">
        <v>44986</v>
      </c>
      <c r="B2725" t="s">
        <v>23</v>
      </c>
      <c r="C2725" t="s">
        <v>916</v>
      </c>
      <c r="D2725" s="2">
        <v>26514994.989999998</v>
      </c>
      <c r="E2725" s="2">
        <v>37901833.799999997</v>
      </c>
      <c r="F2725" s="2">
        <v>42965251</v>
      </c>
    </row>
    <row r="2726" spans="1:6" x14ac:dyDescent="0.25">
      <c r="A2726" s="1">
        <v>44986</v>
      </c>
      <c r="B2726" t="s">
        <v>75</v>
      </c>
      <c r="C2726" t="s">
        <v>847</v>
      </c>
      <c r="D2726" s="2">
        <v>45986.1</v>
      </c>
      <c r="E2726">
        <v>0</v>
      </c>
      <c r="F2726">
        <v>0</v>
      </c>
    </row>
    <row r="2727" spans="1:6" x14ac:dyDescent="0.25">
      <c r="A2727" s="1">
        <v>44986</v>
      </c>
      <c r="B2727" t="s">
        <v>42</v>
      </c>
      <c r="C2727" t="s">
        <v>719</v>
      </c>
      <c r="D2727" s="2">
        <v>5050563</v>
      </c>
      <c r="E2727" s="2">
        <v>9622699.1300000008</v>
      </c>
      <c r="F2727" s="2">
        <v>10039043.539999999</v>
      </c>
    </row>
    <row r="2728" spans="1:6" x14ac:dyDescent="0.25">
      <c r="A2728" s="1">
        <v>44986</v>
      </c>
      <c r="B2728" t="s">
        <v>23</v>
      </c>
      <c r="C2728" t="s">
        <v>915</v>
      </c>
      <c r="D2728" s="2">
        <v>123983717.20999999</v>
      </c>
      <c r="E2728" s="2">
        <v>28025361.100000001</v>
      </c>
      <c r="F2728" s="2">
        <v>25853997.050000001</v>
      </c>
    </row>
    <row r="2729" spans="1:6" x14ac:dyDescent="0.25">
      <c r="A2729" s="1">
        <v>44986</v>
      </c>
      <c r="B2729" t="s">
        <v>23</v>
      </c>
      <c r="C2729" t="s">
        <v>698</v>
      </c>
      <c r="D2729" s="2">
        <v>760166.64</v>
      </c>
      <c r="E2729" s="2">
        <v>125951.86</v>
      </c>
      <c r="F2729" s="2">
        <v>125951.86</v>
      </c>
    </row>
    <row r="2730" spans="1:6" x14ac:dyDescent="0.25">
      <c r="A2730" s="1">
        <v>44986</v>
      </c>
      <c r="B2730" t="s">
        <v>619</v>
      </c>
      <c r="C2730" t="s">
        <v>917</v>
      </c>
      <c r="D2730" s="2">
        <v>26011323.399999999</v>
      </c>
      <c r="E2730" s="2">
        <v>10153171.34</v>
      </c>
      <c r="F2730" s="2">
        <v>8305979.2800000003</v>
      </c>
    </row>
    <row r="2731" spans="1:6" x14ac:dyDescent="0.25">
      <c r="A2731" s="1">
        <v>44986</v>
      </c>
      <c r="B2731" t="s">
        <v>42</v>
      </c>
      <c r="C2731" t="s">
        <v>894</v>
      </c>
      <c r="D2731" s="2">
        <v>2231629.6</v>
      </c>
      <c r="E2731" s="2">
        <v>78885915.079999998</v>
      </c>
      <c r="F2731" s="2">
        <v>77343327.790000007</v>
      </c>
    </row>
    <row r="2732" spans="1:6" x14ac:dyDescent="0.25">
      <c r="A2732" s="1">
        <v>44986</v>
      </c>
      <c r="B2732" t="s">
        <v>306</v>
      </c>
      <c r="C2732" t="s">
        <v>403</v>
      </c>
      <c r="D2732" s="2">
        <v>482154.72</v>
      </c>
      <c r="E2732" s="2">
        <v>37047.199999999997</v>
      </c>
      <c r="F2732" s="2">
        <v>5844.79</v>
      </c>
    </row>
    <row r="2733" spans="1:6" x14ac:dyDescent="0.25">
      <c r="A2733" s="1">
        <v>44986</v>
      </c>
      <c r="B2733" t="s">
        <v>23</v>
      </c>
      <c r="C2733" t="s">
        <v>779</v>
      </c>
      <c r="D2733" s="2">
        <v>855172.82</v>
      </c>
      <c r="E2733" s="2">
        <v>55255.26</v>
      </c>
      <c r="F2733" s="2">
        <v>70707.509999999995</v>
      </c>
    </row>
    <row r="2734" spans="1:6" x14ac:dyDescent="0.25">
      <c r="A2734" s="1">
        <v>44986</v>
      </c>
      <c r="B2734" t="s">
        <v>107</v>
      </c>
      <c r="C2734" t="s">
        <v>262</v>
      </c>
      <c r="D2734" s="2">
        <v>643373.74</v>
      </c>
      <c r="E2734" s="2">
        <v>5265.91</v>
      </c>
      <c r="F2734">
        <v>0</v>
      </c>
    </row>
    <row r="2735" spans="1:6" x14ac:dyDescent="0.25">
      <c r="A2735" s="1">
        <v>44986</v>
      </c>
      <c r="B2735" t="s">
        <v>15</v>
      </c>
      <c r="C2735" t="s">
        <v>697</v>
      </c>
      <c r="D2735" s="2">
        <v>37502815.909999996</v>
      </c>
      <c r="E2735" s="2">
        <v>21119499.07</v>
      </c>
      <c r="F2735" s="2">
        <v>14498676.550000001</v>
      </c>
    </row>
    <row r="2736" spans="1:6" x14ac:dyDescent="0.25">
      <c r="A2736" s="1">
        <v>44986</v>
      </c>
      <c r="B2736" t="s">
        <v>107</v>
      </c>
      <c r="C2736" t="s">
        <v>912</v>
      </c>
      <c r="D2736" s="2">
        <v>71705278.989999995</v>
      </c>
      <c r="E2736" s="2">
        <v>58474991.399999999</v>
      </c>
      <c r="F2736" s="2">
        <v>52557177.43</v>
      </c>
    </row>
    <row r="2737" spans="1:6" x14ac:dyDescent="0.25">
      <c r="A2737" s="1">
        <v>44986</v>
      </c>
      <c r="B2737" t="s">
        <v>50</v>
      </c>
      <c r="C2737" t="s">
        <v>793</v>
      </c>
      <c r="D2737" s="2">
        <v>3678508.17</v>
      </c>
      <c r="E2737" s="2">
        <v>3420066.8</v>
      </c>
      <c r="F2737" s="2">
        <v>3343150.12</v>
      </c>
    </row>
    <row r="2738" spans="1:6" x14ac:dyDescent="0.25">
      <c r="A2738" s="1">
        <v>44986</v>
      </c>
      <c r="B2738" t="s">
        <v>490</v>
      </c>
      <c r="C2738" t="s">
        <v>267</v>
      </c>
      <c r="D2738" s="2">
        <v>5331135.6399999997</v>
      </c>
      <c r="E2738" s="2">
        <v>564875444.13999999</v>
      </c>
      <c r="F2738" s="2">
        <v>564813160.50999999</v>
      </c>
    </row>
    <row r="2739" spans="1:6" x14ac:dyDescent="0.25">
      <c r="A2739" s="1">
        <v>44986</v>
      </c>
      <c r="B2739" t="s">
        <v>107</v>
      </c>
      <c r="C2739" t="s">
        <v>897</v>
      </c>
      <c r="D2739" s="2">
        <v>353414695.31</v>
      </c>
      <c r="E2739" s="2">
        <v>308181117.25999999</v>
      </c>
      <c r="F2739" s="2">
        <v>297925592.17000002</v>
      </c>
    </row>
    <row r="2740" spans="1:6" x14ac:dyDescent="0.25">
      <c r="A2740" s="1">
        <v>44986</v>
      </c>
      <c r="B2740" t="s">
        <v>23</v>
      </c>
      <c r="C2740" t="s">
        <v>901</v>
      </c>
      <c r="D2740" s="2">
        <v>4830306.3499999996</v>
      </c>
      <c r="E2740" s="2">
        <v>1851123.58</v>
      </c>
      <c r="F2740" s="2">
        <v>1944854.87</v>
      </c>
    </row>
    <row r="2741" spans="1:6" x14ac:dyDescent="0.25">
      <c r="A2741" s="1">
        <v>44986</v>
      </c>
      <c r="B2741" t="s">
        <v>92</v>
      </c>
      <c r="C2741" t="s">
        <v>909</v>
      </c>
      <c r="D2741" s="2">
        <v>71089341.659999996</v>
      </c>
      <c r="E2741" s="2">
        <v>68756002.209999993</v>
      </c>
      <c r="F2741" s="2">
        <v>68549006.769999996</v>
      </c>
    </row>
    <row r="2742" spans="1:6" x14ac:dyDescent="0.25">
      <c r="A2742" s="1">
        <v>44986</v>
      </c>
      <c r="B2742" t="s">
        <v>107</v>
      </c>
      <c r="C2742" t="s">
        <v>926</v>
      </c>
      <c r="D2742" s="2">
        <v>16584088.199999999</v>
      </c>
      <c r="E2742" s="2">
        <v>23979357.960000001</v>
      </c>
      <c r="F2742" s="2">
        <v>20174293.210000001</v>
      </c>
    </row>
    <row r="2743" spans="1:6" x14ac:dyDescent="0.25">
      <c r="A2743" s="1">
        <v>44986</v>
      </c>
      <c r="B2743" t="s">
        <v>23</v>
      </c>
      <c r="C2743" t="s">
        <v>889</v>
      </c>
      <c r="D2743" s="2">
        <v>8393175.8000000007</v>
      </c>
      <c r="E2743" s="2">
        <v>1887112.45</v>
      </c>
      <c r="F2743" s="2">
        <v>2055386.29</v>
      </c>
    </row>
    <row r="2744" spans="1:6" x14ac:dyDescent="0.25">
      <c r="A2744" s="1">
        <v>44986</v>
      </c>
      <c r="B2744" t="s">
        <v>50</v>
      </c>
      <c r="C2744" t="s">
        <v>574</v>
      </c>
      <c r="D2744" s="2">
        <v>3727024.8</v>
      </c>
      <c r="E2744" s="2">
        <v>1399529.83</v>
      </c>
      <c r="F2744" s="2">
        <v>1538721.44</v>
      </c>
    </row>
    <row r="2745" spans="1:6" x14ac:dyDescent="0.25">
      <c r="A2745" s="1">
        <v>44986</v>
      </c>
      <c r="B2745" t="s">
        <v>40</v>
      </c>
      <c r="C2745" t="s">
        <v>177</v>
      </c>
      <c r="D2745" s="2">
        <v>424229429.11000001</v>
      </c>
      <c r="E2745" s="2">
        <v>434520736.23000002</v>
      </c>
      <c r="F2745" s="2">
        <v>423413216.31</v>
      </c>
    </row>
    <row r="2746" spans="1:6" x14ac:dyDescent="0.25">
      <c r="A2746" s="1">
        <v>44986</v>
      </c>
      <c r="B2746" t="s">
        <v>40</v>
      </c>
      <c r="C2746" t="s">
        <v>836</v>
      </c>
      <c r="D2746" s="2">
        <v>29181511.82</v>
      </c>
      <c r="E2746" s="2">
        <v>418410.59</v>
      </c>
      <c r="F2746" s="2">
        <v>212104.11</v>
      </c>
    </row>
    <row r="2747" spans="1:6" x14ac:dyDescent="0.25">
      <c r="A2747" s="1">
        <v>44986</v>
      </c>
      <c r="B2747" t="s">
        <v>490</v>
      </c>
      <c r="C2747" t="s">
        <v>880</v>
      </c>
      <c r="D2747" s="2">
        <v>790809.59999999998</v>
      </c>
      <c r="E2747">
        <v>0</v>
      </c>
      <c r="F2747">
        <v>0</v>
      </c>
    </row>
    <row r="2748" spans="1:6" x14ac:dyDescent="0.25">
      <c r="A2748" s="1">
        <v>44986</v>
      </c>
      <c r="B2748" t="s">
        <v>23</v>
      </c>
      <c r="C2748" t="s">
        <v>845</v>
      </c>
      <c r="D2748" s="2">
        <v>1100296.68</v>
      </c>
      <c r="E2748" s="2">
        <v>944422.16</v>
      </c>
      <c r="F2748" s="2">
        <v>870020.96</v>
      </c>
    </row>
    <row r="2749" spans="1:6" x14ac:dyDescent="0.25">
      <c r="A2749" s="1">
        <v>44986</v>
      </c>
      <c r="B2749" t="s">
        <v>216</v>
      </c>
      <c r="C2749" t="s">
        <v>563</v>
      </c>
      <c r="D2749" s="2">
        <v>43771705.979999997</v>
      </c>
      <c r="E2749" s="2">
        <v>22108255.620000001</v>
      </c>
      <c r="F2749" s="2">
        <v>18235905</v>
      </c>
    </row>
    <row r="2750" spans="1:6" x14ac:dyDescent="0.25">
      <c r="A2750" s="1">
        <v>44986</v>
      </c>
      <c r="B2750" t="s">
        <v>816</v>
      </c>
      <c r="C2750" t="s">
        <v>817</v>
      </c>
      <c r="D2750" s="2">
        <v>96406199.040000007</v>
      </c>
      <c r="E2750" s="2">
        <v>222539502.18000001</v>
      </c>
      <c r="F2750" s="2">
        <v>215189281.28999999</v>
      </c>
    </row>
    <row r="2751" spans="1:6" x14ac:dyDescent="0.25">
      <c r="A2751" s="1">
        <v>44986</v>
      </c>
      <c r="B2751" t="s">
        <v>25</v>
      </c>
      <c r="C2751" t="s">
        <v>724</v>
      </c>
      <c r="D2751" s="2">
        <v>356752.21</v>
      </c>
      <c r="E2751" s="2">
        <v>54724.93</v>
      </c>
      <c r="F2751" s="2">
        <v>54119.93</v>
      </c>
    </row>
    <row r="2752" spans="1:6" x14ac:dyDescent="0.25">
      <c r="A2752" s="1">
        <v>44986</v>
      </c>
      <c r="B2752" t="s">
        <v>40</v>
      </c>
      <c r="C2752" t="s">
        <v>888</v>
      </c>
      <c r="D2752" s="2">
        <v>10427093.5</v>
      </c>
      <c r="E2752" s="2">
        <v>5368576.17</v>
      </c>
      <c r="F2752" s="2">
        <v>5330861.5999999996</v>
      </c>
    </row>
    <row r="2753" spans="1:6" x14ac:dyDescent="0.25">
      <c r="A2753" s="1">
        <v>44986</v>
      </c>
      <c r="B2753" t="s">
        <v>23</v>
      </c>
      <c r="C2753" t="s">
        <v>800</v>
      </c>
      <c r="D2753" s="2">
        <v>3677873.43</v>
      </c>
      <c r="E2753" s="2">
        <v>365092.91</v>
      </c>
      <c r="F2753" s="2">
        <v>325356.89</v>
      </c>
    </row>
    <row r="2754" spans="1:6" x14ac:dyDescent="0.25">
      <c r="A2754" s="1">
        <v>44986</v>
      </c>
      <c r="B2754" t="s">
        <v>23</v>
      </c>
      <c r="C2754" t="s">
        <v>879</v>
      </c>
      <c r="D2754" s="2">
        <v>1827560.94</v>
      </c>
      <c r="E2754" s="2">
        <v>65668.86</v>
      </c>
      <c r="F2754" s="2">
        <v>64423.360000000001</v>
      </c>
    </row>
    <row r="2755" spans="1:6" x14ac:dyDescent="0.25">
      <c r="A2755" s="1">
        <v>44986</v>
      </c>
      <c r="B2755" t="s">
        <v>216</v>
      </c>
      <c r="C2755" t="s">
        <v>468</v>
      </c>
      <c r="D2755" s="2">
        <v>133945370.06</v>
      </c>
      <c r="E2755" s="2">
        <v>108452350.33</v>
      </c>
      <c r="F2755" s="2">
        <v>108432672.67</v>
      </c>
    </row>
    <row r="2756" spans="1:6" x14ac:dyDescent="0.25">
      <c r="A2756" s="1">
        <v>44986</v>
      </c>
      <c r="B2756" t="s">
        <v>40</v>
      </c>
      <c r="C2756" t="s">
        <v>924</v>
      </c>
      <c r="D2756" s="2">
        <v>490313383.57999998</v>
      </c>
      <c r="E2756" s="2">
        <v>578911341.07000005</v>
      </c>
      <c r="F2756" s="2">
        <v>577172217.97000003</v>
      </c>
    </row>
    <row r="2757" spans="1:6" x14ac:dyDescent="0.25">
      <c r="A2757" s="1">
        <v>44986</v>
      </c>
      <c r="B2757" t="s">
        <v>40</v>
      </c>
      <c r="C2757" t="s">
        <v>898</v>
      </c>
      <c r="D2757" s="2">
        <v>47587643.549999997</v>
      </c>
      <c r="E2757" s="2">
        <v>49464272.020000003</v>
      </c>
      <c r="F2757" s="2">
        <v>48896523.640000001</v>
      </c>
    </row>
    <row r="2758" spans="1:6" x14ac:dyDescent="0.25">
      <c r="A2758" s="1">
        <v>44986</v>
      </c>
      <c r="B2758" t="s">
        <v>40</v>
      </c>
      <c r="C2758" t="s">
        <v>95</v>
      </c>
      <c r="D2758" s="2">
        <v>471110288.22000003</v>
      </c>
      <c r="E2758" s="2">
        <v>619524675.33000004</v>
      </c>
      <c r="F2758" s="2">
        <v>565824924.24000001</v>
      </c>
    </row>
    <row r="2759" spans="1:6" x14ac:dyDescent="0.25">
      <c r="A2759" s="1">
        <v>44986</v>
      </c>
      <c r="B2759" t="s">
        <v>40</v>
      </c>
      <c r="C2759" t="s">
        <v>801</v>
      </c>
      <c r="D2759" s="2">
        <v>2198361.7599999998</v>
      </c>
      <c r="E2759" s="2">
        <v>3469182.49</v>
      </c>
      <c r="F2759" s="2">
        <v>3425241.41</v>
      </c>
    </row>
    <row r="2760" spans="1:6" x14ac:dyDescent="0.25">
      <c r="A2760" s="1">
        <v>44986</v>
      </c>
      <c r="B2760" t="s">
        <v>143</v>
      </c>
      <c r="C2760" t="s">
        <v>351</v>
      </c>
      <c r="D2760" s="2">
        <v>1403803364.6500001</v>
      </c>
      <c r="E2760" s="2">
        <v>1403808862.5</v>
      </c>
      <c r="F2760" s="2">
        <v>1403808862.5</v>
      </c>
    </row>
    <row r="2761" spans="1:6" x14ac:dyDescent="0.25">
      <c r="A2761" s="1">
        <v>44986</v>
      </c>
      <c r="B2761" t="s">
        <v>40</v>
      </c>
      <c r="C2761" t="s">
        <v>78</v>
      </c>
      <c r="D2761" s="2">
        <v>4323935.09</v>
      </c>
      <c r="E2761" s="2">
        <v>1799830.17</v>
      </c>
      <c r="F2761" s="2">
        <v>1509157.72</v>
      </c>
    </row>
    <row r="2762" spans="1:6" x14ac:dyDescent="0.25">
      <c r="A2762" s="1">
        <v>44986</v>
      </c>
      <c r="B2762" t="s">
        <v>92</v>
      </c>
      <c r="C2762" t="s">
        <v>819</v>
      </c>
      <c r="D2762" s="2">
        <v>1504824.11</v>
      </c>
      <c r="E2762" s="2">
        <v>1059377.77</v>
      </c>
      <c r="F2762" s="2">
        <v>1059377.77</v>
      </c>
    </row>
    <row r="2763" spans="1:6" x14ac:dyDescent="0.25">
      <c r="A2763" s="1">
        <v>45017</v>
      </c>
      <c r="B2763" t="s">
        <v>278</v>
      </c>
      <c r="C2763" t="s">
        <v>395</v>
      </c>
      <c r="D2763" s="2">
        <v>22613330.199999999</v>
      </c>
      <c r="E2763" s="2">
        <v>4235889.92</v>
      </c>
      <c r="F2763" s="2">
        <v>4235889.92</v>
      </c>
    </row>
    <row r="2764" spans="1:6" x14ac:dyDescent="0.25">
      <c r="A2764" s="1">
        <v>45017</v>
      </c>
      <c r="B2764" t="s">
        <v>68</v>
      </c>
      <c r="C2764" t="s">
        <v>221</v>
      </c>
      <c r="D2764" s="2">
        <v>20029628.449999999</v>
      </c>
      <c r="E2764" s="2">
        <v>10895501.42</v>
      </c>
      <c r="F2764" s="2">
        <v>4235577.32</v>
      </c>
    </row>
    <row r="2765" spans="1:6" x14ac:dyDescent="0.25">
      <c r="A2765" s="1">
        <v>45017</v>
      </c>
      <c r="B2765" t="s">
        <v>21</v>
      </c>
      <c r="C2765" t="s">
        <v>301</v>
      </c>
      <c r="D2765">
        <v>0</v>
      </c>
      <c r="E2765" s="2">
        <v>152034.01</v>
      </c>
      <c r="F2765" s="2">
        <v>152034.01</v>
      </c>
    </row>
    <row r="2766" spans="1:6" x14ac:dyDescent="0.25">
      <c r="A2766" s="1">
        <v>45017</v>
      </c>
      <c r="B2766" t="s">
        <v>306</v>
      </c>
      <c r="C2766" t="s">
        <v>334</v>
      </c>
      <c r="D2766" s="2">
        <v>400000</v>
      </c>
      <c r="E2766">
        <v>0</v>
      </c>
      <c r="F2766">
        <v>0</v>
      </c>
    </row>
    <row r="2767" spans="1:6" x14ac:dyDescent="0.25">
      <c r="A2767" s="1">
        <v>45017</v>
      </c>
      <c r="B2767" t="s">
        <v>42</v>
      </c>
      <c r="C2767" t="s">
        <v>893</v>
      </c>
      <c r="D2767" s="2">
        <v>71037374.739999995</v>
      </c>
      <c r="E2767" s="2">
        <v>404140374.74000001</v>
      </c>
      <c r="F2767" s="2">
        <v>404140374.74000001</v>
      </c>
    </row>
    <row r="2768" spans="1:6" x14ac:dyDescent="0.25">
      <c r="A2768" s="1">
        <v>45017</v>
      </c>
      <c r="B2768" t="s">
        <v>50</v>
      </c>
      <c r="C2768" t="s">
        <v>938</v>
      </c>
      <c r="D2768">
        <v>0</v>
      </c>
      <c r="E2768">
        <v>0</v>
      </c>
      <c r="F2768">
        <v>0</v>
      </c>
    </row>
    <row r="2769" spans="1:6" x14ac:dyDescent="0.25">
      <c r="A2769" s="1">
        <v>45017</v>
      </c>
      <c r="B2769" t="s">
        <v>21</v>
      </c>
      <c r="C2769" t="s">
        <v>58</v>
      </c>
      <c r="D2769">
        <v>0</v>
      </c>
      <c r="E2769">
        <v>0</v>
      </c>
      <c r="F2769">
        <v>0</v>
      </c>
    </row>
    <row r="2770" spans="1:6" x14ac:dyDescent="0.25">
      <c r="A2770" s="1">
        <v>45017</v>
      </c>
      <c r="B2770" t="s">
        <v>37</v>
      </c>
      <c r="C2770" t="s">
        <v>504</v>
      </c>
      <c r="D2770" s="2">
        <v>470581</v>
      </c>
      <c r="E2770">
        <v>0</v>
      </c>
      <c r="F2770">
        <v>0</v>
      </c>
    </row>
    <row r="2771" spans="1:6" x14ac:dyDescent="0.25">
      <c r="A2771" s="1">
        <v>45017</v>
      </c>
      <c r="B2771" t="s">
        <v>11</v>
      </c>
      <c r="C2771" t="s">
        <v>1154</v>
      </c>
      <c r="D2771">
        <v>0</v>
      </c>
      <c r="E2771">
        <v>0</v>
      </c>
      <c r="F2771">
        <v>0</v>
      </c>
    </row>
    <row r="2772" spans="1:6" x14ac:dyDescent="0.25">
      <c r="A2772" s="1">
        <v>45017</v>
      </c>
      <c r="B2772" t="s">
        <v>132</v>
      </c>
      <c r="C2772" t="s">
        <v>265</v>
      </c>
      <c r="D2772" s="2">
        <v>108333333.33</v>
      </c>
      <c r="E2772" s="2">
        <v>108333333.33</v>
      </c>
      <c r="F2772" s="2">
        <v>108333333.33</v>
      </c>
    </row>
    <row r="2773" spans="1:6" x14ac:dyDescent="0.25">
      <c r="A2773" s="1">
        <v>45017</v>
      </c>
      <c r="B2773" t="s">
        <v>29</v>
      </c>
      <c r="C2773" t="s">
        <v>1155</v>
      </c>
      <c r="D2773" s="2">
        <v>260129.87</v>
      </c>
      <c r="E2773" s="2">
        <v>260129.87</v>
      </c>
      <c r="F2773" s="2">
        <v>260129.87</v>
      </c>
    </row>
    <row r="2774" spans="1:6" x14ac:dyDescent="0.25">
      <c r="A2774" s="1">
        <v>45017</v>
      </c>
      <c r="B2774" t="s">
        <v>11</v>
      </c>
      <c r="C2774" t="s">
        <v>557</v>
      </c>
      <c r="D2774" s="2">
        <v>620228415.76999998</v>
      </c>
      <c r="E2774" s="2">
        <v>1091296289.72</v>
      </c>
      <c r="F2774" s="2">
        <v>467887061.44999999</v>
      </c>
    </row>
    <row r="2775" spans="1:6" x14ac:dyDescent="0.25">
      <c r="A2775" s="1">
        <v>45017</v>
      </c>
      <c r="B2775" t="s">
        <v>92</v>
      </c>
      <c r="C2775" t="s">
        <v>1023</v>
      </c>
      <c r="D2775">
        <v>0</v>
      </c>
      <c r="E2775">
        <v>0</v>
      </c>
      <c r="F2775">
        <v>0</v>
      </c>
    </row>
    <row r="2776" spans="1:6" x14ac:dyDescent="0.25">
      <c r="A2776" s="1">
        <v>45017</v>
      </c>
      <c r="B2776" t="s">
        <v>48</v>
      </c>
      <c r="C2776" t="s">
        <v>1077</v>
      </c>
      <c r="D2776">
        <v>0</v>
      </c>
      <c r="E2776">
        <v>0</v>
      </c>
      <c r="F2776" s="2">
        <v>4000000</v>
      </c>
    </row>
    <row r="2777" spans="1:6" x14ac:dyDescent="0.25">
      <c r="A2777" s="1">
        <v>45017</v>
      </c>
      <c r="B2777" t="s">
        <v>344</v>
      </c>
      <c r="C2777" t="s">
        <v>1156</v>
      </c>
      <c r="D2777" s="2">
        <v>198824</v>
      </c>
      <c r="E2777" s="2">
        <v>12493.78</v>
      </c>
      <c r="F2777" s="2">
        <v>11806.62</v>
      </c>
    </row>
    <row r="2778" spans="1:6" x14ac:dyDescent="0.25">
      <c r="A2778" s="1">
        <v>45017</v>
      </c>
      <c r="B2778" t="s">
        <v>7</v>
      </c>
      <c r="C2778" t="s">
        <v>8</v>
      </c>
      <c r="D2778" s="2">
        <v>9340599004.5699997</v>
      </c>
      <c r="E2778" s="2">
        <v>6364404319.4099998</v>
      </c>
      <c r="F2778" s="2">
        <v>6364404319.4099998</v>
      </c>
    </row>
    <row r="2779" spans="1:6" x14ac:dyDescent="0.25">
      <c r="A2779" s="1">
        <v>45017</v>
      </c>
      <c r="B2779" t="s">
        <v>118</v>
      </c>
      <c r="C2779" t="s">
        <v>374</v>
      </c>
      <c r="D2779">
        <v>0</v>
      </c>
      <c r="E2779">
        <v>0</v>
      </c>
      <c r="F2779">
        <v>0</v>
      </c>
    </row>
    <row r="2780" spans="1:6" x14ac:dyDescent="0.25">
      <c r="A2780" s="1">
        <v>45017</v>
      </c>
      <c r="B2780" t="s">
        <v>206</v>
      </c>
      <c r="C2780" t="s">
        <v>832</v>
      </c>
      <c r="D2780" s="2">
        <v>28073916</v>
      </c>
      <c r="E2780">
        <v>3.49</v>
      </c>
      <c r="F2780">
        <v>3.49</v>
      </c>
    </row>
    <row r="2781" spans="1:6" x14ac:dyDescent="0.25">
      <c r="A2781" s="1">
        <v>45017</v>
      </c>
      <c r="B2781" t="s">
        <v>40</v>
      </c>
      <c r="C2781" t="s">
        <v>149</v>
      </c>
      <c r="D2781" s="2">
        <v>2402952.0299999998</v>
      </c>
      <c r="E2781" s="2">
        <v>2444970.88</v>
      </c>
      <c r="F2781" s="2">
        <v>2444982.31</v>
      </c>
    </row>
    <row r="2782" spans="1:6" x14ac:dyDescent="0.25">
      <c r="A2782" s="1">
        <v>45017</v>
      </c>
      <c r="B2782" t="s">
        <v>17</v>
      </c>
      <c r="C2782" t="s">
        <v>935</v>
      </c>
      <c r="D2782">
        <v>0</v>
      </c>
      <c r="E2782">
        <v>0</v>
      </c>
      <c r="F2782">
        <v>0</v>
      </c>
    </row>
    <row r="2783" spans="1:6" x14ac:dyDescent="0.25">
      <c r="A2783" s="1">
        <v>45017</v>
      </c>
      <c r="B2783" t="s">
        <v>44</v>
      </c>
      <c r="C2783" t="s">
        <v>1157</v>
      </c>
      <c r="D2783" s="2">
        <v>7032929.1900000004</v>
      </c>
      <c r="E2783" s="2">
        <v>3042762.07</v>
      </c>
      <c r="F2783" s="2">
        <v>1518333.32</v>
      </c>
    </row>
    <row r="2784" spans="1:6" x14ac:dyDescent="0.25">
      <c r="A2784" s="1">
        <v>45017</v>
      </c>
      <c r="B2784" t="s">
        <v>234</v>
      </c>
      <c r="C2784" t="s">
        <v>771</v>
      </c>
      <c r="D2784" s="2">
        <v>26898375.82</v>
      </c>
      <c r="E2784">
        <v>0</v>
      </c>
      <c r="F2784">
        <v>0</v>
      </c>
    </row>
    <row r="2785" spans="1:6" x14ac:dyDescent="0.25">
      <c r="A2785" s="1">
        <v>45017</v>
      </c>
      <c r="B2785" t="s">
        <v>105</v>
      </c>
      <c r="C2785" t="s">
        <v>755</v>
      </c>
      <c r="D2785">
        <v>0</v>
      </c>
      <c r="E2785">
        <v>0</v>
      </c>
      <c r="F2785">
        <v>0</v>
      </c>
    </row>
    <row r="2786" spans="1:6" x14ac:dyDescent="0.25">
      <c r="A2786" s="1">
        <v>45017</v>
      </c>
      <c r="B2786" t="s">
        <v>23</v>
      </c>
      <c r="C2786" t="s">
        <v>710</v>
      </c>
      <c r="D2786" s="2">
        <v>475808</v>
      </c>
      <c r="E2786">
        <v>0</v>
      </c>
      <c r="F2786">
        <v>0</v>
      </c>
    </row>
    <row r="2787" spans="1:6" x14ac:dyDescent="0.25">
      <c r="A2787" s="1">
        <v>45017</v>
      </c>
      <c r="B2787" t="s">
        <v>402</v>
      </c>
      <c r="C2787" t="s">
        <v>1140</v>
      </c>
      <c r="D2787">
        <v>0</v>
      </c>
      <c r="E2787">
        <v>0</v>
      </c>
      <c r="F2787">
        <v>0</v>
      </c>
    </row>
    <row r="2788" spans="1:6" x14ac:dyDescent="0.25">
      <c r="A2788" s="1">
        <v>45017</v>
      </c>
      <c r="B2788" t="s">
        <v>11</v>
      </c>
      <c r="C2788" t="s">
        <v>749</v>
      </c>
      <c r="D2788" s="2">
        <v>14935251</v>
      </c>
      <c r="E2788" s="2">
        <v>14875655.310000001</v>
      </c>
      <c r="F2788" s="2">
        <v>14915683.15</v>
      </c>
    </row>
    <row r="2789" spans="1:6" x14ac:dyDescent="0.25">
      <c r="A2789" s="1">
        <v>45017</v>
      </c>
      <c r="B2789" t="s">
        <v>490</v>
      </c>
      <c r="C2789" t="s">
        <v>1065</v>
      </c>
      <c r="D2789" s="2">
        <v>184001431.08000001</v>
      </c>
      <c r="E2789" s="2">
        <v>140657392.06999999</v>
      </c>
      <c r="F2789" s="2">
        <v>76693300.769999996</v>
      </c>
    </row>
    <row r="2790" spans="1:6" x14ac:dyDescent="0.25">
      <c r="A2790" s="1">
        <v>45017</v>
      </c>
      <c r="B2790" t="s">
        <v>1158</v>
      </c>
      <c r="C2790" t="s">
        <v>1159</v>
      </c>
      <c r="D2790" s="2">
        <v>145486231.66999999</v>
      </c>
      <c r="E2790" s="2">
        <v>140280231.66999999</v>
      </c>
      <c r="F2790" s="2">
        <v>140280231.66999999</v>
      </c>
    </row>
    <row r="2791" spans="1:6" x14ac:dyDescent="0.25">
      <c r="A2791" s="1">
        <v>45017</v>
      </c>
      <c r="B2791" t="s">
        <v>185</v>
      </c>
      <c r="C2791" t="s">
        <v>186</v>
      </c>
      <c r="D2791" s="2">
        <v>189517890.94</v>
      </c>
      <c r="E2791" s="2">
        <v>346912433.10000002</v>
      </c>
      <c r="F2791" s="2">
        <v>346912433.10000002</v>
      </c>
    </row>
    <row r="2792" spans="1:6" x14ac:dyDescent="0.25">
      <c r="A2792" s="1">
        <v>45017</v>
      </c>
      <c r="B2792" t="s">
        <v>11</v>
      </c>
      <c r="C2792" t="s">
        <v>59</v>
      </c>
      <c r="D2792">
        <v>0</v>
      </c>
      <c r="E2792" s="2">
        <v>376525641.49000001</v>
      </c>
      <c r="F2792" s="2">
        <v>376525641.49000001</v>
      </c>
    </row>
    <row r="2793" spans="1:6" x14ac:dyDescent="0.25">
      <c r="A2793" s="1">
        <v>45017</v>
      </c>
      <c r="B2793" t="s">
        <v>21</v>
      </c>
      <c r="C2793" t="s">
        <v>1017</v>
      </c>
      <c r="D2793" s="2">
        <v>92736</v>
      </c>
      <c r="E2793">
        <v>0</v>
      </c>
      <c r="F2793">
        <v>0</v>
      </c>
    </row>
    <row r="2794" spans="1:6" x14ac:dyDescent="0.25">
      <c r="A2794" s="1">
        <v>45017</v>
      </c>
      <c r="B2794" t="s">
        <v>68</v>
      </c>
      <c r="C2794" t="s">
        <v>69</v>
      </c>
      <c r="D2794">
        <v>0</v>
      </c>
      <c r="E2794">
        <v>0</v>
      </c>
      <c r="F2794">
        <v>0</v>
      </c>
    </row>
    <row r="2795" spans="1:6" x14ac:dyDescent="0.25">
      <c r="A2795" s="1">
        <v>45017</v>
      </c>
      <c r="B2795" t="s">
        <v>40</v>
      </c>
      <c r="C2795" t="s">
        <v>255</v>
      </c>
      <c r="D2795">
        <v>0</v>
      </c>
      <c r="E2795">
        <v>0</v>
      </c>
      <c r="F2795">
        <v>0</v>
      </c>
    </row>
    <row r="2796" spans="1:6" x14ac:dyDescent="0.25">
      <c r="A2796" s="1">
        <v>45017</v>
      </c>
      <c r="B2796" t="s">
        <v>234</v>
      </c>
      <c r="C2796" t="s">
        <v>959</v>
      </c>
      <c r="D2796">
        <v>0</v>
      </c>
      <c r="E2796">
        <v>0</v>
      </c>
      <c r="F2796">
        <v>0</v>
      </c>
    </row>
    <row r="2797" spans="1:6" x14ac:dyDescent="0.25">
      <c r="A2797" s="1">
        <v>45017</v>
      </c>
      <c r="B2797" t="s">
        <v>21</v>
      </c>
      <c r="C2797" t="s">
        <v>1099</v>
      </c>
      <c r="D2797">
        <v>0</v>
      </c>
      <c r="E2797">
        <v>0</v>
      </c>
      <c r="F2797">
        <v>0</v>
      </c>
    </row>
    <row r="2798" spans="1:6" x14ac:dyDescent="0.25">
      <c r="A2798" s="1">
        <v>45017</v>
      </c>
      <c r="B2798" t="s">
        <v>11</v>
      </c>
      <c r="C2798" t="s">
        <v>204</v>
      </c>
      <c r="D2798">
        <v>0</v>
      </c>
      <c r="E2798" s="2">
        <v>183314011.03999999</v>
      </c>
      <c r="F2798" s="2">
        <v>183314011.03999999</v>
      </c>
    </row>
    <row r="2799" spans="1:6" x14ac:dyDescent="0.25">
      <c r="A2799" s="1">
        <v>45017</v>
      </c>
      <c r="B2799" t="s">
        <v>48</v>
      </c>
      <c r="C2799" t="s">
        <v>1121</v>
      </c>
      <c r="D2799" s="2">
        <v>-316631.74</v>
      </c>
      <c r="E2799">
        <v>0</v>
      </c>
      <c r="F2799">
        <v>0</v>
      </c>
    </row>
    <row r="2800" spans="1:6" x14ac:dyDescent="0.25">
      <c r="A2800" s="1">
        <v>45017</v>
      </c>
      <c r="B2800" t="s">
        <v>490</v>
      </c>
      <c r="C2800" t="s">
        <v>491</v>
      </c>
      <c r="D2800" s="2">
        <v>51940528.520000003</v>
      </c>
      <c r="E2800" s="2">
        <v>18699340.77</v>
      </c>
      <c r="F2800" s="2">
        <v>3070258.29</v>
      </c>
    </row>
    <row r="2801" spans="1:6" x14ac:dyDescent="0.25">
      <c r="A2801" s="1">
        <v>45017</v>
      </c>
      <c r="B2801" t="s">
        <v>991</v>
      </c>
      <c r="C2801" t="s">
        <v>897</v>
      </c>
      <c r="D2801">
        <v>0</v>
      </c>
      <c r="E2801">
        <v>0</v>
      </c>
      <c r="F2801">
        <v>0</v>
      </c>
    </row>
    <row r="2802" spans="1:6" x14ac:dyDescent="0.25">
      <c r="A2802" s="1">
        <v>45017</v>
      </c>
      <c r="B2802" t="s">
        <v>143</v>
      </c>
      <c r="C2802" t="s">
        <v>507</v>
      </c>
      <c r="D2802" s="2">
        <v>653210796</v>
      </c>
      <c r="E2802" s="2">
        <v>653210796</v>
      </c>
      <c r="F2802" s="2">
        <v>653210796</v>
      </c>
    </row>
    <row r="2803" spans="1:6" x14ac:dyDescent="0.25">
      <c r="A2803" s="1">
        <v>45017</v>
      </c>
      <c r="B2803" t="s">
        <v>21</v>
      </c>
      <c r="C2803" t="s">
        <v>1119</v>
      </c>
      <c r="D2803" s="2">
        <v>96450000</v>
      </c>
      <c r="E2803">
        <v>0</v>
      </c>
      <c r="F2803">
        <v>0</v>
      </c>
    </row>
    <row r="2804" spans="1:6" x14ac:dyDescent="0.25">
      <c r="A2804" s="1">
        <v>45017</v>
      </c>
      <c r="B2804" t="s">
        <v>17</v>
      </c>
      <c r="C2804" t="s">
        <v>18</v>
      </c>
      <c r="D2804" s="2">
        <v>21926627.84</v>
      </c>
      <c r="E2804" s="2">
        <v>21926627.84</v>
      </c>
      <c r="F2804" s="2">
        <v>21926627.84</v>
      </c>
    </row>
    <row r="2805" spans="1:6" x14ac:dyDescent="0.25">
      <c r="A2805" s="1">
        <v>45017</v>
      </c>
      <c r="B2805" t="s">
        <v>50</v>
      </c>
      <c r="C2805" t="s">
        <v>1160</v>
      </c>
      <c r="D2805">
        <v>0</v>
      </c>
      <c r="E2805">
        <v>0</v>
      </c>
      <c r="F2805">
        <v>0</v>
      </c>
    </row>
    <row r="2806" spans="1:6" x14ac:dyDescent="0.25">
      <c r="A2806" s="1">
        <v>45017</v>
      </c>
      <c r="B2806" t="s">
        <v>143</v>
      </c>
      <c r="C2806" t="s">
        <v>1161</v>
      </c>
      <c r="D2806">
        <v>0</v>
      </c>
      <c r="E2806">
        <v>0</v>
      </c>
      <c r="F2806">
        <v>0</v>
      </c>
    </row>
    <row r="2807" spans="1:6" x14ac:dyDescent="0.25">
      <c r="A2807" s="1">
        <v>45017</v>
      </c>
      <c r="B2807" t="s">
        <v>17</v>
      </c>
      <c r="C2807" t="s">
        <v>673</v>
      </c>
      <c r="D2807">
        <v>0</v>
      </c>
      <c r="E2807">
        <v>0</v>
      </c>
      <c r="F2807">
        <v>0</v>
      </c>
    </row>
    <row r="2808" spans="1:6" x14ac:dyDescent="0.25">
      <c r="A2808" s="1">
        <v>45017</v>
      </c>
      <c r="B2808" t="s">
        <v>251</v>
      </c>
      <c r="C2808" t="s">
        <v>332</v>
      </c>
      <c r="D2808">
        <v>0</v>
      </c>
      <c r="E2808" s="2">
        <v>49566024.350000001</v>
      </c>
      <c r="F2808" s="2">
        <v>49566024.350000001</v>
      </c>
    </row>
    <row r="2809" spans="1:6" x14ac:dyDescent="0.25">
      <c r="A2809" s="1">
        <v>45017</v>
      </c>
      <c r="B2809" t="s">
        <v>19</v>
      </c>
      <c r="C2809" t="s">
        <v>397</v>
      </c>
      <c r="D2809" s="2">
        <v>6297926.1699999999</v>
      </c>
      <c r="E2809" s="2">
        <v>2329712.27</v>
      </c>
      <c r="F2809" s="2">
        <v>2333545.87</v>
      </c>
    </row>
    <row r="2810" spans="1:6" x14ac:dyDescent="0.25">
      <c r="A2810" s="1">
        <v>45017</v>
      </c>
      <c r="B2810" t="s">
        <v>164</v>
      </c>
      <c r="C2810" t="s">
        <v>1162</v>
      </c>
      <c r="D2810">
        <v>0</v>
      </c>
      <c r="E2810">
        <v>0</v>
      </c>
      <c r="F2810">
        <v>0</v>
      </c>
    </row>
    <row r="2811" spans="1:6" x14ac:dyDescent="0.25">
      <c r="A2811" s="1">
        <v>45017</v>
      </c>
      <c r="B2811" t="s">
        <v>11</v>
      </c>
      <c r="C2811" t="s">
        <v>1098</v>
      </c>
      <c r="D2811">
        <v>0</v>
      </c>
      <c r="E2811">
        <v>0</v>
      </c>
      <c r="F2811">
        <v>0</v>
      </c>
    </row>
    <row r="2812" spans="1:6" x14ac:dyDescent="0.25">
      <c r="A2812" s="1">
        <v>45017</v>
      </c>
      <c r="B2812" t="s">
        <v>263</v>
      </c>
      <c r="C2812" t="s">
        <v>741</v>
      </c>
      <c r="D2812" s="2">
        <v>377067.64</v>
      </c>
      <c r="E2812" s="2">
        <v>396433.89</v>
      </c>
      <c r="F2812" s="2">
        <v>396433.89</v>
      </c>
    </row>
    <row r="2813" spans="1:6" x14ac:dyDescent="0.25">
      <c r="A2813" s="1">
        <v>45017</v>
      </c>
      <c r="B2813" t="s">
        <v>50</v>
      </c>
      <c r="C2813" t="s">
        <v>1107</v>
      </c>
      <c r="D2813">
        <v>0</v>
      </c>
      <c r="E2813" s="2">
        <v>6661341.0899999999</v>
      </c>
      <c r="F2813" s="2">
        <v>6661341.0899999999</v>
      </c>
    </row>
    <row r="2814" spans="1:6" x14ac:dyDescent="0.25">
      <c r="A2814" s="1">
        <v>45017</v>
      </c>
      <c r="B2814" t="s">
        <v>405</v>
      </c>
      <c r="C2814" t="s">
        <v>839</v>
      </c>
      <c r="D2814">
        <v>0</v>
      </c>
      <c r="E2814">
        <v>0</v>
      </c>
      <c r="F2814">
        <v>0</v>
      </c>
    </row>
    <row r="2815" spans="1:6" x14ac:dyDescent="0.25">
      <c r="A2815" s="1">
        <v>45017</v>
      </c>
      <c r="B2815" t="s">
        <v>21</v>
      </c>
      <c r="C2815" t="s">
        <v>353</v>
      </c>
      <c r="D2815" s="2">
        <v>50000000</v>
      </c>
      <c r="E2815">
        <v>0</v>
      </c>
      <c r="F2815">
        <v>0</v>
      </c>
    </row>
    <row r="2816" spans="1:6" x14ac:dyDescent="0.25">
      <c r="A2816" s="1">
        <v>45017</v>
      </c>
      <c r="B2816" t="s">
        <v>11</v>
      </c>
      <c r="C2816" t="s">
        <v>83</v>
      </c>
      <c r="D2816">
        <v>0</v>
      </c>
      <c r="E2816" s="2">
        <v>11189479220.17</v>
      </c>
      <c r="F2816" s="2">
        <v>11189479220.17</v>
      </c>
    </row>
    <row r="2817" spans="1:6" x14ac:dyDescent="0.25">
      <c r="A2817" s="1">
        <v>45017</v>
      </c>
      <c r="B2817" t="s">
        <v>29</v>
      </c>
      <c r="C2817" t="s">
        <v>30</v>
      </c>
      <c r="D2817">
        <v>0</v>
      </c>
      <c r="E2817">
        <v>0</v>
      </c>
      <c r="F2817">
        <v>0</v>
      </c>
    </row>
    <row r="2818" spans="1:6" x14ac:dyDescent="0.25">
      <c r="A2818" s="1">
        <v>45017</v>
      </c>
      <c r="B2818" t="s">
        <v>458</v>
      </c>
      <c r="C2818" t="s">
        <v>798</v>
      </c>
      <c r="D2818">
        <v>0</v>
      </c>
      <c r="E2818">
        <v>0</v>
      </c>
      <c r="F2818">
        <v>0</v>
      </c>
    </row>
    <row r="2819" spans="1:6" x14ac:dyDescent="0.25">
      <c r="A2819" s="1">
        <v>45017</v>
      </c>
      <c r="B2819" t="s">
        <v>23</v>
      </c>
      <c r="C2819" t="s">
        <v>305</v>
      </c>
      <c r="D2819" s="2">
        <v>51393202.359999999</v>
      </c>
      <c r="E2819" s="2">
        <v>34959178.5</v>
      </c>
      <c r="F2819" s="2">
        <v>33622014.890000001</v>
      </c>
    </row>
    <row r="2820" spans="1:6" x14ac:dyDescent="0.25">
      <c r="A2820" s="1">
        <v>45017</v>
      </c>
      <c r="B2820" t="s">
        <v>31</v>
      </c>
      <c r="C2820" t="s">
        <v>357</v>
      </c>
      <c r="D2820">
        <v>0</v>
      </c>
      <c r="E2820">
        <v>0</v>
      </c>
      <c r="F2820">
        <v>0</v>
      </c>
    </row>
    <row r="2821" spans="1:6" x14ac:dyDescent="0.25">
      <c r="A2821" s="1">
        <v>45017</v>
      </c>
      <c r="B2821" t="s">
        <v>1117</v>
      </c>
      <c r="C2821" t="s">
        <v>95</v>
      </c>
      <c r="D2821">
        <v>0</v>
      </c>
      <c r="E2821">
        <v>0</v>
      </c>
      <c r="F2821">
        <v>0</v>
      </c>
    </row>
    <row r="2822" spans="1:6" x14ac:dyDescent="0.25">
      <c r="A2822" s="1">
        <v>45017</v>
      </c>
      <c r="B2822" t="s">
        <v>234</v>
      </c>
      <c r="C2822" t="s">
        <v>299</v>
      </c>
      <c r="D2822" s="2">
        <v>3902249434.8499999</v>
      </c>
      <c r="E2822" s="2">
        <v>3902249434.8499999</v>
      </c>
      <c r="F2822" s="2">
        <v>3902249434.8499999</v>
      </c>
    </row>
    <row r="2823" spans="1:6" x14ac:dyDescent="0.25">
      <c r="A2823" s="1">
        <v>45017</v>
      </c>
      <c r="B2823" t="s">
        <v>46</v>
      </c>
      <c r="C2823" t="s">
        <v>960</v>
      </c>
      <c r="D2823">
        <v>0</v>
      </c>
      <c r="E2823">
        <v>0</v>
      </c>
      <c r="F2823">
        <v>0</v>
      </c>
    </row>
    <row r="2824" spans="1:6" x14ac:dyDescent="0.25">
      <c r="A2824" s="1">
        <v>45017</v>
      </c>
      <c r="B2824" t="s">
        <v>187</v>
      </c>
      <c r="C2824" t="s">
        <v>188</v>
      </c>
      <c r="D2824" s="2">
        <v>942187.39</v>
      </c>
      <c r="E2824">
        <v>0</v>
      </c>
      <c r="F2824">
        <v>0</v>
      </c>
    </row>
    <row r="2825" spans="1:6" x14ac:dyDescent="0.25">
      <c r="A2825" s="1">
        <v>45017</v>
      </c>
      <c r="B2825" t="s">
        <v>549</v>
      </c>
      <c r="C2825" t="s">
        <v>78</v>
      </c>
      <c r="D2825">
        <v>0</v>
      </c>
      <c r="E2825">
        <v>0</v>
      </c>
      <c r="F2825">
        <v>0</v>
      </c>
    </row>
    <row r="2826" spans="1:6" x14ac:dyDescent="0.25">
      <c r="A2826" s="1">
        <v>45017</v>
      </c>
      <c r="B2826" t="s">
        <v>96</v>
      </c>
      <c r="C2826" t="s">
        <v>243</v>
      </c>
      <c r="D2826">
        <v>0</v>
      </c>
      <c r="E2826">
        <v>0</v>
      </c>
      <c r="F2826">
        <v>0</v>
      </c>
    </row>
    <row r="2827" spans="1:6" x14ac:dyDescent="0.25">
      <c r="A2827" s="1">
        <v>45017</v>
      </c>
      <c r="B2827" t="s">
        <v>154</v>
      </c>
      <c r="C2827" t="s">
        <v>704</v>
      </c>
      <c r="D2827" s="2">
        <v>2200000</v>
      </c>
      <c r="E2827">
        <v>0</v>
      </c>
      <c r="F2827">
        <v>0</v>
      </c>
    </row>
    <row r="2828" spans="1:6" x14ac:dyDescent="0.25">
      <c r="A2828" s="1">
        <v>45017</v>
      </c>
      <c r="B2828" t="s">
        <v>81</v>
      </c>
      <c r="C2828" t="s">
        <v>731</v>
      </c>
      <c r="D2828">
        <v>0</v>
      </c>
      <c r="E2828">
        <v>0</v>
      </c>
      <c r="F2828">
        <v>0</v>
      </c>
    </row>
    <row r="2829" spans="1:6" x14ac:dyDescent="0.25">
      <c r="A2829" s="1">
        <v>45017</v>
      </c>
      <c r="B2829" t="s">
        <v>263</v>
      </c>
      <c r="C2829" t="s">
        <v>264</v>
      </c>
      <c r="D2829" s="2">
        <v>72385178.159999996</v>
      </c>
      <c r="E2829" s="2">
        <v>10428604.789999999</v>
      </c>
      <c r="F2829" s="2">
        <v>7976595.7300000004</v>
      </c>
    </row>
    <row r="2830" spans="1:6" x14ac:dyDescent="0.25">
      <c r="A2830" s="1">
        <v>45017</v>
      </c>
      <c r="B2830" t="s">
        <v>98</v>
      </c>
      <c r="C2830" t="s">
        <v>1036</v>
      </c>
      <c r="D2830">
        <v>0</v>
      </c>
      <c r="E2830">
        <v>0</v>
      </c>
      <c r="F2830">
        <v>0</v>
      </c>
    </row>
    <row r="2831" spans="1:6" x14ac:dyDescent="0.25">
      <c r="A2831" s="1">
        <v>45017</v>
      </c>
      <c r="B2831" t="s">
        <v>21</v>
      </c>
      <c r="C2831" t="s">
        <v>312</v>
      </c>
      <c r="D2831">
        <v>0</v>
      </c>
      <c r="E2831">
        <v>0</v>
      </c>
      <c r="F2831">
        <v>0</v>
      </c>
    </row>
    <row r="2832" spans="1:6" x14ac:dyDescent="0.25">
      <c r="A2832" s="1">
        <v>45017</v>
      </c>
      <c r="B2832" t="s">
        <v>48</v>
      </c>
      <c r="C2832" t="s">
        <v>1163</v>
      </c>
      <c r="D2832">
        <v>0</v>
      </c>
      <c r="E2832">
        <v>0</v>
      </c>
      <c r="F2832">
        <v>0</v>
      </c>
    </row>
    <row r="2833" spans="1:6" x14ac:dyDescent="0.25">
      <c r="A2833" s="1">
        <v>45017</v>
      </c>
      <c r="B2833" t="s">
        <v>103</v>
      </c>
      <c r="C2833" t="s">
        <v>220</v>
      </c>
      <c r="D2833" s="2">
        <v>100000</v>
      </c>
      <c r="E2833" s="2">
        <v>136444.53</v>
      </c>
      <c r="F2833" s="2">
        <v>142950.76999999999</v>
      </c>
    </row>
    <row r="2834" spans="1:6" x14ac:dyDescent="0.25">
      <c r="A2834" s="1">
        <v>45017</v>
      </c>
      <c r="B2834" t="s">
        <v>98</v>
      </c>
      <c r="C2834" t="s">
        <v>415</v>
      </c>
      <c r="D2834">
        <v>0</v>
      </c>
      <c r="E2834">
        <v>0</v>
      </c>
      <c r="F2834">
        <v>0</v>
      </c>
    </row>
    <row r="2835" spans="1:6" x14ac:dyDescent="0.25">
      <c r="A2835" s="1">
        <v>45017</v>
      </c>
      <c r="B2835" t="s">
        <v>132</v>
      </c>
      <c r="C2835" t="s">
        <v>477</v>
      </c>
      <c r="D2835">
        <v>0</v>
      </c>
      <c r="E2835">
        <v>0</v>
      </c>
      <c r="F2835">
        <v>0</v>
      </c>
    </row>
    <row r="2836" spans="1:6" x14ac:dyDescent="0.25">
      <c r="A2836" s="1">
        <v>45017</v>
      </c>
      <c r="B2836" t="s">
        <v>118</v>
      </c>
      <c r="C2836" t="s">
        <v>1097</v>
      </c>
      <c r="D2836">
        <v>0</v>
      </c>
      <c r="E2836">
        <v>0</v>
      </c>
      <c r="F2836">
        <v>0</v>
      </c>
    </row>
    <row r="2837" spans="1:6" x14ac:dyDescent="0.25">
      <c r="A2837" s="1">
        <v>45017</v>
      </c>
      <c r="B2837" t="s">
        <v>159</v>
      </c>
      <c r="C2837" t="s">
        <v>986</v>
      </c>
      <c r="D2837" s="2">
        <v>47300000</v>
      </c>
      <c r="E2837">
        <v>0</v>
      </c>
      <c r="F2837">
        <v>0</v>
      </c>
    </row>
    <row r="2838" spans="1:6" x14ac:dyDescent="0.25">
      <c r="A2838" s="1">
        <v>45017</v>
      </c>
      <c r="B2838" t="s">
        <v>518</v>
      </c>
      <c r="C2838" t="s">
        <v>936</v>
      </c>
      <c r="D2838">
        <v>0</v>
      </c>
      <c r="E2838">
        <v>0</v>
      </c>
      <c r="F2838">
        <v>0</v>
      </c>
    </row>
    <row r="2839" spans="1:6" x14ac:dyDescent="0.25">
      <c r="A2839" s="1">
        <v>45017</v>
      </c>
      <c r="B2839" t="s">
        <v>17</v>
      </c>
      <c r="C2839" t="s">
        <v>145</v>
      </c>
      <c r="D2839">
        <v>0</v>
      </c>
      <c r="E2839">
        <v>0</v>
      </c>
      <c r="F2839">
        <v>0</v>
      </c>
    </row>
    <row r="2840" spans="1:6" x14ac:dyDescent="0.25">
      <c r="A2840" s="1">
        <v>45017</v>
      </c>
      <c r="B2840" t="s">
        <v>40</v>
      </c>
      <c r="C2840" t="s">
        <v>334</v>
      </c>
      <c r="D2840" s="2">
        <v>110000</v>
      </c>
      <c r="E2840" s="2">
        <v>93914.63</v>
      </c>
      <c r="F2840" s="2">
        <v>93914.63</v>
      </c>
    </row>
    <row r="2841" spans="1:6" x14ac:dyDescent="0.25">
      <c r="A2841" s="1">
        <v>45017</v>
      </c>
      <c r="B2841" t="s">
        <v>21</v>
      </c>
      <c r="C2841" t="s">
        <v>330</v>
      </c>
      <c r="D2841" s="2">
        <v>8407340</v>
      </c>
      <c r="E2841">
        <v>0</v>
      </c>
      <c r="F2841">
        <v>0</v>
      </c>
    </row>
    <row r="2842" spans="1:6" x14ac:dyDescent="0.25">
      <c r="A2842" s="1">
        <v>45017</v>
      </c>
      <c r="B2842" t="s">
        <v>21</v>
      </c>
      <c r="C2842" t="s">
        <v>497</v>
      </c>
      <c r="D2842" s="2">
        <v>1254000</v>
      </c>
      <c r="E2842" s="2">
        <v>834270.57</v>
      </c>
      <c r="F2842" s="2">
        <v>834270.57</v>
      </c>
    </row>
    <row r="2843" spans="1:6" x14ac:dyDescent="0.25">
      <c r="A2843" s="1">
        <v>45017</v>
      </c>
      <c r="B2843" t="s">
        <v>46</v>
      </c>
      <c r="C2843" t="s">
        <v>241</v>
      </c>
      <c r="D2843" s="2">
        <v>1887609.76</v>
      </c>
      <c r="E2843" s="2">
        <v>2670535.52</v>
      </c>
      <c r="F2843" s="2">
        <v>2698376.84</v>
      </c>
    </row>
    <row r="2844" spans="1:6" x14ac:dyDescent="0.25">
      <c r="A2844" s="1">
        <v>45017</v>
      </c>
      <c r="B2844" t="s">
        <v>648</v>
      </c>
      <c r="C2844" t="s">
        <v>576</v>
      </c>
      <c r="D2844">
        <v>0</v>
      </c>
      <c r="E2844">
        <v>0</v>
      </c>
      <c r="F2844">
        <v>0</v>
      </c>
    </row>
    <row r="2845" spans="1:6" x14ac:dyDescent="0.25">
      <c r="A2845" s="1">
        <v>45017</v>
      </c>
      <c r="B2845" t="s">
        <v>75</v>
      </c>
      <c r="C2845" t="s">
        <v>269</v>
      </c>
      <c r="D2845">
        <v>0</v>
      </c>
      <c r="E2845">
        <v>0</v>
      </c>
      <c r="F2845">
        <v>0</v>
      </c>
    </row>
    <row r="2846" spans="1:6" x14ac:dyDescent="0.25">
      <c r="A2846" s="1">
        <v>45017</v>
      </c>
      <c r="B2846" t="s">
        <v>40</v>
      </c>
      <c r="C2846" t="s">
        <v>654</v>
      </c>
      <c r="D2846">
        <v>0</v>
      </c>
      <c r="E2846">
        <v>0</v>
      </c>
      <c r="F2846">
        <v>0</v>
      </c>
    </row>
    <row r="2847" spans="1:6" x14ac:dyDescent="0.25">
      <c r="A2847" s="1">
        <v>45017</v>
      </c>
      <c r="B2847" t="s">
        <v>21</v>
      </c>
      <c r="C2847" t="s">
        <v>184</v>
      </c>
      <c r="D2847" s="2">
        <v>23000000</v>
      </c>
      <c r="E2847">
        <v>0</v>
      </c>
      <c r="F2847">
        <v>0</v>
      </c>
    </row>
    <row r="2848" spans="1:6" x14ac:dyDescent="0.25">
      <c r="A2848" s="1">
        <v>45017</v>
      </c>
      <c r="B2848" t="s">
        <v>55</v>
      </c>
      <c r="C2848" t="s">
        <v>1164</v>
      </c>
      <c r="D2848">
        <v>0</v>
      </c>
      <c r="E2848">
        <v>0</v>
      </c>
      <c r="F2848">
        <v>0</v>
      </c>
    </row>
    <row r="2849" spans="1:6" x14ac:dyDescent="0.25">
      <c r="A2849" s="1">
        <v>45017</v>
      </c>
      <c r="B2849" t="s">
        <v>15</v>
      </c>
      <c r="C2849" t="s">
        <v>99</v>
      </c>
      <c r="D2849">
        <v>0</v>
      </c>
      <c r="E2849" s="2">
        <v>49040.52</v>
      </c>
      <c r="F2849" s="2">
        <v>49040.52</v>
      </c>
    </row>
    <row r="2850" spans="1:6" x14ac:dyDescent="0.25">
      <c r="A2850" s="1">
        <v>45017</v>
      </c>
      <c r="B2850" t="s">
        <v>40</v>
      </c>
      <c r="C2850" t="s">
        <v>651</v>
      </c>
      <c r="D2850" s="2">
        <v>17578.73</v>
      </c>
      <c r="E2850" s="2">
        <v>3405.29</v>
      </c>
      <c r="F2850" s="2">
        <v>3405.29</v>
      </c>
    </row>
    <row r="2851" spans="1:6" x14ac:dyDescent="0.25">
      <c r="A2851" s="1">
        <v>45017</v>
      </c>
      <c r="B2851" t="s">
        <v>19</v>
      </c>
      <c r="C2851" t="s">
        <v>733</v>
      </c>
      <c r="D2851" s="2">
        <v>4820808.07</v>
      </c>
      <c r="E2851" s="2">
        <v>1207.22</v>
      </c>
      <c r="F2851" s="2">
        <v>1074.43</v>
      </c>
    </row>
    <row r="2852" spans="1:6" x14ac:dyDescent="0.25">
      <c r="A2852" s="1">
        <v>45017</v>
      </c>
      <c r="B2852" t="s">
        <v>55</v>
      </c>
      <c r="C2852" t="s">
        <v>56</v>
      </c>
      <c r="D2852">
        <v>0</v>
      </c>
      <c r="E2852">
        <v>0</v>
      </c>
      <c r="F2852">
        <v>0</v>
      </c>
    </row>
    <row r="2853" spans="1:6" x14ac:dyDescent="0.25">
      <c r="A2853" s="1">
        <v>45017</v>
      </c>
      <c r="B2853" t="s">
        <v>21</v>
      </c>
      <c r="C2853" t="s">
        <v>245</v>
      </c>
      <c r="D2853" s="2">
        <v>80000000</v>
      </c>
      <c r="E2853">
        <v>0</v>
      </c>
      <c r="F2853">
        <v>0</v>
      </c>
    </row>
    <row r="2854" spans="1:6" x14ac:dyDescent="0.25">
      <c r="A2854" s="1">
        <v>45017</v>
      </c>
      <c r="B2854" t="s">
        <v>127</v>
      </c>
      <c r="C2854" t="s">
        <v>128</v>
      </c>
      <c r="D2854" s="2">
        <v>280333.59000000003</v>
      </c>
      <c r="E2854" s="2">
        <v>36376.800000000003</v>
      </c>
      <c r="F2854" s="2">
        <v>36376.800000000003</v>
      </c>
    </row>
    <row r="2855" spans="1:6" x14ac:dyDescent="0.25">
      <c r="A2855" s="1">
        <v>45017</v>
      </c>
      <c r="B2855" t="s">
        <v>19</v>
      </c>
      <c r="C2855" t="s">
        <v>20</v>
      </c>
      <c r="D2855" s="2">
        <v>1611216.13</v>
      </c>
      <c r="E2855" s="2">
        <v>10622.21</v>
      </c>
      <c r="F2855" s="2">
        <v>22274.77</v>
      </c>
    </row>
    <row r="2856" spans="1:6" x14ac:dyDescent="0.25">
      <c r="A2856" s="1">
        <v>45017</v>
      </c>
      <c r="B2856" t="s">
        <v>17</v>
      </c>
      <c r="C2856" t="s">
        <v>877</v>
      </c>
      <c r="D2856" s="2">
        <v>1048305.92</v>
      </c>
      <c r="E2856" s="2">
        <v>1048305.92</v>
      </c>
      <c r="F2856" s="2">
        <v>1048305.92</v>
      </c>
    </row>
    <row r="2857" spans="1:6" x14ac:dyDescent="0.25">
      <c r="A2857" s="1">
        <v>45017</v>
      </c>
      <c r="B2857" t="s">
        <v>98</v>
      </c>
      <c r="C2857" t="s">
        <v>304</v>
      </c>
      <c r="D2857">
        <v>0</v>
      </c>
      <c r="E2857">
        <v>0</v>
      </c>
      <c r="F2857">
        <v>0</v>
      </c>
    </row>
    <row r="2858" spans="1:6" x14ac:dyDescent="0.25">
      <c r="A2858" s="1">
        <v>45017</v>
      </c>
      <c r="B2858" t="s">
        <v>29</v>
      </c>
      <c r="C2858" t="s">
        <v>60</v>
      </c>
      <c r="D2858" s="2">
        <v>335000.3</v>
      </c>
      <c r="E2858" s="2">
        <v>72059.649999999994</v>
      </c>
      <c r="F2858" s="2">
        <v>78121.570000000007</v>
      </c>
    </row>
    <row r="2859" spans="1:6" x14ac:dyDescent="0.25">
      <c r="A2859" s="1">
        <v>45017</v>
      </c>
      <c r="B2859" t="s">
        <v>40</v>
      </c>
      <c r="C2859" t="s">
        <v>695</v>
      </c>
      <c r="D2859">
        <v>0</v>
      </c>
      <c r="E2859" s="2">
        <v>4761.68</v>
      </c>
      <c r="F2859" s="2">
        <v>2218.8000000000002</v>
      </c>
    </row>
    <row r="2860" spans="1:6" x14ac:dyDescent="0.25">
      <c r="A2860" s="1">
        <v>45017</v>
      </c>
      <c r="B2860" t="s">
        <v>185</v>
      </c>
      <c r="C2860" t="s">
        <v>968</v>
      </c>
      <c r="D2860">
        <v>0</v>
      </c>
      <c r="E2860" s="2">
        <v>12636000</v>
      </c>
      <c r="F2860" s="2">
        <v>12636000</v>
      </c>
    </row>
    <row r="2861" spans="1:6" x14ac:dyDescent="0.25">
      <c r="A2861" s="1">
        <v>45017</v>
      </c>
      <c r="B2861" t="s">
        <v>42</v>
      </c>
      <c r="C2861" t="s">
        <v>978</v>
      </c>
      <c r="D2861">
        <v>0</v>
      </c>
      <c r="E2861" s="2">
        <v>5631385.4000000004</v>
      </c>
      <c r="F2861">
        <v>0</v>
      </c>
    </row>
    <row r="2862" spans="1:6" x14ac:dyDescent="0.25">
      <c r="A2862" s="1">
        <v>45017</v>
      </c>
      <c r="B2862" t="s">
        <v>125</v>
      </c>
      <c r="C2862" t="s">
        <v>126</v>
      </c>
      <c r="D2862" s="2">
        <v>18649.560000000001</v>
      </c>
      <c r="E2862" s="2">
        <v>18649.560000000001</v>
      </c>
      <c r="F2862" s="2">
        <v>18649.560000000001</v>
      </c>
    </row>
    <row r="2863" spans="1:6" x14ac:dyDescent="0.25">
      <c r="A2863" s="1">
        <v>45017</v>
      </c>
      <c r="B2863" t="s">
        <v>132</v>
      </c>
      <c r="C2863" t="s">
        <v>429</v>
      </c>
      <c r="D2863" s="2">
        <v>45362257.719999999</v>
      </c>
      <c r="E2863" s="2">
        <v>17787944.23</v>
      </c>
      <c r="F2863" s="2">
        <v>16186636.359999999</v>
      </c>
    </row>
    <row r="2864" spans="1:6" x14ac:dyDescent="0.25">
      <c r="A2864" s="1">
        <v>45017</v>
      </c>
      <c r="B2864" t="s">
        <v>23</v>
      </c>
      <c r="C2864" t="s">
        <v>620</v>
      </c>
      <c r="D2864" s="2">
        <v>5719828.1799999997</v>
      </c>
      <c r="E2864" s="2">
        <v>42393.48</v>
      </c>
      <c r="F2864" s="2">
        <v>1000832.6</v>
      </c>
    </row>
    <row r="2865" spans="1:6" x14ac:dyDescent="0.25">
      <c r="A2865" s="1">
        <v>45017</v>
      </c>
      <c r="B2865" t="s">
        <v>132</v>
      </c>
      <c r="C2865" t="s">
        <v>980</v>
      </c>
      <c r="D2865">
        <v>0</v>
      </c>
      <c r="E2865">
        <v>0</v>
      </c>
      <c r="F2865">
        <v>0</v>
      </c>
    </row>
    <row r="2866" spans="1:6" x14ac:dyDescent="0.25">
      <c r="A2866" s="1">
        <v>45017</v>
      </c>
      <c r="B2866" t="s">
        <v>193</v>
      </c>
      <c r="C2866" t="s">
        <v>194</v>
      </c>
      <c r="D2866" s="2">
        <v>1313523614.9000001</v>
      </c>
      <c r="E2866" s="2">
        <v>1313523614.9000001</v>
      </c>
      <c r="F2866" s="2">
        <v>1313523614.9000001</v>
      </c>
    </row>
    <row r="2867" spans="1:6" x14ac:dyDescent="0.25">
      <c r="A2867" s="1">
        <v>45017</v>
      </c>
      <c r="B2867" t="s">
        <v>225</v>
      </c>
      <c r="C2867" t="s">
        <v>314</v>
      </c>
      <c r="D2867">
        <v>0</v>
      </c>
      <c r="E2867">
        <v>0</v>
      </c>
      <c r="F2867">
        <v>0</v>
      </c>
    </row>
    <row r="2868" spans="1:6" x14ac:dyDescent="0.25">
      <c r="A2868" s="1">
        <v>45017</v>
      </c>
      <c r="B2868" t="s">
        <v>1073</v>
      </c>
      <c r="C2868" t="s">
        <v>1021</v>
      </c>
      <c r="D2868">
        <v>0</v>
      </c>
      <c r="E2868">
        <v>0</v>
      </c>
      <c r="F2868">
        <v>0</v>
      </c>
    </row>
    <row r="2869" spans="1:6" x14ac:dyDescent="0.25">
      <c r="A2869" s="1">
        <v>45017</v>
      </c>
      <c r="B2869" t="s">
        <v>23</v>
      </c>
      <c r="C2869" t="s">
        <v>1165</v>
      </c>
      <c r="D2869" s="2">
        <v>10384523.119999999</v>
      </c>
      <c r="E2869">
        <v>0</v>
      </c>
      <c r="F2869">
        <v>0</v>
      </c>
    </row>
    <row r="2870" spans="1:6" x14ac:dyDescent="0.25">
      <c r="A2870" s="1">
        <v>45017</v>
      </c>
      <c r="B2870" t="s">
        <v>40</v>
      </c>
      <c r="C2870" t="s">
        <v>135</v>
      </c>
      <c r="D2870" s="2">
        <v>430911.5</v>
      </c>
      <c r="E2870" s="2">
        <v>430911.5</v>
      </c>
      <c r="F2870" s="2">
        <v>430914.84</v>
      </c>
    </row>
    <row r="2871" spans="1:6" x14ac:dyDescent="0.25">
      <c r="A2871" s="1">
        <v>45017</v>
      </c>
      <c r="B2871" t="s">
        <v>40</v>
      </c>
      <c r="C2871" t="s">
        <v>931</v>
      </c>
      <c r="D2871">
        <v>0</v>
      </c>
      <c r="E2871" s="2">
        <v>85433.55</v>
      </c>
      <c r="F2871" s="2">
        <v>85617.02</v>
      </c>
    </row>
    <row r="2872" spans="1:6" x14ac:dyDescent="0.25">
      <c r="A2872" s="1">
        <v>45017</v>
      </c>
      <c r="B2872" t="s">
        <v>21</v>
      </c>
      <c r="C2872" t="s">
        <v>524</v>
      </c>
      <c r="D2872" s="2">
        <v>25000000</v>
      </c>
      <c r="E2872">
        <v>0</v>
      </c>
      <c r="F2872">
        <v>0</v>
      </c>
    </row>
    <row r="2873" spans="1:6" x14ac:dyDescent="0.25">
      <c r="A2873" s="1">
        <v>45017</v>
      </c>
      <c r="B2873" t="s">
        <v>21</v>
      </c>
      <c r="C2873" t="s">
        <v>700</v>
      </c>
      <c r="D2873" s="2">
        <v>35306066.609999999</v>
      </c>
      <c r="E2873">
        <v>0</v>
      </c>
      <c r="F2873">
        <v>0</v>
      </c>
    </row>
    <row r="2874" spans="1:6" x14ac:dyDescent="0.25">
      <c r="A2874" s="1">
        <v>45017</v>
      </c>
      <c r="B2874" t="s">
        <v>21</v>
      </c>
      <c r="C2874" t="s">
        <v>949</v>
      </c>
      <c r="D2874" s="2">
        <v>7140000</v>
      </c>
      <c r="E2874">
        <v>0</v>
      </c>
      <c r="F2874">
        <v>0</v>
      </c>
    </row>
    <row r="2875" spans="1:6" x14ac:dyDescent="0.25">
      <c r="A2875" s="1">
        <v>45017</v>
      </c>
      <c r="B2875" t="s">
        <v>40</v>
      </c>
      <c r="C2875" t="s">
        <v>325</v>
      </c>
      <c r="D2875" s="2">
        <v>65228.33</v>
      </c>
      <c r="E2875" s="2">
        <v>4093006.24</v>
      </c>
      <c r="F2875" s="2">
        <v>4048310.13</v>
      </c>
    </row>
    <row r="2876" spans="1:6" x14ac:dyDescent="0.25">
      <c r="A2876" s="1">
        <v>45017</v>
      </c>
      <c r="B2876" t="s">
        <v>98</v>
      </c>
      <c r="C2876" t="s">
        <v>1166</v>
      </c>
      <c r="D2876">
        <v>0</v>
      </c>
      <c r="E2876">
        <v>0</v>
      </c>
      <c r="F2876">
        <v>0</v>
      </c>
    </row>
    <row r="2877" spans="1:6" x14ac:dyDescent="0.25">
      <c r="A2877" s="1">
        <v>45017</v>
      </c>
      <c r="B2877" t="s">
        <v>181</v>
      </c>
      <c r="C2877" t="s">
        <v>881</v>
      </c>
      <c r="D2877">
        <v>0</v>
      </c>
      <c r="E2877">
        <v>0</v>
      </c>
      <c r="F2877">
        <v>0</v>
      </c>
    </row>
    <row r="2878" spans="1:6" x14ac:dyDescent="0.25">
      <c r="A2878" s="1">
        <v>45017</v>
      </c>
      <c r="B2878" t="s">
        <v>490</v>
      </c>
      <c r="C2878" t="s">
        <v>512</v>
      </c>
      <c r="D2878" s="2">
        <v>5709623.3499999996</v>
      </c>
      <c r="E2878" s="2">
        <v>641020</v>
      </c>
      <c r="F2878" s="2">
        <v>572591.80000000005</v>
      </c>
    </row>
    <row r="2879" spans="1:6" x14ac:dyDescent="0.25">
      <c r="A2879" s="1">
        <v>45017</v>
      </c>
      <c r="B2879" t="s">
        <v>48</v>
      </c>
      <c r="C2879" t="s">
        <v>1167</v>
      </c>
      <c r="D2879" s="2">
        <v>2582836.9500000002</v>
      </c>
      <c r="E2879" s="2">
        <v>2251486.44</v>
      </c>
      <c r="F2879" s="2">
        <v>2251486.44</v>
      </c>
    </row>
    <row r="2880" spans="1:6" x14ac:dyDescent="0.25">
      <c r="A2880" s="1">
        <v>45017</v>
      </c>
      <c r="B2880" t="s">
        <v>1058</v>
      </c>
      <c r="C2880" t="s">
        <v>1122</v>
      </c>
      <c r="D2880" s="2">
        <v>57163165.25</v>
      </c>
      <c r="E2880" s="2">
        <v>45894914.270000003</v>
      </c>
      <c r="F2880" s="2">
        <v>45894914.270000003</v>
      </c>
    </row>
    <row r="2881" spans="1:6" x14ac:dyDescent="0.25">
      <c r="A2881" s="1">
        <v>45017</v>
      </c>
      <c r="B2881" t="s">
        <v>37</v>
      </c>
      <c r="C2881" t="s">
        <v>577</v>
      </c>
      <c r="D2881" s="2">
        <v>133144.28</v>
      </c>
      <c r="E2881" s="2">
        <v>47655.75</v>
      </c>
      <c r="F2881" s="2">
        <v>48965.74</v>
      </c>
    </row>
    <row r="2882" spans="1:6" x14ac:dyDescent="0.25">
      <c r="A2882" s="1">
        <v>45017</v>
      </c>
      <c r="B2882" t="s">
        <v>21</v>
      </c>
      <c r="C2882" t="s">
        <v>939</v>
      </c>
      <c r="D2882" s="2">
        <v>51419489.43</v>
      </c>
      <c r="E2882" s="2">
        <v>379207.3</v>
      </c>
      <c r="F2882" s="2">
        <v>379207.3</v>
      </c>
    </row>
    <row r="2883" spans="1:6" x14ac:dyDescent="0.25">
      <c r="A2883" s="1">
        <v>45017</v>
      </c>
      <c r="B2883" t="s">
        <v>107</v>
      </c>
      <c r="C2883" t="s">
        <v>239</v>
      </c>
      <c r="D2883">
        <v>0</v>
      </c>
      <c r="E2883" s="2">
        <v>11568602.32</v>
      </c>
      <c r="F2883" s="2">
        <v>11568602.32</v>
      </c>
    </row>
    <row r="2884" spans="1:6" x14ac:dyDescent="0.25">
      <c r="A2884" s="1">
        <v>45017</v>
      </c>
      <c r="B2884" t="s">
        <v>40</v>
      </c>
      <c r="C2884" t="s">
        <v>666</v>
      </c>
      <c r="D2884">
        <v>0</v>
      </c>
      <c r="E2884">
        <v>0</v>
      </c>
      <c r="F2884">
        <v>0</v>
      </c>
    </row>
    <row r="2885" spans="1:6" x14ac:dyDescent="0.25">
      <c r="A2885" s="1">
        <v>45017</v>
      </c>
      <c r="B2885" t="s">
        <v>118</v>
      </c>
      <c r="C2885" t="s">
        <v>751</v>
      </c>
      <c r="D2885">
        <v>0</v>
      </c>
      <c r="E2885">
        <v>0</v>
      </c>
      <c r="F2885">
        <v>0</v>
      </c>
    </row>
    <row r="2886" spans="1:6" x14ac:dyDescent="0.25">
      <c r="A2886" s="1">
        <v>45017</v>
      </c>
      <c r="B2886" t="s">
        <v>278</v>
      </c>
      <c r="C2886" t="s">
        <v>481</v>
      </c>
      <c r="D2886" s="2">
        <v>112325475.36</v>
      </c>
      <c r="E2886" s="2">
        <v>113433296.18000001</v>
      </c>
      <c r="F2886" s="2">
        <v>113433296.18000001</v>
      </c>
    </row>
    <row r="2887" spans="1:6" x14ac:dyDescent="0.25">
      <c r="A2887" s="1">
        <v>45017</v>
      </c>
      <c r="B2887" t="s">
        <v>383</v>
      </c>
      <c r="C2887" t="s">
        <v>1168</v>
      </c>
      <c r="D2887">
        <v>0</v>
      </c>
      <c r="E2887">
        <v>0</v>
      </c>
      <c r="F2887">
        <v>0</v>
      </c>
    </row>
    <row r="2888" spans="1:6" x14ac:dyDescent="0.25">
      <c r="A2888" s="1">
        <v>45017</v>
      </c>
      <c r="B2888" t="s">
        <v>17</v>
      </c>
      <c r="C2888" t="s">
        <v>67</v>
      </c>
      <c r="D2888">
        <v>0</v>
      </c>
      <c r="E2888">
        <v>0</v>
      </c>
      <c r="F2888">
        <v>0</v>
      </c>
    </row>
    <row r="2889" spans="1:6" x14ac:dyDescent="0.25">
      <c r="A2889" s="1">
        <v>45017</v>
      </c>
      <c r="B2889" t="s">
        <v>682</v>
      </c>
      <c r="C2889" t="s">
        <v>866</v>
      </c>
      <c r="D2889" s="2">
        <v>72155.8</v>
      </c>
      <c r="E2889" s="2">
        <v>15877.92</v>
      </c>
      <c r="F2889" s="2">
        <v>15877.92</v>
      </c>
    </row>
    <row r="2890" spans="1:6" x14ac:dyDescent="0.25">
      <c r="A2890" s="1">
        <v>45017</v>
      </c>
      <c r="B2890" t="s">
        <v>63</v>
      </c>
      <c r="C2890" t="s">
        <v>64</v>
      </c>
      <c r="D2890">
        <v>0</v>
      </c>
      <c r="E2890">
        <v>0</v>
      </c>
      <c r="F2890">
        <v>0</v>
      </c>
    </row>
    <row r="2891" spans="1:6" x14ac:dyDescent="0.25">
      <c r="A2891" s="1">
        <v>45017</v>
      </c>
      <c r="B2891" t="s">
        <v>25</v>
      </c>
      <c r="C2891" t="s">
        <v>324</v>
      </c>
      <c r="D2891">
        <v>0</v>
      </c>
      <c r="E2891">
        <v>0</v>
      </c>
      <c r="F2891">
        <v>0</v>
      </c>
    </row>
    <row r="2892" spans="1:6" x14ac:dyDescent="0.25">
      <c r="A2892" s="1">
        <v>45017</v>
      </c>
      <c r="B2892" t="s">
        <v>50</v>
      </c>
      <c r="C2892" t="s">
        <v>1169</v>
      </c>
      <c r="D2892">
        <v>0</v>
      </c>
      <c r="E2892">
        <v>0</v>
      </c>
      <c r="F2892">
        <v>0</v>
      </c>
    </row>
    <row r="2893" spans="1:6" x14ac:dyDescent="0.25">
      <c r="A2893" s="1">
        <v>45017</v>
      </c>
      <c r="B2893" t="s">
        <v>422</v>
      </c>
      <c r="C2893" t="s">
        <v>1045</v>
      </c>
      <c r="D2893">
        <v>0</v>
      </c>
      <c r="E2893">
        <v>0</v>
      </c>
      <c r="F2893">
        <v>0</v>
      </c>
    </row>
    <row r="2894" spans="1:6" x14ac:dyDescent="0.25">
      <c r="A2894" s="1">
        <v>45017</v>
      </c>
      <c r="B2894" t="s">
        <v>37</v>
      </c>
      <c r="C2894" t="s">
        <v>1120</v>
      </c>
      <c r="D2894">
        <v>0</v>
      </c>
      <c r="E2894">
        <v>0</v>
      </c>
      <c r="F2894">
        <v>0</v>
      </c>
    </row>
    <row r="2895" spans="1:6" x14ac:dyDescent="0.25">
      <c r="A2895" s="1">
        <v>45017</v>
      </c>
      <c r="B2895" t="s">
        <v>21</v>
      </c>
      <c r="C2895" t="s">
        <v>941</v>
      </c>
      <c r="D2895" s="2">
        <v>22975827.489999998</v>
      </c>
      <c r="E2895">
        <v>0</v>
      </c>
      <c r="F2895">
        <v>0</v>
      </c>
    </row>
    <row r="2896" spans="1:6" x14ac:dyDescent="0.25">
      <c r="A2896" s="1">
        <v>45017</v>
      </c>
      <c r="B2896" t="s">
        <v>17</v>
      </c>
      <c r="C2896" t="s">
        <v>477</v>
      </c>
      <c r="D2896">
        <v>0</v>
      </c>
      <c r="E2896">
        <v>0</v>
      </c>
      <c r="F2896">
        <v>0</v>
      </c>
    </row>
    <row r="2897" spans="1:6" x14ac:dyDescent="0.25">
      <c r="A2897" s="1">
        <v>45017</v>
      </c>
      <c r="B2897" t="s">
        <v>21</v>
      </c>
      <c r="C2897" t="s">
        <v>969</v>
      </c>
      <c r="D2897" s="2">
        <v>51610923</v>
      </c>
      <c r="E2897" s="2">
        <v>8000000</v>
      </c>
      <c r="F2897">
        <v>0</v>
      </c>
    </row>
    <row r="2898" spans="1:6" x14ac:dyDescent="0.25">
      <c r="A2898" s="1">
        <v>45017</v>
      </c>
      <c r="B2898" t="s">
        <v>21</v>
      </c>
      <c r="C2898" t="s">
        <v>608</v>
      </c>
      <c r="D2898" s="2">
        <v>15550000</v>
      </c>
      <c r="E2898">
        <v>0</v>
      </c>
      <c r="F2898">
        <v>0</v>
      </c>
    </row>
    <row r="2899" spans="1:6" x14ac:dyDescent="0.25">
      <c r="A2899" s="1">
        <v>45017</v>
      </c>
      <c r="B2899" t="s">
        <v>40</v>
      </c>
      <c r="C2899" t="s">
        <v>41</v>
      </c>
      <c r="D2899" s="2">
        <v>4123699.86</v>
      </c>
      <c r="E2899" s="2">
        <v>3007590.15</v>
      </c>
      <c r="F2899" s="2">
        <v>2905303.14</v>
      </c>
    </row>
    <row r="2900" spans="1:6" x14ac:dyDescent="0.25">
      <c r="A2900" s="1">
        <v>45017</v>
      </c>
      <c r="B2900" t="s">
        <v>726</v>
      </c>
      <c r="C2900" t="s">
        <v>1011</v>
      </c>
      <c r="D2900" s="2">
        <v>4703734.18</v>
      </c>
      <c r="E2900" s="2">
        <v>710585.34</v>
      </c>
      <c r="F2900" s="2">
        <v>710585.34</v>
      </c>
    </row>
    <row r="2901" spans="1:6" x14ac:dyDescent="0.25">
      <c r="A2901" s="1">
        <v>45017</v>
      </c>
      <c r="B2901" t="s">
        <v>53</v>
      </c>
      <c r="C2901" t="s">
        <v>237</v>
      </c>
      <c r="D2901">
        <v>0</v>
      </c>
      <c r="E2901" s="2">
        <v>7133216.1699999999</v>
      </c>
      <c r="F2901" s="2">
        <v>7133216.1699999999</v>
      </c>
    </row>
    <row r="2902" spans="1:6" x14ac:dyDescent="0.25">
      <c r="A2902" s="1">
        <v>45017</v>
      </c>
      <c r="B2902" t="s">
        <v>40</v>
      </c>
      <c r="C2902" t="s">
        <v>215</v>
      </c>
      <c r="D2902">
        <v>0</v>
      </c>
      <c r="E2902">
        <v>0</v>
      </c>
      <c r="F2902">
        <v>0</v>
      </c>
    </row>
    <row r="2903" spans="1:6" x14ac:dyDescent="0.25">
      <c r="A2903" s="1">
        <v>45017</v>
      </c>
      <c r="B2903" t="s">
        <v>94</v>
      </c>
      <c r="C2903" t="s">
        <v>95</v>
      </c>
      <c r="D2903">
        <v>0</v>
      </c>
      <c r="E2903">
        <v>0</v>
      </c>
      <c r="F2903">
        <v>0</v>
      </c>
    </row>
    <row r="2904" spans="1:6" x14ac:dyDescent="0.25">
      <c r="A2904" s="1">
        <v>45017</v>
      </c>
      <c r="B2904" t="s">
        <v>282</v>
      </c>
      <c r="C2904" t="s">
        <v>392</v>
      </c>
      <c r="D2904">
        <v>0</v>
      </c>
      <c r="E2904" s="2">
        <v>2796682.63</v>
      </c>
      <c r="F2904" s="2">
        <v>2796682.63</v>
      </c>
    </row>
    <row r="2905" spans="1:6" x14ac:dyDescent="0.25">
      <c r="A2905" s="1">
        <v>45017</v>
      </c>
      <c r="B2905" t="s">
        <v>821</v>
      </c>
      <c r="C2905" t="s">
        <v>822</v>
      </c>
      <c r="D2905" s="2">
        <v>1500</v>
      </c>
      <c r="E2905" s="2">
        <v>51777.87</v>
      </c>
      <c r="F2905" s="2">
        <v>56598.58</v>
      </c>
    </row>
    <row r="2906" spans="1:6" x14ac:dyDescent="0.25">
      <c r="A2906" s="1">
        <v>45017</v>
      </c>
      <c r="B2906" t="s">
        <v>98</v>
      </c>
      <c r="C2906" t="s">
        <v>996</v>
      </c>
      <c r="D2906">
        <v>0</v>
      </c>
      <c r="E2906">
        <v>0</v>
      </c>
      <c r="F2906">
        <v>0</v>
      </c>
    </row>
    <row r="2907" spans="1:6" x14ac:dyDescent="0.25">
      <c r="A2907" s="1">
        <v>45017</v>
      </c>
      <c r="B2907" t="s">
        <v>21</v>
      </c>
      <c r="C2907" t="s">
        <v>462</v>
      </c>
      <c r="D2907" s="2">
        <v>4000000</v>
      </c>
      <c r="E2907">
        <v>0</v>
      </c>
      <c r="F2907">
        <v>0</v>
      </c>
    </row>
    <row r="2908" spans="1:6" x14ac:dyDescent="0.25">
      <c r="A2908" s="1">
        <v>45017</v>
      </c>
      <c r="B2908" t="s">
        <v>63</v>
      </c>
      <c r="C2908" t="s">
        <v>1135</v>
      </c>
      <c r="D2908">
        <v>0</v>
      </c>
      <c r="E2908">
        <v>0</v>
      </c>
      <c r="F2908">
        <v>0</v>
      </c>
    </row>
    <row r="2909" spans="1:6" x14ac:dyDescent="0.25">
      <c r="A2909" s="1">
        <v>45017</v>
      </c>
      <c r="B2909" t="s">
        <v>105</v>
      </c>
      <c r="C2909" t="s">
        <v>310</v>
      </c>
      <c r="D2909">
        <v>0</v>
      </c>
      <c r="E2909">
        <v>0</v>
      </c>
      <c r="F2909">
        <v>0</v>
      </c>
    </row>
    <row r="2910" spans="1:6" x14ac:dyDescent="0.25">
      <c r="A2910" s="1">
        <v>45017</v>
      </c>
      <c r="B2910" t="s">
        <v>98</v>
      </c>
      <c r="C2910" t="s">
        <v>543</v>
      </c>
      <c r="D2910">
        <v>0</v>
      </c>
      <c r="E2910">
        <v>0</v>
      </c>
      <c r="F2910">
        <v>0</v>
      </c>
    </row>
    <row r="2911" spans="1:6" x14ac:dyDescent="0.25">
      <c r="A2911" s="1">
        <v>45017</v>
      </c>
      <c r="B2911" t="s">
        <v>40</v>
      </c>
      <c r="C2911" t="s">
        <v>1069</v>
      </c>
      <c r="D2911" s="2">
        <v>95000000</v>
      </c>
      <c r="E2911" s="2">
        <v>3664353.8</v>
      </c>
      <c r="F2911" s="2">
        <v>4508839.04</v>
      </c>
    </row>
    <row r="2912" spans="1:6" x14ac:dyDescent="0.25">
      <c r="A2912" s="1">
        <v>45017</v>
      </c>
      <c r="B2912" t="s">
        <v>15</v>
      </c>
      <c r="C2912" t="s">
        <v>693</v>
      </c>
      <c r="D2912" s="2">
        <v>10050227.58</v>
      </c>
      <c r="E2912" s="2">
        <v>2506272.2999999998</v>
      </c>
      <c r="F2912" s="2">
        <v>3077750.46</v>
      </c>
    </row>
    <row r="2913" spans="1:6" x14ac:dyDescent="0.25">
      <c r="A2913" s="1">
        <v>45017</v>
      </c>
      <c r="B2913" t="s">
        <v>19</v>
      </c>
      <c r="C2913" t="s">
        <v>156</v>
      </c>
      <c r="D2913" s="2">
        <v>4029078.53</v>
      </c>
      <c r="E2913" s="2">
        <v>45879.78</v>
      </c>
      <c r="F2913" s="2">
        <v>45879.78</v>
      </c>
    </row>
    <row r="2914" spans="1:6" x14ac:dyDescent="0.25">
      <c r="A2914" s="1">
        <v>45017</v>
      </c>
      <c r="B2914" t="s">
        <v>21</v>
      </c>
      <c r="C2914" t="s">
        <v>1027</v>
      </c>
      <c r="D2914" s="2">
        <v>22485387.170000002</v>
      </c>
      <c r="E2914">
        <v>0</v>
      </c>
      <c r="F2914">
        <v>0</v>
      </c>
    </row>
    <row r="2915" spans="1:6" x14ac:dyDescent="0.25">
      <c r="A2915" s="1">
        <v>45017</v>
      </c>
      <c r="B2915" t="s">
        <v>21</v>
      </c>
      <c r="C2915" t="s">
        <v>559</v>
      </c>
      <c r="D2915" s="2">
        <v>5000000</v>
      </c>
      <c r="E2915" s="2">
        <v>660656.22</v>
      </c>
      <c r="F2915" s="2">
        <v>660656.22</v>
      </c>
    </row>
    <row r="2916" spans="1:6" x14ac:dyDescent="0.25">
      <c r="A2916" s="1">
        <v>45017</v>
      </c>
      <c r="B2916" t="s">
        <v>50</v>
      </c>
      <c r="C2916" t="s">
        <v>1048</v>
      </c>
      <c r="D2916" s="2">
        <v>1766545.41</v>
      </c>
      <c r="E2916">
        <v>0</v>
      </c>
      <c r="F2916">
        <v>0</v>
      </c>
    </row>
    <row r="2917" spans="1:6" x14ac:dyDescent="0.25">
      <c r="A2917" s="1">
        <v>45017</v>
      </c>
      <c r="B2917" t="s">
        <v>118</v>
      </c>
      <c r="C2917" t="s">
        <v>419</v>
      </c>
      <c r="D2917" s="2">
        <v>36610.58</v>
      </c>
      <c r="E2917" s="2">
        <v>27022.43</v>
      </c>
      <c r="F2917" s="2">
        <v>27600.83</v>
      </c>
    </row>
    <row r="2918" spans="1:6" x14ac:dyDescent="0.25">
      <c r="A2918" s="1">
        <v>45017</v>
      </c>
      <c r="B2918" t="s">
        <v>422</v>
      </c>
      <c r="C2918" t="s">
        <v>473</v>
      </c>
      <c r="D2918" s="2">
        <v>69371.78</v>
      </c>
      <c r="E2918" s="2">
        <v>29965.85</v>
      </c>
      <c r="F2918" s="2">
        <v>29965.85</v>
      </c>
    </row>
    <row r="2919" spans="1:6" x14ac:dyDescent="0.25">
      <c r="A2919" s="1">
        <v>45017</v>
      </c>
      <c r="B2919" t="s">
        <v>306</v>
      </c>
      <c r="C2919" t="s">
        <v>414</v>
      </c>
      <c r="D2919" s="2">
        <v>3551476.94</v>
      </c>
      <c r="E2919" s="2">
        <v>226269.41</v>
      </c>
      <c r="F2919" s="2">
        <v>226269.41</v>
      </c>
    </row>
    <row r="2920" spans="1:6" x14ac:dyDescent="0.25">
      <c r="A2920" s="1">
        <v>45017</v>
      </c>
      <c r="B2920" t="s">
        <v>11</v>
      </c>
      <c r="C2920" t="s">
        <v>139</v>
      </c>
      <c r="D2920">
        <v>0</v>
      </c>
      <c r="E2920" s="2">
        <v>332230841.32999998</v>
      </c>
      <c r="F2920" s="2">
        <v>332230841.32999998</v>
      </c>
    </row>
    <row r="2921" spans="1:6" x14ac:dyDescent="0.25">
      <c r="A2921" s="1">
        <v>45017</v>
      </c>
      <c r="B2921" t="s">
        <v>296</v>
      </c>
      <c r="C2921" t="s">
        <v>230</v>
      </c>
      <c r="D2921" s="2">
        <v>15608247</v>
      </c>
      <c r="E2921" s="2">
        <v>134261.51</v>
      </c>
      <c r="F2921" s="2">
        <v>134261.51</v>
      </c>
    </row>
    <row r="2922" spans="1:6" x14ac:dyDescent="0.25">
      <c r="A2922" s="1">
        <v>45017</v>
      </c>
      <c r="B2922" t="s">
        <v>476</v>
      </c>
      <c r="C2922" t="s">
        <v>477</v>
      </c>
      <c r="D2922">
        <v>0</v>
      </c>
      <c r="E2922">
        <v>0</v>
      </c>
      <c r="F2922">
        <v>0</v>
      </c>
    </row>
    <row r="2923" spans="1:6" x14ac:dyDescent="0.25">
      <c r="A2923" s="1">
        <v>45017</v>
      </c>
      <c r="B2923" t="s">
        <v>79</v>
      </c>
      <c r="C2923" t="s">
        <v>80</v>
      </c>
      <c r="D2923">
        <v>0</v>
      </c>
      <c r="E2923">
        <v>0</v>
      </c>
      <c r="F2923">
        <v>0</v>
      </c>
    </row>
    <row r="2924" spans="1:6" x14ac:dyDescent="0.25">
      <c r="A2924" s="1">
        <v>45017</v>
      </c>
      <c r="B2924" t="s">
        <v>21</v>
      </c>
      <c r="C2924" t="s">
        <v>122</v>
      </c>
      <c r="D2924" s="2">
        <v>105693107</v>
      </c>
      <c r="E2924">
        <v>0</v>
      </c>
      <c r="F2924">
        <v>0</v>
      </c>
    </row>
    <row r="2925" spans="1:6" x14ac:dyDescent="0.25">
      <c r="A2925" s="1">
        <v>45017</v>
      </c>
      <c r="B2925" t="s">
        <v>98</v>
      </c>
      <c r="C2925" t="s">
        <v>322</v>
      </c>
      <c r="D2925">
        <v>0</v>
      </c>
      <c r="E2925">
        <v>0</v>
      </c>
      <c r="F2925">
        <v>0</v>
      </c>
    </row>
    <row r="2926" spans="1:6" x14ac:dyDescent="0.25">
      <c r="A2926" s="1">
        <v>45017</v>
      </c>
      <c r="B2926" t="s">
        <v>929</v>
      </c>
      <c r="C2926" t="s">
        <v>678</v>
      </c>
      <c r="D2926">
        <v>0</v>
      </c>
      <c r="E2926">
        <v>0</v>
      </c>
      <c r="F2926">
        <v>0</v>
      </c>
    </row>
    <row r="2927" spans="1:6" x14ac:dyDescent="0.25">
      <c r="A2927" s="1">
        <v>45017</v>
      </c>
      <c r="B2927" t="s">
        <v>50</v>
      </c>
      <c r="C2927" t="s">
        <v>243</v>
      </c>
      <c r="D2927" s="2">
        <v>4010773.26</v>
      </c>
      <c r="E2927" s="2">
        <v>4132532.01</v>
      </c>
      <c r="F2927" s="2">
        <v>1833730.52</v>
      </c>
    </row>
    <row r="2928" spans="1:6" x14ac:dyDescent="0.25">
      <c r="A2928" s="1">
        <v>45017</v>
      </c>
      <c r="B2928" t="s">
        <v>70</v>
      </c>
      <c r="C2928" t="s">
        <v>141</v>
      </c>
      <c r="D2928" s="2">
        <v>7675880.9699999997</v>
      </c>
      <c r="E2928" s="2">
        <v>2204546.83</v>
      </c>
      <c r="F2928" s="2">
        <v>2390822.44</v>
      </c>
    </row>
    <row r="2929" spans="1:6" x14ac:dyDescent="0.25">
      <c r="A2929" s="1">
        <v>45017</v>
      </c>
      <c r="B2929" t="s">
        <v>53</v>
      </c>
      <c r="C2929" t="s">
        <v>495</v>
      </c>
      <c r="D2929" s="2">
        <v>185000</v>
      </c>
      <c r="E2929" s="2">
        <v>225000</v>
      </c>
      <c r="F2929" s="2">
        <v>225000</v>
      </c>
    </row>
    <row r="2930" spans="1:6" x14ac:dyDescent="0.25">
      <c r="A2930" s="1">
        <v>45017</v>
      </c>
      <c r="B2930" t="s">
        <v>11</v>
      </c>
      <c r="C2930" t="s">
        <v>479</v>
      </c>
      <c r="D2930">
        <v>0</v>
      </c>
      <c r="E2930" s="2">
        <v>358462882.47000003</v>
      </c>
      <c r="F2930" s="2">
        <v>358462882.47000003</v>
      </c>
    </row>
    <row r="2931" spans="1:6" x14ac:dyDescent="0.25">
      <c r="A2931" s="1">
        <v>45017</v>
      </c>
      <c r="B2931" t="s">
        <v>132</v>
      </c>
      <c r="C2931" t="s">
        <v>140</v>
      </c>
      <c r="D2931" s="2">
        <v>84718804.650000006</v>
      </c>
      <c r="E2931" s="2">
        <v>33627649.780000001</v>
      </c>
      <c r="F2931" s="2">
        <v>28800482.789999999</v>
      </c>
    </row>
    <row r="2932" spans="1:6" x14ac:dyDescent="0.25">
      <c r="A2932" s="1">
        <v>45017</v>
      </c>
      <c r="B2932" t="s">
        <v>48</v>
      </c>
      <c r="C2932" t="s">
        <v>1110</v>
      </c>
      <c r="D2932" s="2">
        <v>1000000</v>
      </c>
      <c r="E2932" s="2">
        <v>616621.06000000006</v>
      </c>
      <c r="F2932" s="2">
        <v>616621.06000000006</v>
      </c>
    </row>
    <row r="2933" spans="1:6" x14ac:dyDescent="0.25">
      <c r="A2933" s="1">
        <v>45017</v>
      </c>
      <c r="B2933" t="s">
        <v>40</v>
      </c>
      <c r="C2933" t="s">
        <v>1141</v>
      </c>
      <c r="D2933">
        <v>0</v>
      </c>
      <c r="E2933">
        <v>0</v>
      </c>
      <c r="F2933">
        <v>0</v>
      </c>
    </row>
    <row r="2934" spans="1:6" x14ac:dyDescent="0.25">
      <c r="A2934" s="1">
        <v>45017</v>
      </c>
      <c r="B2934" t="s">
        <v>15</v>
      </c>
      <c r="C2934" t="s">
        <v>964</v>
      </c>
      <c r="D2934">
        <v>0</v>
      </c>
      <c r="E2934">
        <v>0</v>
      </c>
      <c r="F2934">
        <v>0</v>
      </c>
    </row>
    <row r="2935" spans="1:6" x14ac:dyDescent="0.25">
      <c r="A2935" s="1">
        <v>45017</v>
      </c>
      <c r="B2935" t="s">
        <v>40</v>
      </c>
      <c r="C2935" t="s">
        <v>73</v>
      </c>
      <c r="D2935">
        <v>0</v>
      </c>
      <c r="E2935">
        <v>0</v>
      </c>
      <c r="F2935">
        <v>0</v>
      </c>
    </row>
    <row r="2936" spans="1:6" x14ac:dyDescent="0.25">
      <c r="A2936" s="1">
        <v>45017</v>
      </c>
      <c r="B2936" t="s">
        <v>42</v>
      </c>
      <c r="C2936" t="s">
        <v>380</v>
      </c>
      <c r="D2936" s="2">
        <v>-11000000</v>
      </c>
      <c r="E2936" s="2">
        <v>2248740</v>
      </c>
      <c r="F2936" s="2">
        <v>3211680</v>
      </c>
    </row>
    <row r="2937" spans="1:6" x14ac:dyDescent="0.25">
      <c r="A2937" s="1">
        <v>45017</v>
      </c>
      <c r="B2937" t="s">
        <v>29</v>
      </c>
      <c r="C2937" t="s">
        <v>1170</v>
      </c>
      <c r="D2937" s="2">
        <v>1063376</v>
      </c>
      <c r="E2937">
        <v>0</v>
      </c>
      <c r="F2937">
        <v>0</v>
      </c>
    </row>
    <row r="2938" spans="1:6" x14ac:dyDescent="0.25">
      <c r="A2938" s="1">
        <v>45017</v>
      </c>
      <c r="B2938" t="s">
        <v>40</v>
      </c>
      <c r="C2938" t="s">
        <v>747</v>
      </c>
      <c r="D2938">
        <v>0</v>
      </c>
      <c r="E2938">
        <v>0</v>
      </c>
      <c r="F2938">
        <v>0</v>
      </c>
    </row>
    <row r="2939" spans="1:6" x14ac:dyDescent="0.25">
      <c r="A2939" s="1">
        <v>45017</v>
      </c>
      <c r="B2939" t="s">
        <v>92</v>
      </c>
      <c r="C2939" t="s">
        <v>317</v>
      </c>
      <c r="D2939">
        <v>0</v>
      </c>
      <c r="E2939">
        <v>0</v>
      </c>
      <c r="F2939">
        <v>0</v>
      </c>
    </row>
    <row r="2940" spans="1:6" x14ac:dyDescent="0.25">
      <c r="A2940" s="1">
        <v>45017</v>
      </c>
      <c r="B2940" t="s">
        <v>422</v>
      </c>
      <c r="C2940" t="s">
        <v>423</v>
      </c>
      <c r="D2940">
        <v>0</v>
      </c>
      <c r="E2940">
        <v>0</v>
      </c>
      <c r="F2940">
        <v>0</v>
      </c>
    </row>
    <row r="2941" spans="1:6" x14ac:dyDescent="0.25">
      <c r="A2941" s="1">
        <v>45017</v>
      </c>
      <c r="B2941" t="s">
        <v>185</v>
      </c>
      <c r="C2941" t="s">
        <v>863</v>
      </c>
      <c r="D2941" s="2">
        <v>29638312.210000001</v>
      </c>
      <c r="E2941" s="2">
        <v>126291316.27</v>
      </c>
      <c r="F2941" s="2">
        <v>191730316.27000001</v>
      </c>
    </row>
    <row r="2942" spans="1:6" x14ac:dyDescent="0.25">
      <c r="A2942" s="1">
        <v>45017</v>
      </c>
      <c r="B2942" t="s">
        <v>65</v>
      </c>
      <c r="C2942" t="s">
        <v>66</v>
      </c>
      <c r="D2942" s="2">
        <v>302054.88</v>
      </c>
      <c r="E2942">
        <v>221.85</v>
      </c>
      <c r="F2942">
        <v>221.85</v>
      </c>
    </row>
    <row r="2943" spans="1:6" x14ac:dyDescent="0.25">
      <c r="A2943" s="1">
        <v>45017</v>
      </c>
      <c r="B2943" t="s">
        <v>44</v>
      </c>
      <c r="C2943" t="s">
        <v>45</v>
      </c>
      <c r="D2943" s="2">
        <v>253160</v>
      </c>
      <c r="E2943">
        <v>0</v>
      </c>
      <c r="F2943">
        <v>0</v>
      </c>
    </row>
    <row r="2944" spans="1:6" x14ac:dyDescent="0.25">
      <c r="A2944" s="1">
        <v>45017</v>
      </c>
      <c r="B2944" t="s">
        <v>196</v>
      </c>
      <c r="C2944" t="s">
        <v>781</v>
      </c>
      <c r="D2944">
        <v>0</v>
      </c>
      <c r="E2944">
        <v>0</v>
      </c>
      <c r="F2944">
        <v>0</v>
      </c>
    </row>
    <row r="2945" spans="1:6" x14ac:dyDescent="0.25">
      <c r="A2945" s="1">
        <v>45017</v>
      </c>
      <c r="B2945" t="s">
        <v>44</v>
      </c>
      <c r="C2945" t="s">
        <v>1115</v>
      </c>
      <c r="D2945">
        <v>0</v>
      </c>
      <c r="E2945" s="2">
        <v>36602.35</v>
      </c>
      <c r="F2945" s="2">
        <v>36602.35</v>
      </c>
    </row>
    <row r="2946" spans="1:6" x14ac:dyDescent="0.25">
      <c r="A2946" s="1">
        <v>45017</v>
      </c>
      <c r="B2946" t="s">
        <v>48</v>
      </c>
      <c r="C2946" t="s">
        <v>1171</v>
      </c>
      <c r="D2946">
        <v>0</v>
      </c>
      <c r="E2946">
        <v>0</v>
      </c>
      <c r="F2946">
        <v>0</v>
      </c>
    </row>
    <row r="2947" spans="1:6" x14ac:dyDescent="0.25">
      <c r="A2947" s="1">
        <v>45017</v>
      </c>
      <c r="B2947" t="s">
        <v>92</v>
      </c>
      <c r="C2947" t="s">
        <v>381</v>
      </c>
      <c r="D2947" s="2">
        <v>1529147.2</v>
      </c>
      <c r="E2947" s="2">
        <v>377530.93</v>
      </c>
      <c r="F2947" s="2">
        <v>366363.82</v>
      </c>
    </row>
    <row r="2948" spans="1:6" x14ac:dyDescent="0.25">
      <c r="A2948" s="1">
        <v>45017</v>
      </c>
      <c r="B2948" t="s">
        <v>154</v>
      </c>
      <c r="C2948" t="s">
        <v>785</v>
      </c>
      <c r="D2948" s="2">
        <v>15060445.640000001</v>
      </c>
      <c r="E2948" s="2">
        <v>12759538.710000001</v>
      </c>
      <c r="F2948" s="2">
        <v>12742005.939999999</v>
      </c>
    </row>
    <row r="2949" spans="1:6" x14ac:dyDescent="0.25">
      <c r="A2949" s="1">
        <v>45017</v>
      </c>
      <c r="B2949" t="s">
        <v>118</v>
      </c>
      <c r="C2949" t="s">
        <v>172</v>
      </c>
      <c r="D2949">
        <v>0</v>
      </c>
      <c r="E2949">
        <v>0</v>
      </c>
      <c r="F2949">
        <v>0</v>
      </c>
    </row>
    <row r="2950" spans="1:6" x14ac:dyDescent="0.25">
      <c r="A2950" s="1">
        <v>45017</v>
      </c>
      <c r="B2950" t="s">
        <v>114</v>
      </c>
      <c r="C2950" t="s">
        <v>1062</v>
      </c>
      <c r="D2950">
        <v>0</v>
      </c>
      <c r="E2950">
        <v>0</v>
      </c>
      <c r="F2950">
        <v>0</v>
      </c>
    </row>
    <row r="2951" spans="1:6" x14ac:dyDescent="0.25">
      <c r="A2951" s="1">
        <v>45017</v>
      </c>
      <c r="B2951" t="s">
        <v>216</v>
      </c>
      <c r="C2951" t="s">
        <v>217</v>
      </c>
      <c r="D2951">
        <v>0</v>
      </c>
      <c r="E2951">
        <v>0</v>
      </c>
      <c r="F2951">
        <v>0</v>
      </c>
    </row>
    <row r="2952" spans="1:6" x14ac:dyDescent="0.25">
      <c r="A2952" s="1">
        <v>45017</v>
      </c>
      <c r="B2952" t="s">
        <v>21</v>
      </c>
      <c r="C2952" t="s">
        <v>1172</v>
      </c>
      <c r="D2952" s="2">
        <v>18556521</v>
      </c>
      <c r="E2952">
        <v>0</v>
      </c>
      <c r="F2952">
        <v>0</v>
      </c>
    </row>
    <row r="2953" spans="1:6" x14ac:dyDescent="0.25">
      <c r="A2953" s="1">
        <v>45017</v>
      </c>
      <c r="B2953" t="s">
        <v>154</v>
      </c>
      <c r="C2953" t="s">
        <v>354</v>
      </c>
      <c r="D2953" s="2">
        <v>8010000</v>
      </c>
      <c r="E2953">
        <v>0</v>
      </c>
      <c r="F2953">
        <v>0</v>
      </c>
    </row>
    <row r="2954" spans="1:6" x14ac:dyDescent="0.25">
      <c r="A2954" s="1">
        <v>45017</v>
      </c>
      <c r="B2954" t="s">
        <v>398</v>
      </c>
      <c r="C2954" t="s">
        <v>437</v>
      </c>
      <c r="D2954">
        <v>0</v>
      </c>
      <c r="E2954" s="2">
        <v>61779.23</v>
      </c>
      <c r="F2954" s="2">
        <v>61779.23</v>
      </c>
    </row>
    <row r="2955" spans="1:6" x14ac:dyDescent="0.25">
      <c r="A2955" s="1">
        <v>45017</v>
      </c>
      <c r="B2955" t="s">
        <v>318</v>
      </c>
      <c r="C2955" t="s">
        <v>319</v>
      </c>
      <c r="D2955">
        <v>0</v>
      </c>
      <c r="E2955">
        <v>0</v>
      </c>
      <c r="F2955">
        <v>0</v>
      </c>
    </row>
    <row r="2956" spans="1:6" x14ac:dyDescent="0.25">
      <c r="A2956" s="1">
        <v>45017</v>
      </c>
      <c r="B2956" t="s">
        <v>187</v>
      </c>
      <c r="C2956" t="s">
        <v>1008</v>
      </c>
      <c r="D2956" s="2">
        <v>17172.68</v>
      </c>
      <c r="E2956" s="2">
        <v>23374.83</v>
      </c>
      <c r="F2956" s="2">
        <v>23374.83</v>
      </c>
    </row>
    <row r="2957" spans="1:6" x14ac:dyDescent="0.25">
      <c r="A2957" s="1">
        <v>45017</v>
      </c>
      <c r="B2957" t="s">
        <v>63</v>
      </c>
      <c r="C2957" t="s">
        <v>142</v>
      </c>
      <c r="D2957">
        <v>0</v>
      </c>
      <c r="E2957">
        <v>0</v>
      </c>
      <c r="F2957">
        <v>0</v>
      </c>
    </row>
    <row r="2958" spans="1:6" x14ac:dyDescent="0.25">
      <c r="A2958" s="1">
        <v>45017</v>
      </c>
      <c r="B2958" t="s">
        <v>17</v>
      </c>
      <c r="C2958" t="s">
        <v>951</v>
      </c>
      <c r="D2958">
        <v>0</v>
      </c>
      <c r="E2958">
        <v>0</v>
      </c>
      <c r="F2958">
        <v>0</v>
      </c>
    </row>
    <row r="2959" spans="1:6" x14ac:dyDescent="0.25">
      <c r="A2959" s="1">
        <v>45017</v>
      </c>
      <c r="B2959" t="s">
        <v>40</v>
      </c>
      <c r="C2959" t="s">
        <v>129</v>
      </c>
      <c r="D2959" s="2">
        <v>1620736.95</v>
      </c>
      <c r="E2959">
        <v>0</v>
      </c>
      <c r="F2959">
        <v>0</v>
      </c>
    </row>
    <row r="2960" spans="1:6" x14ac:dyDescent="0.25">
      <c r="A2960" s="1">
        <v>45017</v>
      </c>
      <c r="B2960" t="s">
        <v>23</v>
      </c>
      <c r="C2960" t="s">
        <v>630</v>
      </c>
      <c r="D2960">
        <v>0</v>
      </c>
      <c r="E2960">
        <v>0</v>
      </c>
      <c r="F2960">
        <v>0</v>
      </c>
    </row>
    <row r="2961" spans="1:6" x14ac:dyDescent="0.25">
      <c r="A2961" s="1">
        <v>45017</v>
      </c>
      <c r="B2961" t="s">
        <v>118</v>
      </c>
      <c r="C2961" t="s">
        <v>911</v>
      </c>
      <c r="D2961" s="2">
        <v>423628746.22000003</v>
      </c>
      <c r="E2961">
        <v>0</v>
      </c>
      <c r="F2961">
        <v>0</v>
      </c>
    </row>
    <row r="2962" spans="1:6" x14ac:dyDescent="0.25">
      <c r="A2962" s="1">
        <v>45017</v>
      </c>
      <c r="B2962" t="s">
        <v>21</v>
      </c>
      <c r="C2962" t="s">
        <v>985</v>
      </c>
      <c r="D2962" s="2">
        <v>8000000</v>
      </c>
      <c r="E2962">
        <v>0</v>
      </c>
      <c r="F2962">
        <v>0</v>
      </c>
    </row>
    <row r="2963" spans="1:6" x14ac:dyDescent="0.25">
      <c r="A2963" s="1">
        <v>45017</v>
      </c>
      <c r="B2963" t="s">
        <v>48</v>
      </c>
      <c r="C2963" t="s">
        <v>1143</v>
      </c>
      <c r="D2963">
        <v>0</v>
      </c>
      <c r="E2963" s="2">
        <v>3045856.37</v>
      </c>
      <c r="F2963" s="2">
        <v>3045856.37</v>
      </c>
    </row>
    <row r="2964" spans="1:6" x14ac:dyDescent="0.25">
      <c r="A2964" s="1">
        <v>45017</v>
      </c>
      <c r="B2964" t="s">
        <v>21</v>
      </c>
      <c r="C2964" t="s">
        <v>463</v>
      </c>
      <c r="D2964">
        <v>0</v>
      </c>
      <c r="E2964">
        <v>0</v>
      </c>
      <c r="F2964">
        <v>0</v>
      </c>
    </row>
    <row r="2965" spans="1:6" x14ac:dyDescent="0.25">
      <c r="A2965" s="1">
        <v>45017</v>
      </c>
      <c r="B2965" t="s">
        <v>46</v>
      </c>
      <c r="C2965" t="s">
        <v>987</v>
      </c>
      <c r="D2965" s="2">
        <v>975700</v>
      </c>
      <c r="E2965" s="2">
        <v>450068.23</v>
      </c>
      <c r="F2965" s="2">
        <v>12568.23</v>
      </c>
    </row>
    <row r="2966" spans="1:6" x14ac:dyDescent="0.25">
      <c r="A2966" s="1">
        <v>45017</v>
      </c>
      <c r="B2966" t="s">
        <v>48</v>
      </c>
      <c r="C2966" t="s">
        <v>1068</v>
      </c>
      <c r="D2966" s="2">
        <v>-4303615.22</v>
      </c>
      <c r="E2966">
        <v>0</v>
      </c>
      <c r="F2966">
        <v>0</v>
      </c>
    </row>
    <row r="2967" spans="1:6" x14ac:dyDescent="0.25">
      <c r="A2967" s="1">
        <v>45017</v>
      </c>
      <c r="B2967" t="s">
        <v>29</v>
      </c>
      <c r="C2967" t="s">
        <v>631</v>
      </c>
      <c r="D2967" s="2">
        <v>-1592.7</v>
      </c>
      <c r="E2967" s="2">
        <v>18907.3</v>
      </c>
      <c r="F2967" s="2">
        <v>18907.3</v>
      </c>
    </row>
    <row r="2968" spans="1:6" x14ac:dyDescent="0.25">
      <c r="A2968" s="1">
        <v>45017</v>
      </c>
      <c r="B2968" t="s">
        <v>661</v>
      </c>
      <c r="C2968" t="s">
        <v>457</v>
      </c>
      <c r="D2968">
        <v>0</v>
      </c>
      <c r="E2968">
        <v>0</v>
      </c>
      <c r="F2968">
        <v>0</v>
      </c>
    </row>
    <row r="2969" spans="1:6" x14ac:dyDescent="0.25">
      <c r="A2969" s="1">
        <v>45017</v>
      </c>
      <c r="B2969" t="s">
        <v>933</v>
      </c>
      <c r="C2969" t="s">
        <v>1041</v>
      </c>
      <c r="D2969">
        <v>0</v>
      </c>
      <c r="E2969" s="2">
        <v>5052.6000000000004</v>
      </c>
      <c r="F2969" s="2">
        <v>5052.6000000000004</v>
      </c>
    </row>
    <row r="2970" spans="1:6" x14ac:dyDescent="0.25">
      <c r="A2970" s="1">
        <v>45017</v>
      </c>
      <c r="B2970" t="s">
        <v>185</v>
      </c>
      <c r="C2970" t="s">
        <v>304</v>
      </c>
      <c r="D2970" s="2">
        <v>197252128.41999999</v>
      </c>
      <c r="E2970" s="2">
        <v>104603422</v>
      </c>
      <c r="F2970" s="2">
        <v>104562262</v>
      </c>
    </row>
    <row r="2971" spans="1:6" x14ac:dyDescent="0.25">
      <c r="A2971" s="1">
        <v>45017</v>
      </c>
      <c r="B2971" t="s">
        <v>213</v>
      </c>
      <c r="C2971" t="s">
        <v>586</v>
      </c>
      <c r="D2971">
        <v>0</v>
      </c>
      <c r="E2971">
        <v>0</v>
      </c>
      <c r="F2971">
        <v>0</v>
      </c>
    </row>
    <row r="2972" spans="1:6" x14ac:dyDescent="0.25">
      <c r="A2972" s="1">
        <v>45017</v>
      </c>
      <c r="B2972" t="s">
        <v>23</v>
      </c>
      <c r="C2972" t="s">
        <v>1055</v>
      </c>
      <c r="D2972" s="2">
        <v>620794.65</v>
      </c>
      <c r="E2972" s="2">
        <v>163975.6</v>
      </c>
      <c r="F2972" s="2">
        <v>163975.6</v>
      </c>
    </row>
    <row r="2973" spans="1:6" x14ac:dyDescent="0.25">
      <c r="A2973" s="1">
        <v>45017</v>
      </c>
      <c r="B2973" t="s">
        <v>278</v>
      </c>
      <c r="C2973" t="s">
        <v>722</v>
      </c>
      <c r="D2973" s="2">
        <v>300000</v>
      </c>
      <c r="E2973">
        <v>0</v>
      </c>
      <c r="F2973">
        <v>0</v>
      </c>
    </row>
    <row r="2974" spans="1:6" x14ac:dyDescent="0.25">
      <c r="A2974" s="1">
        <v>45017</v>
      </c>
      <c r="B2974" t="s">
        <v>77</v>
      </c>
      <c r="C2974" t="s">
        <v>78</v>
      </c>
      <c r="D2974">
        <v>0</v>
      </c>
      <c r="E2974">
        <v>0</v>
      </c>
      <c r="F2974">
        <v>0</v>
      </c>
    </row>
    <row r="2975" spans="1:6" x14ac:dyDescent="0.25">
      <c r="A2975" s="1">
        <v>45017</v>
      </c>
      <c r="B2975" t="s">
        <v>585</v>
      </c>
      <c r="C2975" t="s">
        <v>586</v>
      </c>
      <c r="D2975">
        <v>0</v>
      </c>
      <c r="E2975">
        <v>0</v>
      </c>
      <c r="F2975">
        <v>0</v>
      </c>
    </row>
    <row r="2976" spans="1:6" x14ac:dyDescent="0.25">
      <c r="A2976" s="1">
        <v>45017</v>
      </c>
      <c r="B2976" t="s">
        <v>159</v>
      </c>
      <c r="C2976" t="s">
        <v>360</v>
      </c>
      <c r="D2976">
        <v>0</v>
      </c>
      <c r="E2976" s="2">
        <v>6897.54</v>
      </c>
      <c r="F2976" s="2">
        <v>6897.54</v>
      </c>
    </row>
    <row r="2977" spans="1:6" x14ac:dyDescent="0.25">
      <c r="A2977" s="1">
        <v>45017</v>
      </c>
      <c r="B2977" t="s">
        <v>21</v>
      </c>
      <c r="C2977" t="s">
        <v>431</v>
      </c>
      <c r="D2977" s="2">
        <v>3779554.51</v>
      </c>
      <c r="E2977">
        <v>0</v>
      </c>
      <c r="F2977" s="2">
        <v>75111.69</v>
      </c>
    </row>
    <row r="2978" spans="1:6" x14ac:dyDescent="0.25">
      <c r="A2978" s="1">
        <v>45017</v>
      </c>
      <c r="B2978" t="s">
        <v>15</v>
      </c>
      <c r="C2978" t="s">
        <v>111</v>
      </c>
      <c r="D2978">
        <v>0</v>
      </c>
      <c r="E2978">
        <v>0</v>
      </c>
      <c r="F2978">
        <v>0</v>
      </c>
    </row>
    <row r="2979" spans="1:6" x14ac:dyDescent="0.25">
      <c r="A2979" s="1">
        <v>45017</v>
      </c>
      <c r="B2979" t="s">
        <v>21</v>
      </c>
      <c r="C2979" t="s">
        <v>523</v>
      </c>
      <c r="D2979" s="2">
        <v>3000000</v>
      </c>
      <c r="E2979">
        <v>0</v>
      </c>
      <c r="F2979">
        <v>0</v>
      </c>
    </row>
    <row r="2980" spans="1:6" x14ac:dyDescent="0.25">
      <c r="A2980" s="1">
        <v>45017</v>
      </c>
      <c r="B2980" t="s">
        <v>50</v>
      </c>
      <c r="C2980" t="s">
        <v>438</v>
      </c>
      <c r="D2980">
        <v>0</v>
      </c>
      <c r="E2980">
        <v>0</v>
      </c>
      <c r="F2980" s="2">
        <v>19268.89</v>
      </c>
    </row>
    <row r="2981" spans="1:6" x14ac:dyDescent="0.25">
      <c r="A2981" s="1">
        <v>45017</v>
      </c>
      <c r="B2981" t="s">
        <v>105</v>
      </c>
      <c r="C2981" t="s">
        <v>150</v>
      </c>
      <c r="D2981" s="2">
        <v>78701750</v>
      </c>
      <c r="E2981">
        <v>0</v>
      </c>
      <c r="F2981">
        <v>0</v>
      </c>
    </row>
    <row r="2982" spans="1:6" x14ac:dyDescent="0.25">
      <c r="A2982" s="1">
        <v>45017</v>
      </c>
      <c r="B2982" t="s">
        <v>42</v>
      </c>
      <c r="C2982" t="s">
        <v>447</v>
      </c>
      <c r="D2982">
        <v>0</v>
      </c>
      <c r="E2982">
        <v>0</v>
      </c>
      <c r="F2982">
        <v>0</v>
      </c>
    </row>
    <row r="2983" spans="1:6" x14ac:dyDescent="0.25">
      <c r="A2983" s="1">
        <v>45017</v>
      </c>
      <c r="B2983" t="s">
        <v>27</v>
      </c>
      <c r="C2983" t="s">
        <v>28</v>
      </c>
      <c r="D2983" s="2">
        <v>8698600.9399999995</v>
      </c>
      <c r="E2983" s="2">
        <v>7104308.1799999997</v>
      </c>
      <c r="F2983" s="2">
        <v>5088443.9400000004</v>
      </c>
    </row>
    <row r="2984" spans="1:6" x14ac:dyDescent="0.25">
      <c r="A2984" s="1">
        <v>45017</v>
      </c>
      <c r="B2984" t="s">
        <v>44</v>
      </c>
      <c r="C2984" t="s">
        <v>253</v>
      </c>
      <c r="D2984">
        <v>0</v>
      </c>
      <c r="E2984" s="2">
        <v>25763.71</v>
      </c>
      <c r="F2984" s="2">
        <v>25763.71</v>
      </c>
    </row>
    <row r="2985" spans="1:6" x14ac:dyDescent="0.25">
      <c r="A2985" s="1">
        <v>45017</v>
      </c>
      <c r="B2985" t="s">
        <v>19</v>
      </c>
      <c r="C2985" t="s">
        <v>1050</v>
      </c>
      <c r="D2985" s="2">
        <v>14000</v>
      </c>
      <c r="E2985" s="2">
        <v>23038.19</v>
      </c>
      <c r="F2985" s="2">
        <v>23038.19</v>
      </c>
    </row>
    <row r="2986" spans="1:6" x14ac:dyDescent="0.25">
      <c r="A2986" s="1">
        <v>45017</v>
      </c>
      <c r="B2986" t="s">
        <v>21</v>
      </c>
      <c r="C2986" t="s">
        <v>451</v>
      </c>
      <c r="D2986">
        <v>0</v>
      </c>
      <c r="E2986">
        <v>0</v>
      </c>
      <c r="F2986">
        <v>0</v>
      </c>
    </row>
    <row r="2987" spans="1:6" x14ac:dyDescent="0.25">
      <c r="A2987" s="1">
        <v>45017</v>
      </c>
      <c r="B2987" t="s">
        <v>23</v>
      </c>
      <c r="C2987" t="s">
        <v>1004</v>
      </c>
      <c r="D2987" s="2">
        <v>1389559.42</v>
      </c>
      <c r="E2987" s="2">
        <v>4930687.4400000004</v>
      </c>
      <c r="F2987" s="2">
        <v>5065479.25</v>
      </c>
    </row>
    <row r="2988" spans="1:6" x14ac:dyDescent="0.25">
      <c r="A2988" s="1">
        <v>45017</v>
      </c>
      <c r="B2988" t="s">
        <v>458</v>
      </c>
      <c r="C2988" t="s">
        <v>1034</v>
      </c>
      <c r="D2988">
        <v>0</v>
      </c>
      <c r="E2988">
        <v>0</v>
      </c>
      <c r="F2988">
        <v>0</v>
      </c>
    </row>
    <row r="2989" spans="1:6" x14ac:dyDescent="0.25">
      <c r="A2989" s="1">
        <v>45017</v>
      </c>
      <c r="B2989" t="s">
        <v>21</v>
      </c>
      <c r="C2989" t="s">
        <v>211</v>
      </c>
      <c r="D2989">
        <v>0</v>
      </c>
      <c r="E2989">
        <v>0</v>
      </c>
      <c r="F2989">
        <v>0</v>
      </c>
    </row>
    <row r="2990" spans="1:6" x14ac:dyDescent="0.25">
      <c r="A2990" s="1">
        <v>45017</v>
      </c>
      <c r="B2990" t="s">
        <v>278</v>
      </c>
      <c r="C2990" t="s">
        <v>900</v>
      </c>
      <c r="D2990" s="2">
        <v>-123170345</v>
      </c>
      <c r="E2990" s="2">
        <v>146412.20000000001</v>
      </c>
      <c r="F2990" s="2">
        <v>127529.44</v>
      </c>
    </row>
    <row r="2991" spans="1:6" x14ac:dyDescent="0.25">
      <c r="A2991" s="1">
        <v>45017</v>
      </c>
      <c r="B2991" t="s">
        <v>694</v>
      </c>
      <c r="C2991" t="s">
        <v>486</v>
      </c>
      <c r="D2991">
        <v>0</v>
      </c>
      <c r="E2991">
        <v>0</v>
      </c>
      <c r="F2991">
        <v>0</v>
      </c>
    </row>
    <row r="2992" spans="1:6" x14ac:dyDescent="0.25">
      <c r="A2992" s="1">
        <v>45017</v>
      </c>
      <c r="B2992" t="s">
        <v>159</v>
      </c>
      <c r="C2992" t="s">
        <v>640</v>
      </c>
      <c r="D2992">
        <v>0</v>
      </c>
      <c r="E2992">
        <v>0</v>
      </c>
      <c r="F2992">
        <v>0</v>
      </c>
    </row>
    <row r="2993" spans="1:6" x14ac:dyDescent="0.25">
      <c r="A2993" s="1">
        <v>45017</v>
      </c>
      <c r="B2993" t="s">
        <v>90</v>
      </c>
      <c r="C2993" t="s">
        <v>244</v>
      </c>
      <c r="D2993">
        <v>0</v>
      </c>
      <c r="E2993">
        <v>0</v>
      </c>
      <c r="F2993">
        <v>0</v>
      </c>
    </row>
    <row r="2994" spans="1:6" x14ac:dyDescent="0.25">
      <c r="A2994" s="1">
        <v>45017</v>
      </c>
      <c r="B2994" t="s">
        <v>90</v>
      </c>
      <c r="C2994" t="s">
        <v>895</v>
      </c>
      <c r="D2994" s="2">
        <v>3800743.47</v>
      </c>
      <c r="E2994" s="2">
        <v>696646.81</v>
      </c>
      <c r="F2994" s="2">
        <v>720601.14</v>
      </c>
    </row>
    <row r="2995" spans="1:6" x14ac:dyDescent="0.25">
      <c r="A2995" s="1">
        <v>45017</v>
      </c>
      <c r="B2995" t="s">
        <v>46</v>
      </c>
      <c r="C2995" t="s">
        <v>152</v>
      </c>
      <c r="D2995">
        <v>0</v>
      </c>
      <c r="E2995" s="2">
        <v>71450.61</v>
      </c>
      <c r="F2995" s="2">
        <v>71450.61</v>
      </c>
    </row>
    <row r="2996" spans="1:6" x14ac:dyDescent="0.25">
      <c r="A2996" s="1">
        <v>45017</v>
      </c>
      <c r="B2996" t="s">
        <v>694</v>
      </c>
      <c r="C2996" t="s">
        <v>658</v>
      </c>
      <c r="D2996">
        <v>0</v>
      </c>
      <c r="E2996">
        <v>0</v>
      </c>
      <c r="F2996">
        <v>0</v>
      </c>
    </row>
    <row r="2997" spans="1:6" x14ac:dyDescent="0.25">
      <c r="A2997" s="1">
        <v>45017</v>
      </c>
      <c r="B2997" t="s">
        <v>37</v>
      </c>
      <c r="C2997" t="s">
        <v>420</v>
      </c>
      <c r="D2997" s="2">
        <v>639358066.53999996</v>
      </c>
      <c r="E2997" s="2">
        <v>324493272.31999999</v>
      </c>
      <c r="F2997" s="2">
        <v>324493272.31999999</v>
      </c>
    </row>
    <row r="2998" spans="1:6" x14ac:dyDescent="0.25">
      <c r="A2998" s="1">
        <v>45017</v>
      </c>
      <c r="B2998" t="s">
        <v>185</v>
      </c>
      <c r="C2998" t="s">
        <v>190</v>
      </c>
      <c r="D2998" s="2">
        <v>50361177.960000001</v>
      </c>
      <c r="E2998" s="2">
        <v>92251332.329999998</v>
      </c>
      <c r="F2998" s="2">
        <v>92251332.329999998</v>
      </c>
    </row>
    <row r="2999" spans="1:6" x14ac:dyDescent="0.25">
      <c r="A2999" s="1">
        <v>45017</v>
      </c>
      <c r="B2999" t="s">
        <v>176</v>
      </c>
      <c r="C2999" t="s">
        <v>177</v>
      </c>
      <c r="D2999">
        <v>0</v>
      </c>
      <c r="E2999">
        <v>0</v>
      </c>
      <c r="F2999">
        <v>0</v>
      </c>
    </row>
    <row r="3000" spans="1:6" x14ac:dyDescent="0.25">
      <c r="A3000" s="1">
        <v>45017</v>
      </c>
      <c r="B3000" t="s">
        <v>55</v>
      </c>
      <c r="C3000" t="s">
        <v>203</v>
      </c>
      <c r="D3000">
        <v>0</v>
      </c>
      <c r="E3000">
        <v>0</v>
      </c>
      <c r="F3000">
        <v>0</v>
      </c>
    </row>
    <row r="3001" spans="1:6" x14ac:dyDescent="0.25">
      <c r="A3001" s="1">
        <v>45017</v>
      </c>
      <c r="B3001" t="s">
        <v>19</v>
      </c>
      <c r="C3001" t="s">
        <v>328</v>
      </c>
      <c r="D3001" s="2">
        <v>6775480.6100000003</v>
      </c>
      <c r="E3001" s="2">
        <v>5119744.54</v>
      </c>
      <c r="F3001" s="2">
        <v>4526989.8899999997</v>
      </c>
    </row>
    <row r="3002" spans="1:6" x14ac:dyDescent="0.25">
      <c r="A3002" s="1">
        <v>45017</v>
      </c>
      <c r="B3002" t="s">
        <v>831</v>
      </c>
      <c r="C3002" t="s">
        <v>95</v>
      </c>
      <c r="D3002">
        <v>0</v>
      </c>
      <c r="E3002">
        <v>0</v>
      </c>
      <c r="F3002">
        <v>0</v>
      </c>
    </row>
    <row r="3003" spans="1:6" x14ac:dyDescent="0.25">
      <c r="A3003" s="1">
        <v>45017</v>
      </c>
      <c r="B3003" t="s">
        <v>132</v>
      </c>
      <c r="C3003" t="s">
        <v>133</v>
      </c>
      <c r="D3003" s="2">
        <v>507406</v>
      </c>
      <c r="E3003" s="2">
        <v>239505</v>
      </c>
      <c r="F3003">
        <v>0</v>
      </c>
    </row>
    <row r="3004" spans="1:6" x14ac:dyDescent="0.25">
      <c r="A3004" s="1">
        <v>45017</v>
      </c>
      <c r="B3004" t="s">
        <v>37</v>
      </c>
      <c r="C3004" t="s">
        <v>208</v>
      </c>
      <c r="D3004" s="2">
        <v>-20073175.59</v>
      </c>
      <c r="E3004" s="2">
        <v>126993248.26000001</v>
      </c>
      <c r="F3004" s="2">
        <v>126993248.26000001</v>
      </c>
    </row>
    <row r="3005" spans="1:6" x14ac:dyDescent="0.25">
      <c r="A3005" s="1">
        <v>45017</v>
      </c>
      <c r="B3005" t="s">
        <v>309</v>
      </c>
      <c r="C3005" t="s">
        <v>310</v>
      </c>
      <c r="D3005">
        <v>0</v>
      </c>
      <c r="E3005">
        <v>0</v>
      </c>
      <c r="F3005">
        <v>0</v>
      </c>
    </row>
    <row r="3006" spans="1:6" x14ac:dyDescent="0.25">
      <c r="A3006" s="1">
        <v>45017</v>
      </c>
      <c r="B3006" t="s">
        <v>132</v>
      </c>
      <c r="C3006" t="s">
        <v>375</v>
      </c>
      <c r="D3006" s="2">
        <v>1090000</v>
      </c>
      <c r="E3006" s="2">
        <v>1090000</v>
      </c>
      <c r="F3006" s="2">
        <v>1090000</v>
      </c>
    </row>
    <row r="3007" spans="1:6" x14ac:dyDescent="0.25">
      <c r="A3007" s="1">
        <v>45017</v>
      </c>
      <c r="B3007" t="s">
        <v>23</v>
      </c>
      <c r="C3007" t="s">
        <v>368</v>
      </c>
      <c r="D3007" s="2">
        <v>37344.43</v>
      </c>
      <c r="E3007" s="2">
        <v>16263.15</v>
      </c>
      <c r="F3007" s="2">
        <v>13851.8</v>
      </c>
    </row>
    <row r="3008" spans="1:6" x14ac:dyDescent="0.25">
      <c r="A3008" s="1">
        <v>45017</v>
      </c>
      <c r="B3008" t="s">
        <v>21</v>
      </c>
      <c r="C3008" t="s">
        <v>22</v>
      </c>
      <c r="D3008">
        <v>0</v>
      </c>
      <c r="E3008">
        <v>0</v>
      </c>
      <c r="F3008">
        <v>0</v>
      </c>
    </row>
    <row r="3009" spans="1:6" x14ac:dyDescent="0.25">
      <c r="A3009" s="1">
        <v>45017</v>
      </c>
      <c r="B3009" t="s">
        <v>23</v>
      </c>
      <c r="C3009" t="s">
        <v>657</v>
      </c>
      <c r="D3009">
        <v>0</v>
      </c>
      <c r="E3009">
        <v>0</v>
      </c>
      <c r="F3009">
        <v>0</v>
      </c>
    </row>
    <row r="3010" spans="1:6" x14ac:dyDescent="0.25">
      <c r="A3010" s="1">
        <v>45017</v>
      </c>
      <c r="B3010" t="s">
        <v>21</v>
      </c>
      <c r="C3010" t="s">
        <v>202</v>
      </c>
      <c r="D3010" s="2">
        <v>38100067.670000002</v>
      </c>
      <c r="E3010">
        <v>0</v>
      </c>
      <c r="F3010">
        <v>0</v>
      </c>
    </row>
    <row r="3011" spans="1:6" x14ac:dyDescent="0.25">
      <c r="A3011" s="1">
        <v>45017</v>
      </c>
      <c r="B3011" t="s">
        <v>15</v>
      </c>
      <c r="C3011" t="s">
        <v>1173</v>
      </c>
      <c r="D3011">
        <v>0</v>
      </c>
      <c r="E3011">
        <v>0</v>
      </c>
      <c r="F3011">
        <v>0</v>
      </c>
    </row>
    <row r="3012" spans="1:6" x14ac:dyDescent="0.25">
      <c r="A3012" s="1">
        <v>45017</v>
      </c>
      <c r="B3012" t="s">
        <v>282</v>
      </c>
      <c r="C3012" t="s">
        <v>1174</v>
      </c>
      <c r="D3012" s="2">
        <v>234821000</v>
      </c>
      <c r="E3012">
        <v>0</v>
      </c>
      <c r="F3012">
        <v>0</v>
      </c>
    </row>
    <row r="3013" spans="1:6" x14ac:dyDescent="0.25">
      <c r="A3013" s="1">
        <v>45017</v>
      </c>
      <c r="B3013" t="s">
        <v>19</v>
      </c>
      <c r="C3013" t="s">
        <v>39</v>
      </c>
      <c r="D3013" s="2">
        <v>3267197.58</v>
      </c>
      <c r="E3013" s="2">
        <v>211603.86</v>
      </c>
      <c r="F3013" s="2">
        <v>171051.76</v>
      </c>
    </row>
    <row r="3014" spans="1:6" x14ac:dyDescent="0.25">
      <c r="A3014" s="1">
        <v>45017</v>
      </c>
      <c r="B3014" t="s">
        <v>740</v>
      </c>
      <c r="C3014" t="s">
        <v>741</v>
      </c>
      <c r="D3014">
        <v>0</v>
      </c>
      <c r="E3014">
        <v>0</v>
      </c>
      <c r="F3014">
        <v>0</v>
      </c>
    </row>
    <row r="3015" spans="1:6" x14ac:dyDescent="0.25">
      <c r="A3015" s="1">
        <v>45017</v>
      </c>
      <c r="B3015" t="s">
        <v>40</v>
      </c>
      <c r="C3015" t="s">
        <v>440</v>
      </c>
      <c r="D3015" s="2">
        <v>417086.29</v>
      </c>
      <c r="E3015" s="2">
        <v>236293.16</v>
      </c>
      <c r="F3015" s="2">
        <v>199762.41</v>
      </c>
    </row>
    <row r="3016" spans="1:6" x14ac:dyDescent="0.25">
      <c r="A3016" s="1">
        <v>45017</v>
      </c>
      <c r="B3016" t="s">
        <v>282</v>
      </c>
      <c r="C3016" t="s">
        <v>664</v>
      </c>
      <c r="D3016" s="2">
        <v>45565799180</v>
      </c>
      <c r="E3016" s="2">
        <v>13925783064.01</v>
      </c>
      <c r="F3016" s="2">
        <v>13925783064.01</v>
      </c>
    </row>
    <row r="3017" spans="1:6" x14ac:dyDescent="0.25">
      <c r="A3017" s="1">
        <v>45017</v>
      </c>
      <c r="B3017" t="s">
        <v>40</v>
      </c>
      <c r="C3017" t="s">
        <v>148</v>
      </c>
      <c r="D3017">
        <v>0</v>
      </c>
      <c r="E3017" s="2">
        <v>1635053.61</v>
      </c>
      <c r="F3017" s="2">
        <v>1621979.98</v>
      </c>
    </row>
    <row r="3018" spans="1:6" x14ac:dyDescent="0.25">
      <c r="A3018" s="1">
        <v>45017</v>
      </c>
      <c r="B3018" t="s">
        <v>46</v>
      </c>
      <c r="C3018" t="s">
        <v>57</v>
      </c>
      <c r="D3018">
        <v>0</v>
      </c>
      <c r="E3018" s="2">
        <v>19589.32</v>
      </c>
      <c r="F3018" s="2">
        <v>16219.66</v>
      </c>
    </row>
    <row r="3019" spans="1:6" x14ac:dyDescent="0.25">
      <c r="A3019" s="1">
        <v>45017</v>
      </c>
      <c r="B3019" t="s">
        <v>98</v>
      </c>
      <c r="C3019" t="s">
        <v>899</v>
      </c>
      <c r="D3019">
        <v>0</v>
      </c>
      <c r="E3019">
        <v>0</v>
      </c>
      <c r="F3019">
        <v>0</v>
      </c>
    </row>
    <row r="3020" spans="1:6" x14ac:dyDescent="0.25">
      <c r="A3020" s="1">
        <v>45017</v>
      </c>
      <c r="B3020" t="s">
        <v>11</v>
      </c>
      <c r="C3020" t="s">
        <v>391</v>
      </c>
      <c r="D3020" s="2">
        <v>-44130578</v>
      </c>
      <c r="E3020" s="2">
        <v>31320341.199999999</v>
      </c>
      <c r="F3020" s="2">
        <v>31320341.199999999</v>
      </c>
    </row>
    <row r="3021" spans="1:6" x14ac:dyDescent="0.25">
      <c r="A3021" s="1">
        <v>45017</v>
      </c>
      <c r="B3021" t="s">
        <v>21</v>
      </c>
      <c r="C3021" t="s">
        <v>238</v>
      </c>
      <c r="D3021" s="2">
        <v>292736</v>
      </c>
      <c r="E3021">
        <v>0</v>
      </c>
      <c r="F3021">
        <v>0</v>
      </c>
    </row>
    <row r="3022" spans="1:6" x14ac:dyDescent="0.25">
      <c r="A3022" s="1">
        <v>45017</v>
      </c>
      <c r="B3022" t="s">
        <v>251</v>
      </c>
      <c r="C3022" t="s">
        <v>1016</v>
      </c>
      <c r="D3022">
        <v>0</v>
      </c>
      <c r="E3022">
        <v>0</v>
      </c>
      <c r="F3022">
        <v>0</v>
      </c>
    </row>
    <row r="3023" spans="1:6" x14ac:dyDescent="0.25">
      <c r="A3023" s="1">
        <v>45017</v>
      </c>
      <c r="B3023" t="s">
        <v>118</v>
      </c>
      <c r="C3023" t="s">
        <v>379</v>
      </c>
      <c r="D3023">
        <v>0</v>
      </c>
      <c r="E3023">
        <v>0</v>
      </c>
      <c r="F3023">
        <v>0</v>
      </c>
    </row>
    <row r="3024" spans="1:6" x14ac:dyDescent="0.25">
      <c r="A3024" s="1">
        <v>45017</v>
      </c>
      <c r="B3024" t="s">
        <v>118</v>
      </c>
      <c r="C3024" t="s">
        <v>308</v>
      </c>
      <c r="D3024">
        <v>24</v>
      </c>
      <c r="E3024" s="2">
        <v>123911.91</v>
      </c>
      <c r="F3024" s="2">
        <v>1677.8</v>
      </c>
    </row>
    <row r="3025" spans="1:6" x14ac:dyDescent="0.25">
      <c r="A3025" s="1">
        <v>45017</v>
      </c>
      <c r="B3025" t="s">
        <v>90</v>
      </c>
      <c r="C3025" t="s">
        <v>158</v>
      </c>
      <c r="D3025" s="2">
        <v>1000</v>
      </c>
      <c r="E3025" s="2">
        <v>14948.6</v>
      </c>
      <c r="F3025" s="2">
        <v>13925.59</v>
      </c>
    </row>
    <row r="3026" spans="1:6" x14ac:dyDescent="0.25">
      <c r="A3026" s="1">
        <v>45017</v>
      </c>
      <c r="B3026" t="s">
        <v>42</v>
      </c>
      <c r="C3026" t="s">
        <v>166</v>
      </c>
      <c r="D3026">
        <v>0</v>
      </c>
      <c r="E3026">
        <v>0</v>
      </c>
      <c r="F3026">
        <v>0</v>
      </c>
    </row>
    <row r="3027" spans="1:6" x14ac:dyDescent="0.25">
      <c r="A3027" s="1">
        <v>45017</v>
      </c>
      <c r="B3027" t="s">
        <v>143</v>
      </c>
      <c r="C3027" t="s">
        <v>378</v>
      </c>
      <c r="D3027">
        <v>0</v>
      </c>
      <c r="E3027">
        <v>0</v>
      </c>
      <c r="F3027">
        <v>0</v>
      </c>
    </row>
    <row r="3028" spans="1:6" x14ac:dyDescent="0.25">
      <c r="A3028" s="1">
        <v>45017</v>
      </c>
      <c r="B3028" t="s">
        <v>143</v>
      </c>
      <c r="C3028" t="s">
        <v>1175</v>
      </c>
      <c r="D3028">
        <v>0</v>
      </c>
      <c r="E3028">
        <v>0</v>
      </c>
      <c r="F3028">
        <v>0</v>
      </c>
    </row>
    <row r="3029" spans="1:6" x14ac:dyDescent="0.25">
      <c r="A3029" s="1">
        <v>45017</v>
      </c>
      <c r="B3029" t="s">
        <v>769</v>
      </c>
      <c r="C3029" t="s">
        <v>1131</v>
      </c>
      <c r="D3029">
        <v>0</v>
      </c>
      <c r="E3029">
        <v>0</v>
      </c>
      <c r="F3029">
        <v>0</v>
      </c>
    </row>
    <row r="3030" spans="1:6" x14ac:dyDescent="0.25">
      <c r="A3030" s="1">
        <v>45017</v>
      </c>
      <c r="B3030" t="s">
        <v>68</v>
      </c>
      <c r="C3030" t="s">
        <v>1090</v>
      </c>
      <c r="D3030">
        <v>0</v>
      </c>
      <c r="E3030">
        <v>0</v>
      </c>
      <c r="F3030">
        <v>0</v>
      </c>
    </row>
    <row r="3031" spans="1:6" x14ac:dyDescent="0.25">
      <c r="A3031" s="1">
        <v>45017</v>
      </c>
      <c r="B3031" t="s">
        <v>40</v>
      </c>
      <c r="C3031" t="s">
        <v>873</v>
      </c>
      <c r="D3031" s="2">
        <v>85555820.010000005</v>
      </c>
      <c r="E3031" s="2">
        <v>2485702346.7399998</v>
      </c>
      <c r="F3031" s="2">
        <v>2485702346.7399998</v>
      </c>
    </row>
    <row r="3032" spans="1:6" x14ac:dyDescent="0.25">
      <c r="A3032" s="1">
        <v>45017</v>
      </c>
      <c r="B3032" t="s">
        <v>17</v>
      </c>
      <c r="C3032" t="s">
        <v>1034</v>
      </c>
      <c r="D3032">
        <v>0</v>
      </c>
      <c r="E3032">
        <v>0</v>
      </c>
      <c r="F3032">
        <v>0</v>
      </c>
    </row>
    <row r="3033" spans="1:6" x14ac:dyDescent="0.25">
      <c r="A3033" s="1">
        <v>45017</v>
      </c>
      <c r="B3033" t="s">
        <v>23</v>
      </c>
      <c r="C3033" t="s">
        <v>1116</v>
      </c>
      <c r="D3033" s="2">
        <v>-74542.62</v>
      </c>
      <c r="E3033" s="2">
        <v>41362.03</v>
      </c>
      <c r="F3033" s="2">
        <v>41362.03</v>
      </c>
    </row>
    <row r="3034" spans="1:6" x14ac:dyDescent="0.25">
      <c r="A3034" s="1">
        <v>45017</v>
      </c>
      <c r="B3034" t="s">
        <v>132</v>
      </c>
      <c r="C3034" t="s">
        <v>285</v>
      </c>
      <c r="D3034" s="2">
        <v>22480949.460000001</v>
      </c>
      <c r="E3034" s="2">
        <v>7583846.9100000001</v>
      </c>
      <c r="F3034" s="2">
        <v>5735768.4699999997</v>
      </c>
    </row>
    <row r="3035" spans="1:6" x14ac:dyDescent="0.25">
      <c r="A3035" s="1">
        <v>45017</v>
      </c>
      <c r="B3035" t="s">
        <v>31</v>
      </c>
      <c r="C3035" t="s">
        <v>1176</v>
      </c>
      <c r="D3035">
        <v>0</v>
      </c>
      <c r="E3035">
        <v>0</v>
      </c>
      <c r="F3035">
        <v>0</v>
      </c>
    </row>
    <row r="3036" spans="1:6" x14ac:dyDescent="0.25">
      <c r="A3036" s="1">
        <v>45017</v>
      </c>
      <c r="B3036" t="s">
        <v>114</v>
      </c>
      <c r="C3036" t="s">
        <v>1177</v>
      </c>
      <c r="D3036">
        <v>0</v>
      </c>
      <c r="E3036">
        <v>0</v>
      </c>
      <c r="F3036">
        <v>0</v>
      </c>
    </row>
    <row r="3037" spans="1:6" x14ac:dyDescent="0.25">
      <c r="A3037" s="1">
        <v>45017</v>
      </c>
      <c r="B3037" t="s">
        <v>40</v>
      </c>
      <c r="C3037" t="s">
        <v>859</v>
      </c>
      <c r="D3037">
        <v>0</v>
      </c>
      <c r="E3037">
        <v>0</v>
      </c>
      <c r="F3037">
        <v>0</v>
      </c>
    </row>
    <row r="3038" spans="1:6" x14ac:dyDescent="0.25">
      <c r="A3038" s="1">
        <v>45017</v>
      </c>
      <c r="B3038" t="s">
        <v>355</v>
      </c>
      <c r="C3038" t="s">
        <v>417</v>
      </c>
      <c r="D3038">
        <v>0</v>
      </c>
      <c r="E3038">
        <v>0</v>
      </c>
      <c r="F3038">
        <v>0</v>
      </c>
    </row>
    <row r="3039" spans="1:6" x14ac:dyDescent="0.25">
      <c r="A3039" s="1">
        <v>45017</v>
      </c>
      <c r="B3039" t="s">
        <v>296</v>
      </c>
      <c r="C3039" t="s">
        <v>1024</v>
      </c>
      <c r="D3039" s="2">
        <v>29463090.07</v>
      </c>
      <c r="E3039" s="2">
        <v>29463090.07</v>
      </c>
      <c r="F3039" s="2">
        <v>29463090.07</v>
      </c>
    </row>
    <row r="3040" spans="1:6" x14ac:dyDescent="0.25">
      <c r="A3040" s="1">
        <v>45017</v>
      </c>
      <c r="B3040" t="s">
        <v>107</v>
      </c>
      <c r="C3040" t="s">
        <v>509</v>
      </c>
      <c r="D3040">
        <v>0</v>
      </c>
      <c r="E3040">
        <v>0</v>
      </c>
      <c r="F3040">
        <v>0</v>
      </c>
    </row>
    <row r="3041" spans="1:6" x14ac:dyDescent="0.25">
      <c r="A3041" s="1">
        <v>45017</v>
      </c>
      <c r="B3041" t="s">
        <v>48</v>
      </c>
      <c r="C3041" t="s">
        <v>1178</v>
      </c>
      <c r="D3041" s="2">
        <v>5387667</v>
      </c>
      <c r="E3041" s="2">
        <v>5387667</v>
      </c>
      <c r="F3041" s="2">
        <v>5387667</v>
      </c>
    </row>
    <row r="3042" spans="1:6" x14ac:dyDescent="0.25">
      <c r="A3042" s="1">
        <v>45017</v>
      </c>
      <c r="B3042" t="s">
        <v>21</v>
      </c>
      <c r="C3042" t="s">
        <v>242</v>
      </c>
      <c r="D3042" s="2">
        <v>36268435.409999996</v>
      </c>
      <c r="E3042">
        <v>0</v>
      </c>
      <c r="F3042">
        <v>0</v>
      </c>
    </row>
    <row r="3043" spans="1:6" x14ac:dyDescent="0.25">
      <c r="A3043" s="1">
        <v>45017</v>
      </c>
      <c r="B3043" t="s">
        <v>55</v>
      </c>
      <c r="C3043" t="s">
        <v>708</v>
      </c>
      <c r="D3043">
        <v>0</v>
      </c>
      <c r="E3043">
        <v>0</v>
      </c>
      <c r="F3043">
        <v>0</v>
      </c>
    </row>
    <row r="3044" spans="1:6" x14ac:dyDescent="0.25">
      <c r="A3044" s="1">
        <v>45017</v>
      </c>
      <c r="B3044" t="s">
        <v>15</v>
      </c>
      <c r="C3044" t="s">
        <v>627</v>
      </c>
      <c r="D3044">
        <v>0</v>
      </c>
      <c r="E3044">
        <v>0</v>
      </c>
      <c r="F3044">
        <v>0</v>
      </c>
    </row>
    <row r="3045" spans="1:6" x14ac:dyDescent="0.25">
      <c r="A3045" s="1">
        <v>45017</v>
      </c>
      <c r="B3045" t="s">
        <v>21</v>
      </c>
      <c r="C3045" t="s">
        <v>510</v>
      </c>
      <c r="D3045" s="2">
        <v>105946713</v>
      </c>
      <c r="E3045" s="2">
        <v>36170.269999999997</v>
      </c>
      <c r="F3045" s="2">
        <v>36170.269999999997</v>
      </c>
    </row>
    <row r="3046" spans="1:6" x14ac:dyDescent="0.25">
      <c r="A3046" s="1">
        <v>45017</v>
      </c>
      <c r="B3046" t="s">
        <v>143</v>
      </c>
      <c r="C3046" t="s">
        <v>529</v>
      </c>
      <c r="D3046" s="2">
        <v>14877681</v>
      </c>
      <c r="E3046" s="2">
        <v>11243693</v>
      </c>
      <c r="F3046" s="2">
        <v>11243693</v>
      </c>
    </row>
    <row r="3047" spans="1:6" x14ac:dyDescent="0.25">
      <c r="A3047" s="1">
        <v>45017</v>
      </c>
      <c r="B3047" t="s">
        <v>35</v>
      </c>
      <c r="C3047" t="s">
        <v>36</v>
      </c>
      <c r="D3047">
        <v>0</v>
      </c>
      <c r="E3047">
        <v>0</v>
      </c>
      <c r="F3047">
        <v>0</v>
      </c>
    </row>
    <row r="3048" spans="1:6" x14ac:dyDescent="0.25">
      <c r="A3048" s="1">
        <v>45017</v>
      </c>
      <c r="B3048" t="s">
        <v>44</v>
      </c>
      <c r="C3048" t="s">
        <v>228</v>
      </c>
      <c r="D3048" s="2">
        <v>284667.71000000002</v>
      </c>
      <c r="E3048" s="2">
        <v>156973.76999999999</v>
      </c>
      <c r="F3048" s="2">
        <v>156973.76999999999</v>
      </c>
    </row>
    <row r="3049" spans="1:6" x14ac:dyDescent="0.25">
      <c r="A3049" s="1">
        <v>45017</v>
      </c>
      <c r="B3049" t="s">
        <v>7</v>
      </c>
      <c r="C3049" t="s">
        <v>448</v>
      </c>
      <c r="D3049" s="2">
        <v>2949513.5</v>
      </c>
      <c r="E3049" s="2">
        <v>5461765.4400000004</v>
      </c>
      <c r="F3049" s="2">
        <v>5461765.4400000004</v>
      </c>
    </row>
    <row r="3050" spans="1:6" x14ac:dyDescent="0.25">
      <c r="A3050" s="1">
        <v>45017</v>
      </c>
      <c r="B3050" t="s">
        <v>96</v>
      </c>
      <c r="C3050" t="s">
        <v>320</v>
      </c>
      <c r="D3050">
        <v>0</v>
      </c>
      <c r="E3050">
        <v>0</v>
      </c>
      <c r="F3050">
        <v>0</v>
      </c>
    </row>
    <row r="3051" spans="1:6" x14ac:dyDescent="0.25">
      <c r="A3051" s="1">
        <v>45017</v>
      </c>
      <c r="B3051" t="s">
        <v>21</v>
      </c>
      <c r="C3051" t="s">
        <v>276</v>
      </c>
      <c r="D3051" s="2">
        <v>7210305.9900000002</v>
      </c>
      <c r="E3051">
        <v>0</v>
      </c>
      <c r="F3051">
        <v>0</v>
      </c>
    </row>
    <row r="3052" spans="1:6" x14ac:dyDescent="0.25">
      <c r="A3052" s="1">
        <v>45017</v>
      </c>
      <c r="B3052" t="s">
        <v>118</v>
      </c>
      <c r="C3052" t="s">
        <v>486</v>
      </c>
      <c r="D3052">
        <v>0</v>
      </c>
      <c r="E3052">
        <v>0</v>
      </c>
      <c r="F3052">
        <v>0</v>
      </c>
    </row>
    <row r="3053" spans="1:6" x14ac:dyDescent="0.25">
      <c r="A3053" s="1">
        <v>45017</v>
      </c>
      <c r="B3053" t="s">
        <v>37</v>
      </c>
      <c r="C3053" t="s">
        <v>319</v>
      </c>
      <c r="D3053">
        <v>0</v>
      </c>
      <c r="E3053">
        <v>0</v>
      </c>
      <c r="F3053">
        <v>0</v>
      </c>
    </row>
    <row r="3054" spans="1:6" x14ac:dyDescent="0.25">
      <c r="A3054" s="1">
        <v>45017</v>
      </c>
      <c r="B3054" t="s">
        <v>196</v>
      </c>
      <c r="C3054" t="s">
        <v>638</v>
      </c>
      <c r="D3054">
        <v>0</v>
      </c>
      <c r="E3054">
        <v>0</v>
      </c>
      <c r="F3054">
        <v>0</v>
      </c>
    </row>
    <row r="3055" spans="1:6" x14ac:dyDescent="0.25">
      <c r="A3055" s="1">
        <v>45017</v>
      </c>
      <c r="B3055" t="s">
        <v>42</v>
      </c>
      <c r="C3055" t="s">
        <v>952</v>
      </c>
      <c r="D3055" s="2">
        <v>42630983.450000003</v>
      </c>
      <c r="E3055" s="2">
        <v>6984901.4500000002</v>
      </c>
      <c r="F3055" s="2">
        <v>6984901.4500000002</v>
      </c>
    </row>
    <row r="3056" spans="1:6" x14ac:dyDescent="0.25">
      <c r="A3056" s="1">
        <v>45017</v>
      </c>
      <c r="B3056" t="s">
        <v>63</v>
      </c>
      <c r="C3056" t="s">
        <v>483</v>
      </c>
      <c r="D3056" s="2">
        <v>28485329</v>
      </c>
      <c r="E3056">
        <v>0</v>
      </c>
      <c r="F3056" s="2">
        <v>437852.31</v>
      </c>
    </row>
    <row r="3057" spans="1:6" x14ac:dyDescent="0.25">
      <c r="A3057" s="1">
        <v>45017</v>
      </c>
      <c r="B3057" t="s">
        <v>53</v>
      </c>
      <c r="C3057" t="s">
        <v>84</v>
      </c>
      <c r="D3057" s="2">
        <v>1760085554.73</v>
      </c>
      <c r="E3057" s="2">
        <v>1760085554.73</v>
      </c>
      <c r="F3057" s="2">
        <v>1760085554.73</v>
      </c>
    </row>
    <row r="3058" spans="1:6" x14ac:dyDescent="0.25">
      <c r="A3058" s="1">
        <v>45017</v>
      </c>
      <c r="B3058" t="s">
        <v>37</v>
      </c>
      <c r="C3058" t="s">
        <v>540</v>
      </c>
      <c r="D3058">
        <v>0</v>
      </c>
      <c r="E3058" s="2">
        <v>2000000</v>
      </c>
      <c r="F3058" s="2">
        <v>2000000</v>
      </c>
    </row>
    <row r="3059" spans="1:6" x14ac:dyDescent="0.25">
      <c r="A3059" s="1">
        <v>45017</v>
      </c>
      <c r="B3059" t="s">
        <v>398</v>
      </c>
      <c r="C3059" t="s">
        <v>564</v>
      </c>
      <c r="D3059">
        <v>0</v>
      </c>
      <c r="E3059">
        <v>0</v>
      </c>
      <c r="F3059">
        <v>0</v>
      </c>
    </row>
    <row r="3060" spans="1:6" x14ac:dyDescent="0.25">
      <c r="A3060" s="1">
        <v>45017</v>
      </c>
      <c r="B3060" t="s">
        <v>48</v>
      </c>
      <c r="C3060" t="s">
        <v>1179</v>
      </c>
      <c r="D3060" s="2">
        <v>1082991</v>
      </c>
      <c r="E3060" s="2">
        <v>1082991</v>
      </c>
      <c r="F3060" s="2">
        <v>1082991</v>
      </c>
    </row>
    <row r="3061" spans="1:6" x14ac:dyDescent="0.25">
      <c r="A3061" s="1">
        <v>45017</v>
      </c>
      <c r="B3061" t="s">
        <v>11</v>
      </c>
      <c r="C3061" t="s">
        <v>471</v>
      </c>
      <c r="D3061" s="2">
        <v>9706402.9199999999</v>
      </c>
      <c r="E3061" s="2">
        <v>31838836.399999999</v>
      </c>
      <c r="F3061" s="2">
        <v>28320354.969999999</v>
      </c>
    </row>
    <row r="3062" spans="1:6" x14ac:dyDescent="0.25">
      <c r="A3062" s="1">
        <v>45017</v>
      </c>
      <c r="B3062" t="s">
        <v>225</v>
      </c>
      <c r="C3062" t="s">
        <v>226</v>
      </c>
      <c r="D3062">
        <v>0</v>
      </c>
      <c r="E3062">
        <v>0</v>
      </c>
      <c r="F3062">
        <v>0</v>
      </c>
    </row>
    <row r="3063" spans="1:6" x14ac:dyDescent="0.25">
      <c r="A3063" s="1">
        <v>45017</v>
      </c>
      <c r="B3063" t="s">
        <v>9</v>
      </c>
      <c r="C3063" t="s">
        <v>636</v>
      </c>
      <c r="D3063">
        <v>0</v>
      </c>
      <c r="E3063">
        <v>0</v>
      </c>
      <c r="F3063">
        <v>0</v>
      </c>
    </row>
    <row r="3064" spans="1:6" x14ac:dyDescent="0.25">
      <c r="A3064" s="1">
        <v>45017</v>
      </c>
      <c r="B3064" t="s">
        <v>17</v>
      </c>
      <c r="C3064" t="s">
        <v>930</v>
      </c>
      <c r="D3064">
        <v>0</v>
      </c>
      <c r="E3064" s="2">
        <v>540376.61</v>
      </c>
      <c r="F3064">
        <v>0</v>
      </c>
    </row>
    <row r="3065" spans="1:6" x14ac:dyDescent="0.25">
      <c r="A3065" s="1">
        <v>45017</v>
      </c>
      <c r="B3065" t="s">
        <v>27</v>
      </c>
      <c r="C3065" t="s">
        <v>280</v>
      </c>
      <c r="D3065">
        <v>0</v>
      </c>
      <c r="E3065">
        <v>0</v>
      </c>
      <c r="F3065">
        <v>0</v>
      </c>
    </row>
    <row r="3066" spans="1:6" x14ac:dyDescent="0.25">
      <c r="A3066" s="1">
        <v>45017</v>
      </c>
      <c r="B3066" t="s">
        <v>40</v>
      </c>
      <c r="C3066" t="s">
        <v>531</v>
      </c>
      <c r="D3066">
        <v>0</v>
      </c>
      <c r="E3066">
        <v>0</v>
      </c>
      <c r="F3066">
        <v>0</v>
      </c>
    </row>
    <row r="3067" spans="1:6" x14ac:dyDescent="0.25">
      <c r="A3067" s="1">
        <v>45017</v>
      </c>
      <c r="B3067" t="s">
        <v>21</v>
      </c>
      <c r="C3067" t="s">
        <v>123</v>
      </c>
      <c r="D3067" s="2">
        <v>1706723.57</v>
      </c>
      <c r="E3067" s="2">
        <v>12574088.08</v>
      </c>
      <c r="F3067" s="2">
        <v>12669148.800000001</v>
      </c>
    </row>
    <row r="3068" spans="1:6" x14ac:dyDescent="0.25">
      <c r="A3068" s="1">
        <v>45017</v>
      </c>
      <c r="B3068" t="s">
        <v>105</v>
      </c>
      <c r="C3068" t="s">
        <v>1109</v>
      </c>
      <c r="D3068">
        <v>0</v>
      </c>
      <c r="E3068">
        <v>0</v>
      </c>
      <c r="F3068">
        <v>0</v>
      </c>
    </row>
    <row r="3069" spans="1:6" x14ac:dyDescent="0.25">
      <c r="A3069" s="1">
        <v>45017</v>
      </c>
      <c r="B3069" t="s">
        <v>306</v>
      </c>
      <c r="C3069" t="s">
        <v>307</v>
      </c>
      <c r="D3069" s="2">
        <v>25174280.420000002</v>
      </c>
      <c r="E3069" s="2">
        <v>2006181.75</v>
      </c>
      <c r="F3069" s="2">
        <v>2171203.17</v>
      </c>
    </row>
    <row r="3070" spans="1:6" x14ac:dyDescent="0.25">
      <c r="A3070" s="1">
        <v>45017</v>
      </c>
      <c r="B3070" t="s">
        <v>98</v>
      </c>
      <c r="C3070" t="s">
        <v>627</v>
      </c>
      <c r="D3070">
        <v>0</v>
      </c>
      <c r="E3070">
        <v>0</v>
      </c>
      <c r="F3070">
        <v>0</v>
      </c>
    </row>
    <row r="3071" spans="1:6" x14ac:dyDescent="0.25">
      <c r="A3071" s="1">
        <v>45017</v>
      </c>
      <c r="B3071" t="s">
        <v>196</v>
      </c>
      <c r="C3071" t="s">
        <v>880</v>
      </c>
      <c r="D3071">
        <v>0</v>
      </c>
      <c r="E3071">
        <v>0</v>
      </c>
      <c r="F3071">
        <v>0</v>
      </c>
    </row>
    <row r="3072" spans="1:6" x14ac:dyDescent="0.25">
      <c r="A3072" s="1">
        <v>45017</v>
      </c>
      <c r="B3072" t="s">
        <v>23</v>
      </c>
      <c r="C3072" t="s">
        <v>24</v>
      </c>
      <c r="D3072">
        <v>0</v>
      </c>
      <c r="E3072">
        <v>0</v>
      </c>
      <c r="F3072">
        <v>0</v>
      </c>
    </row>
    <row r="3073" spans="1:6" x14ac:dyDescent="0.25">
      <c r="A3073" s="1">
        <v>45017</v>
      </c>
      <c r="B3073" t="s">
        <v>132</v>
      </c>
      <c r="C3073" t="s">
        <v>956</v>
      </c>
      <c r="D3073">
        <v>0</v>
      </c>
      <c r="E3073">
        <v>0</v>
      </c>
      <c r="F3073">
        <v>0</v>
      </c>
    </row>
    <row r="3074" spans="1:6" x14ac:dyDescent="0.25">
      <c r="A3074" s="1">
        <v>45017</v>
      </c>
      <c r="B3074" t="s">
        <v>29</v>
      </c>
      <c r="C3074" t="s">
        <v>717</v>
      </c>
      <c r="D3074" s="2">
        <v>334957.73</v>
      </c>
      <c r="E3074" s="2">
        <v>-8826466.8499999996</v>
      </c>
      <c r="F3074" s="2">
        <v>169830664.16999999</v>
      </c>
    </row>
    <row r="3075" spans="1:6" x14ac:dyDescent="0.25">
      <c r="A3075" s="1">
        <v>45017</v>
      </c>
      <c r="B3075" t="s">
        <v>68</v>
      </c>
      <c r="C3075" t="s">
        <v>137</v>
      </c>
      <c r="D3075" s="2">
        <v>19909329.190000001</v>
      </c>
      <c r="E3075" s="2">
        <v>10353477.439999999</v>
      </c>
      <c r="F3075" s="2">
        <v>7246704.0499999998</v>
      </c>
    </row>
    <row r="3076" spans="1:6" x14ac:dyDescent="0.25">
      <c r="A3076" s="1">
        <v>45017</v>
      </c>
      <c r="B3076" t="s">
        <v>35</v>
      </c>
      <c r="C3076" t="s">
        <v>560</v>
      </c>
      <c r="D3076" s="2">
        <v>14617367.33</v>
      </c>
      <c r="E3076" s="2">
        <v>1180756.57</v>
      </c>
      <c r="F3076" s="2">
        <v>1180195.6000000001</v>
      </c>
    </row>
    <row r="3077" spans="1:6" x14ac:dyDescent="0.25">
      <c r="A3077" s="1">
        <v>45017</v>
      </c>
      <c r="B3077" t="s">
        <v>159</v>
      </c>
      <c r="C3077" t="s">
        <v>525</v>
      </c>
      <c r="D3077" s="2">
        <v>488419</v>
      </c>
      <c r="E3077" s="2">
        <v>25933.64</v>
      </c>
      <c r="F3077" s="2">
        <v>24849.75</v>
      </c>
    </row>
    <row r="3078" spans="1:6" x14ac:dyDescent="0.25">
      <c r="A3078" s="1">
        <v>45017</v>
      </c>
      <c r="B3078" t="s">
        <v>40</v>
      </c>
      <c r="C3078" t="s">
        <v>616</v>
      </c>
      <c r="D3078" s="2">
        <v>3989292.69</v>
      </c>
      <c r="E3078" s="2">
        <v>75630636.989999995</v>
      </c>
      <c r="F3078" s="2">
        <v>70228572.780000001</v>
      </c>
    </row>
    <row r="3079" spans="1:6" x14ac:dyDescent="0.25">
      <c r="A3079" s="1">
        <v>45017</v>
      </c>
      <c r="B3079" t="s">
        <v>309</v>
      </c>
      <c r="C3079" t="s">
        <v>1109</v>
      </c>
      <c r="D3079">
        <v>0</v>
      </c>
      <c r="E3079">
        <v>0</v>
      </c>
      <c r="F3079">
        <v>0</v>
      </c>
    </row>
    <row r="3080" spans="1:6" x14ac:dyDescent="0.25">
      <c r="A3080" s="1">
        <v>45017</v>
      </c>
      <c r="B3080" t="s">
        <v>13</v>
      </c>
      <c r="C3080" t="s">
        <v>266</v>
      </c>
      <c r="D3080" s="2">
        <v>-12319.77</v>
      </c>
      <c r="E3080" s="2">
        <v>2684733.18</v>
      </c>
      <c r="F3080" s="2">
        <v>2682680.5099999998</v>
      </c>
    </row>
    <row r="3081" spans="1:6" x14ac:dyDescent="0.25">
      <c r="A3081" s="1">
        <v>45017</v>
      </c>
      <c r="B3081" t="s">
        <v>21</v>
      </c>
      <c r="C3081" t="s">
        <v>191</v>
      </c>
      <c r="D3081">
        <v>0</v>
      </c>
      <c r="E3081" s="2">
        <v>1539316.63</v>
      </c>
      <c r="F3081" s="2">
        <v>1083780.22</v>
      </c>
    </row>
    <row r="3082" spans="1:6" x14ac:dyDescent="0.25">
      <c r="A3082" s="1">
        <v>45017</v>
      </c>
      <c r="B3082" t="s">
        <v>21</v>
      </c>
      <c r="C3082" t="s">
        <v>1105</v>
      </c>
      <c r="D3082" s="2">
        <v>1020000</v>
      </c>
      <c r="E3082">
        <v>0</v>
      </c>
      <c r="F3082">
        <v>0</v>
      </c>
    </row>
    <row r="3083" spans="1:6" x14ac:dyDescent="0.25">
      <c r="A3083" s="1">
        <v>45017</v>
      </c>
      <c r="B3083" t="s">
        <v>648</v>
      </c>
      <c r="C3083" t="s">
        <v>649</v>
      </c>
      <c r="D3083" s="2">
        <v>4081309.4</v>
      </c>
      <c r="E3083" s="2">
        <v>1217571.22</v>
      </c>
      <c r="F3083" s="2">
        <v>1147536.55</v>
      </c>
    </row>
    <row r="3084" spans="1:6" x14ac:dyDescent="0.25">
      <c r="A3084" s="1">
        <v>45017</v>
      </c>
      <c r="B3084" t="s">
        <v>21</v>
      </c>
      <c r="C3084" t="s">
        <v>516</v>
      </c>
      <c r="D3084">
        <v>0</v>
      </c>
      <c r="E3084">
        <v>0</v>
      </c>
      <c r="F3084">
        <v>0</v>
      </c>
    </row>
    <row r="3085" spans="1:6" x14ac:dyDescent="0.25">
      <c r="A3085" s="1">
        <v>45017</v>
      </c>
      <c r="B3085" t="s">
        <v>21</v>
      </c>
      <c r="C3085" t="s">
        <v>720</v>
      </c>
      <c r="D3085">
        <v>0</v>
      </c>
      <c r="E3085" s="2">
        <v>43997.34</v>
      </c>
      <c r="F3085" s="2">
        <v>43997.34</v>
      </c>
    </row>
    <row r="3086" spans="1:6" x14ac:dyDescent="0.25">
      <c r="A3086" s="1">
        <v>45017</v>
      </c>
      <c r="B3086" t="s">
        <v>50</v>
      </c>
      <c r="C3086" t="s">
        <v>372</v>
      </c>
      <c r="D3086" s="2">
        <v>700000</v>
      </c>
      <c r="E3086">
        <v>0</v>
      </c>
      <c r="F3086">
        <v>0</v>
      </c>
    </row>
    <row r="3087" spans="1:6" x14ac:dyDescent="0.25">
      <c r="A3087" s="1">
        <v>45017</v>
      </c>
      <c r="B3087" t="s">
        <v>992</v>
      </c>
      <c r="C3087" t="s">
        <v>1180</v>
      </c>
      <c r="D3087">
        <v>0</v>
      </c>
      <c r="E3087">
        <v>0</v>
      </c>
      <c r="F3087">
        <v>0</v>
      </c>
    </row>
    <row r="3088" spans="1:6" x14ac:dyDescent="0.25">
      <c r="A3088" s="1">
        <v>45017</v>
      </c>
      <c r="B3088" t="s">
        <v>199</v>
      </c>
      <c r="C3088" t="s">
        <v>200</v>
      </c>
      <c r="D3088">
        <v>0</v>
      </c>
      <c r="E3088" s="2">
        <v>4663.45</v>
      </c>
      <c r="F3088" s="2">
        <v>4663.45</v>
      </c>
    </row>
    <row r="3089" spans="1:6" x14ac:dyDescent="0.25">
      <c r="A3089" s="1">
        <v>45017</v>
      </c>
      <c r="B3089" t="s">
        <v>15</v>
      </c>
      <c r="C3089" t="s">
        <v>16</v>
      </c>
      <c r="D3089" s="2">
        <v>265549.63</v>
      </c>
      <c r="E3089" s="2">
        <v>164641</v>
      </c>
      <c r="F3089" s="2">
        <v>355637.65</v>
      </c>
    </row>
    <row r="3090" spans="1:6" x14ac:dyDescent="0.25">
      <c r="A3090" s="1">
        <v>45017</v>
      </c>
      <c r="B3090" t="s">
        <v>21</v>
      </c>
      <c r="C3090" t="s">
        <v>634</v>
      </c>
      <c r="D3090" s="2">
        <v>4901902.57</v>
      </c>
      <c r="E3090">
        <v>0</v>
      </c>
      <c r="F3090">
        <v>0</v>
      </c>
    </row>
    <row r="3091" spans="1:6" x14ac:dyDescent="0.25">
      <c r="A3091" s="1">
        <v>45017</v>
      </c>
      <c r="B3091" t="s">
        <v>46</v>
      </c>
      <c r="C3091" t="s">
        <v>592</v>
      </c>
      <c r="D3091" s="2">
        <v>6820711.1600000001</v>
      </c>
      <c r="E3091" s="2">
        <v>6798776.8499999996</v>
      </c>
      <c r="F3091" s="2">
        <v>6806236.9299999997</v>
      </c>
    </row>
    <row r="3092" spans="1:6" x14ac:dyDescent="0.25">
      <c r="A3092" s="1">
        <v>45017</v>
      </c>
      <c r="B3092" t="s">
        <v>29</v>
      </c>
      <c r="C3092" t="s">
        <v>292</v>
      </c>
      <c r="D3092" s="2">
        <v>384769.07</v>
      </c>
      <c r="E3092" s="2">
        <v>1033771.07</v>
      </c>
      <c r="F3092" s="2">
        <v>3266421.07</v>
      </c>
    </row>
    <row r="3093" spans="1:6" x14ac:dyDescent="0.25">
      <c r="A3093" s="1">
        <v>45017</v>
      </c>
      <c r="B3093" t="s">
        <v>679</v>
      </c>
      <c r="C3093" t="s">
        <v>95</v>
      </c>
      <c r="D3093">
        <v>0</v>
      </c>
      <c r="E3093">
        <v>0</v>
      </c>
      <c r="F3093">
        <v>0</v>
      </c>
    </row>
    <row r="3094" spans="1:6" x14ac:dyDescent="0.25">
      <c r="A3094" s="1">
        <v>45017</v>
      </c>
      <c r="B3094" t="s">
        <v>23</v>
      </c>
      <c r="C3094" t="s">
        <v>347</v>
      </c>
      <c r="D3094" s="2">
        <v>207332584.06999999</v>
      </c>
      <c r="E3094" s="2">
        <v>6675.1</v>
      </c>
      <c r="F3094" s="2">
        <v>6675.1</v>
      </c>
    </row>
    <row r="3095" spans="1:6" x14ac:dyDescent="0.25">
      <c r="A3095" s="1">
        <v>45017</v>
      </c>
      <c r="B3095" t="s">
        <v>23</v>
      </c>
      <c r="C3095" t="s">
        <v>157</v>
      </c>
      <c r="D3095" s="2">
        <v>1598.64</v>
      </c>
      <c r="E3095" s="2">
        <v>93150.2</v>
      </c>
      <c r="F3095" s="2">
        <v>92438.57</v>
      </c>
    </row>
    <row r="3096" spans="1:6" x14ac:dyDescent="0.25">
      <c r="A3096" s="1">
        <v>45017</v>
      </c>
      <c r="B3096" t="s">
        <v>691</v>
      </c>
      <c r="C3096" t="s">
        <v>692</v>
      </c>
      <c r="D3096">
        <v>0</v>
      </c>
      <c r="E3096">
        <v>0</v>
      </c>
      <c r="F3096">
        <v>0</v>
      </c>
    </row>
    <row r="3097" spans="1:6" x14ac:dyDescent="0.25">
      <c r="A3097" s="1">
        <v>45017</v>
      </c>
      <c r="B3097" t="s">
        <v>63</v>
      </c>
      <c r="C3097" t="s">
        <v>944</v>
      </c>
      <c r="D3097">
        <v>0</v>
      </c>
      <c r="E3097">
        <v>0</v>
      </c>
      <c r="F3097">
        <v>0</v>
      </c>
    </row>
    <row r="3098" spans="1:6" x14ac:dyDescent="0.25">
      <c r="A3098" s="1">
        <v>45017</v>
      </c>
      <c r="B3098" t="s">
        <v>37</v>
      </c>
      <c r="C3098" t="s">
        <v>349</v>
      </c>
      <c r="D3098">
        <v>0</v>
      </c>
      <c r="E3098" s="2">
        <v>1883648.46</v>
      </c>
      <c r="F3098" s="2">
        <v>1883648.46</v>
      </c>
    </row>
    <row r="3099" spans="1:6" x14ac:dyDescent="0.25">
      <c r="A3099" s="1">
        <v>45017</v>
      </c>
      <c r="B3099" t="s">
        <v>107</v>
      </c>
      <c r="C3099" t="s">
        <v>687</v>
      </c>
      <c r="D3099" s="2">
        <v>100276.62</v>
      </c>
      <c r="E3099" s="2">
        <v>77890.95</v>
      </c>
      <c r="F3099" s="2">
        <v>21883.39</v>
      </c>
    </row>
    <row r="3100" spans="1:6" x14ac:dyDescent="0.25">
      <c r="A3100" s="1">
        <v>45017</v>
      </c>
      <c r="B3100" t="s">
        <v>23</v>
      </c>
      <c r="C3100" t="s">
        <v>988</v>
      </c>
      <c r="D3100" s="2">
        <v>4174999.98</v>
      </c>
      <c r="E3100">
        <v>0</v>
      </c>
      <c r="F3100">
        <v>0</v>
      </c>
    </row>
    <row r="3101" spans="1:6" x14ac:dyDescent="0.25">
      <c r="A3101" s="1">
        <v>45017</v>
      </c>
      <c r="B3101" t="s">
        <v>196</v>
      </c>
      <c r="C3101" t="s">
        <v>993</v>
      </c>
      <c r="D3101">
        <v>0</v>
      </c>
      <c r="E3101">
        <v>0</v>
      </c>
      <c r="F3101">
        <v>0</v>
      </c>
    </row>
    <row r="3102" spans="1:6" x14ac:dyDescent="0.25">
      <c r="A3102" s="1">
        <v>45017</v>
      </c>
      <c r="B3102" t="s">
        <v>21</v>
      </c>
      <c r="C3102" t="s">
        <v>1006</v>
      </c>
      <c r="D3102">
        <v>0</v>
      </c>
      <c r="E3102">
        <v>0</v>
      </c>
      <c r="F3102">
        <v>0</v>
      </c>
    </row>
    <row r="3103" spans="1:6" x14ac:dyDescent="0.25">
      <c r="A3103" s="1">
        <v>45017</v>
      </c>
      <c r="B3103" t="s">
        <v>17</v>
      </c>
      <c r="C3103" t="s">
        <v>256</v>
      </c>
      <c r="D3103" s="2">
        <v>2383297.35</v>
      </c>
      <c r="E3103" s="2">
        <v>2747862.95</v>
      </c>
      <c r="F3103" s="2">
        <v>128050.15</v>
      </c>
    </row>
    <row r="3104" spans="1:6" x14ac:dyDescent="0.25">
      <c r="A3104" s="1">
        <v>45017</v>
      </c>
      <c r="B3104" t="s">
        <v>458</v>
      </c>
      <c r="C3104" t="s">
        <v>260</v>
      </c>
      <c r="D3104">
        <v>0</v>
      </c>
      <c r="E3104">
        <v>0</v>
      </c>
      <c r="F3104">
        <v>0</v>
      </c>
    </row>
    <row r="3105" spans="1:6" x14ac:dyDescent="0.25">
      <c r="A3105" s="1">
        <v>45017</v>
      </c>
      <c r="B3105" t="s">
        <v>726</v>
      </c>
      <c r="C3105" t="s">
        <v>918</v>
      </c>
      <c r="D3105" s="2">
        <v>108765.04</v>
      </c>
      <c r="E3105" s="2">
        <v>24178.87</v>
      </c>
      <c r="F3105" s="2">
        <v>29357.61</v>
      </c>
    </row>
    <row r="3106" spans="1:6" x14ac:dyDescent="0.25">
      <c r="A3106" s="1">
        <v>45017</v>
      </c>
      <c r="B3106" t="s">
        <v>107</v>
      </c>
      <c r="C3106" t="s">
        <v>505</v>
      </c>
      <c r="D3106" s="2">
        <v>729272.2</v>
      </c>
      <c r="E3106" s="2">
        <v>824319.32</v>
      </c>
      <c r="F3106" s="2">
        <v>824319.32</v>
      </c>
    </row>
    <row r="3107" spans="1:6" x14ac:dyDescent="0.25">
      <c r="A3107" s="1">
        <v>45017</v>
      </c>
      <c r="B3107" t="s">
        <v>196</v>
      </c>
      <c r="C3107" t="s">
        <v>612</v>
      </c>
      <c r="D3107">
        <v>0</v>
      </c>
      <c r="E3107">
        <v>0</v>
      </c>
      <c r="F3107">
        <v>0</v>
      </c>
    </row>
    <row r="3108" spans="1:6" x14ac:dyDescent="0.25">
      <c r="A3108" s="1">
        <v>45017</v>
      </c>
      <c r="B3108" t="s">
        <v>426</v>
      </c>
      <c r="C3108" t="s">
        <v>427</v>
      </c>
      <c r="D3108" s="2">
        <v>50600000000</v>
      </c>
      <c r="E3108" s="2">
        <v>46435676838.559998</v>
      </c>
      <c r="F3108" s="2">
        <v>46435676838.559998</v>
      </c>
    </row>
    <row r="3109" spans="1:6" x14ac:dyDescent="0.25">
      <c r="A3109" s="1">
        <v>45017</v>
      </c>
      <c r="B3109" t="s">
        <v>50</v>
      </c>
      <c r="C3109" t="s">
        <v>1086</v>
      </c>
      <c r="D3109">
        <v>0</v>
      </c>
      <c r="E3109" s="2">
        <v>50000000</v>
      </c>
      <c r="F3109" s="2">
        <v>50000000</v>
      </c>
    </row>
    <row r="3110" spans="1:6" x14ac:dyDescent="0.25">
      <c r="A3110" s="1">
        <v>45017</v>
      </c>
      <c r="B3110" t="s">
        <v>11</v>
      </c>
      <c r="C3110" t="s">
        <v>744</v>
      </c>
      <c r="D3110" s="2">
        <v>56940429.549999997</v>
      </c>
      <c r="E3110" s="2">
        <v>56940779.390000001</v>
      </c>
      <c r="F3110" s="2">
        <v>57150346.340000004</v>
      </c>
    </row>
    <row r="3111" spans="1:6" x14ac:dyDescent="0.25">
      <c r="A3111" s="1">
        <v>45017</v>
      </c>
      <c r="B3111" t="s">
        <v>21</v>
      </c>
      <c r="C3111" t="s">
        <v>963</v>
      </c>
      <c r="D3111" s="2">
        <v>5517811.9400000004</v>
      </c>
      <c r="E3111">
        <v>0</v>
      </c>
      <c r="F3111">
        <v>0</v>
      </c>
    </row>
    <row r="3112" spans="1:6" x14ac:dyDescent="0.25">
      <c r="A3112" s="1">
        <v>45017</v>
      </c>
      <c r="B3112" t="s">
        <v>120</v>
      </c>
      <c r="C3112" t="s">
        <v>121</v>
      </c>
      <c r="D3112" s="2">
        <v>30456.25</v>
      </c>
      <c r="E3112">
        <v>102.4</v>
      </c>
      <c r="F3112">
        <v>102.4</v>
      </c>
    </row>
    <row r="3113" spans="1:6" x14ac:dyDescent="0.25">
      <c r="A3113" s="1">
        <v>45017</v>
      </c>
      <c r="B3113" t="s">
        <v>11</v>
      </c>
      <c r="C3113" t="s">
        <v>778</v>
      </c>
      <c r="D3113" s="2">
        <v>86146457</v>
      </c>
      <c r="E3113" s="2">
        <v>85930425.670000002</v>
      </c>
      <c r="F3113" s="2">
        <v>85564577.670000002</v>
      </c>
    </row>
    <row r="3114" spans="1:6" x14ac:dyDescent="0.25">
      <c r="A3114" s="1">
        <v>45017</v>
      </c>
      <c r="B3114" t="s">
        <v>40</v>
      </c>
      <c r="C3114" t="s">
        <v>803</v>
      </c>
      <c r="D3114" s="2">
        <v>3611.84</v>
      </c>
      <c r="E3114" s="2">
        <v>342627.57</v>
      </c>
      <c r="F3114" s="2">
        <v>294703.77</v>
      </c>
    </row>
    <row r="3115" spans="1:6" x14ac:dyDescent="0.25">
      <c r="A3115" s="1">
        <v>45017</v>
      </c>
      <c r="B3115" t="s">
        <v>402</v>
      </c>
      <c r="C3115" t="s">
        <v>578</v>
      </c>
      <c r="D3115">
        <v>0</v>
      </c>
      <c r="E3115">
        <v>0</v>
      </c>
      <c r="F3115">
        <v>0</v>
      </c>
    </row>
    <row r="3116" spans="1:6" x14ac:dyDescent="0.25">
      <c r="A3116" s="1">
        <v>45017</v>
      </c>
      <c r="B3116" t="s">
        <v>17</v>
      </c>
      <c r="C3116" t="s">
        <v>377</v>
      </c>
      <c r="D3116" s="2">
        <v>5699.84</v>
      </c>
      <c r="E3116" s="2">
        <v>6706024.4000000004</v>
      </c>
      <c r="F3116" s="2">
        <v>16378889.220000001</v>
      </c>
    </row>
    <row r="3117" spans="1:6" x14ac:dyDescent="0.25">
      <c r="A3117" s="1">
        <v>45017</v>
      </c>
      <c r="B3117" t="s">
        <v>107</v>
      </c>
      <c r="C3117" t="s">
        <v>982</v>
      </c>
      <c r="D3117">
        <v>0</v>
      </c>
      <c r="E3117">
        <v>0</v>
      </c>
      <c r="F3117">
        <v>0</v>
      </c>
    </row>
    <row r="3118" spans="1:6" x14ac:dyDescent="0.25">
      <c r="A3118" s="1">
        <v>45017</v>
      </c>
      <c r="B3118" t="s">
        <v>11</v>
      </c>
      <c r="C3118" t="s">
        <v>321</v>
      </c>
      <c r="D3118">
        <v>0</v>
      </c>
      <c r="E3118" s="2">
        <v>1410723363.0699999</v>
      </c>
      <c r="F3118" s="2">
        <v>1410723363.0699999</v>
      </c>
    </row>
    <row r="3119" spans="1:6" x14ac:dyDescent="0.25">
      <c r="A3119" s="1">
        <v>45017</v>
      </c>
      <c r="B3119" t="s">
        <v>11</v>
      </c>
      <c r="C3119" t="s">
        <v>566</v>
      </c>
      <c r="D3119" s="2">
        <v>257240172.18000001</v>
      </c>
      <c r="E3119" s="2">
        <v>245319840.53999999</v>
      </c>
      <c r="F3119" s="2">
        <v>250559525.05000001</v>
      </c>
    </row>
    <row r="3120" spans="1:6" x14ac:dyDescent="0.25">
      <c r="A3120" s="1">
        <v>45017</v>
      </c>
      <c r="B3120" t="s">
        <v>282</v>
      </c>
      <c r="C3120" t="s">
        <v>283</v>
      </c>
      <c r="D3120">
        <v>0</v>
      </c>
      <c r="E3120">
        <v>0</v>
      </c>
      <c r="F3120">
        <v>0</v>
      </c>
    </row>
    <row r="3121" spans="1:6" x14ac:dyDescent="0.25">
      <c r="A3121" s="1">
        <v>45017</v>
      </c>
      <c r="B3121" t="s">
        <v>48</v>
      </c>
      <c r="C3121" t="s">
        <v>1149</v>
      </c>
      <c r="D3121" s="2">
        <v>300000</v>
      </c>
      <c r="E3121" s="2">
        <v>52621.98</v>
      </c>
      <c r="F3121" s="2">
        <v>52621.98</v>
      </c>
    </row>
    <row r="3122" spans="1:6" x14ac:dyDescent="0.25">
      <c r="A3122" s="1">
        <v>45017</v>
      </c>
      <c r="B3122" t="s">
        <v>127</v>
      </c>
      <c r="C3122" t="s">
        <v>171</v>
      </c>
      <c r="D3122" s="2">
        <v>229855.35</v>
      </c>
      <c r="E3122" s="2">
        <v>42680.42</v>
      </c>
      <c r="F3122" s="2">
        <v>42680.42</v>
      </c>
    </row>
    <row r="3123" spans="1:6" x14ac:dyDescent="0.25">
      <c r="A3123" s="1">
        <v>45017</v>
      </c>
      <c r="B3123" t="s">
        <v>19</v>
      </c>
      <c r="C3123" t="s">
        <v>168</v>
      </c>
      <c r="D3123" s="2">
        <v>23078792.59</v>
      </c>
      <c r="E3123" s="2">
        <v>3353538.52</v>
      </c>
      <c r="F3123" s="2">
        <v>2058159.29</v>
      </c>
    </row>
    <row r="3124" spans="1:6" x14ac:dyDescent="0.25">
      <c r="A3124" s="1">
        <v>45017</v>
      </c>
      <c r="B3124" t="s">
        <v>105</v>
      </c>
      <c r="C3124" t="s">
        <v>393</v>
      </c>
      <c r="D3124">
        <v>0</v>
      </c>
      <c r="E3124">
        <v>0</v>
      </c>
      <c r="F3124">
        <v>0</v>
      </c>
    </row>
    <row r="3125" spans="1:6" x14ac:dyDescent="0.25">
      <c r="A3125" s="1">
        <v>45017</v>
      </c>
      <c r="B3125" t="s">
        <v>234</v>
      </c>
      <c r="C3125" t="s">
        <v>284</v>
      </c>
      <c r="D3125" s="2">
        <v>4706621019</v>
      </c>
      <c r="E3125" s="2">
        <v>4706621019</v>
      </c>
      <c r="F3125" s="2">
        <v>4706621019</v>
      </c>
    </row>
    <row r="3126" spans="1:6" x14ac:dyDescent="0.25">
      <c r="A3126" s="1">
        <v>45017</v>
      </c>
      <c r="B3126" t="s">
        <v>11</v>
      </c>
      <c r="C3126" t="s">
        <v>484</v>
      </c>
      <c r="D3126">
        <v>0</v>
      </c>
      <c r="E3126" s="2">
        <v>4968712.13</v>
      </c>
      <c r="F3126" s="2">
        <v>4968712.13</v>
      </c>
    </row>
    <row r="3127" spans="1:6" x14ac:dyDescent="0.25">
      <c r="A3127" s="1">
        <v>45017</v>
      </c>
      <c r="B3127" t="s">
        <v>206</v>
      </c>
      <c r="C3127" t="s">
        <v>207</v>
      </c>
      <c r="D3127">
        <v>0</v>
      </c>
      <c r="E3127" s="2">
        <v>46866.59</v>
      </c>
      <c r="F3127" s="2">
        <v>46866.59</v>
      </c>
    </row>
    <row r="3128" spans="1:6" x14ac:dyDescent="0.25">
      <c r="A3128" s="1">
        <v>45017</v>
      </c>
      <c r="B3128" t="s">
        <v>27</v>
      </c>
      <c r="C3128" t="s">
        <v>983</v>
      </c>
      <c r="D3128">
        <v>0</v>
      </c>
      <c r="E3128">
        <v>0</v>
      </c>
      <c r="F3128">
        <v>0</v>
      </c>
    </row>
    <row r="3129" spans="1:6" x14ac:dyDescent="0.25">
      <c r="A3129" s="1">
        <v>45017</v>
      </c>
      <c r="B3129" t="s">
        <v>21</v>
      </c>
      <c r="C3129" t="s">
        <v>1181</v>
      </c>
      <c r="D3129">
        <v>0</v>
      </c>
      <c r="E3129">
        <v>0</v>
      </c>
      <c r="F3129">
        <v>0</v>
      </c>
    </row>
    <row r="3130" spans="1:6" x14ac:dyDescent="0.25">
      <c r="A3130" s="1">
        <v>45017</v>
      </c>
      <c r="B3130" t="s">
        <v>296</v>
      </c>
      <c r="C3130" t="s">
        <v>552</v>
      </c>
      <c r="D3130">
        <v>0</v>
      </c>
      <c r="E3130" s="2">
        <v>1237343.1599999999</v>
      </c>
      <c r="F3130" s="2">
        <v>1338445.51</v>
      </c>
    </row>
    <row r="3131" spans="1:6" x14ac:dyDescent="0.25">
      <c r="A3131" s="1">
        <v>45017</v>
      </c>
      <c r="B3131" t="s">
        <v>17</v>
      </c>
      <c r="C3131" t="s">
        <v>782</v>
      </c>
      <c r="D3131" s="2">
        <v>2638.1</v>
      </c>
      <c r="E3131" s="2">
        <v>2638.1</v>
      </c>
      <c r="F3131" s="2">
        <v>2638.1</v>
      </c>
    </row>
    <row r="3132" spans="1:6" x14ac:dyDescent="0.25">
      <c r="A3132" s="1">
        <v>45017</v>
      </c>
      <c r="B3132" t="s">
        <v>21</v>
      </c>
      <c r="C3132" t="s">
        <v>329</v>
      </c>
      <c r="D3132" s="2">
        <v>15000000</v>
      </c>
      <c r="E3132" s="2">
        <v>3538643.57</v>
      </c>
      <c r="F3132">
        <v>0</v>
      </c>
    </row>
    <row r="3133" spans="1:6" x14ac:dyDescent="0.25">
      <c r="A3133" s="1">
        <v>45017</v>
      </c>
      <c r="B3133" t="s">
        <v>63</v>
      </c>
      <c r="C3133" t="s">
        <v>224</v>
      </c>
      <c r="D3133" s="2">
        <v>4369416</v>
      </c>
      <c r="E3133" s="2">
        <v>352016.67</v>
      </c>
      <c r="F3133" s="2">
        <v>352016.67</v>
      </c>
    </row>
    <row r="3134" spans="1:6" x14ac:dyDescent="0.25">
      <c r="A3134" s="1">
        <v>45017</v>
      </c>
      <c r="B3134" t="s">
        <v>21</v>
      </c>
      <c r="C3134" t="s">
        <v>404</v>
      </c>
      <c r="D3134">
        <v>0</v>
      </c>
      <c r="E3134">
        <v>0</v>
      </c>
      <c r="F3134">
        <v>0</v>
      </c>
    </row>
    <row r="3135" spans="1:6" x14ac:dyDescent="0.25">
      <c r="A3135" s="1">
        <v>45017</v>
      </c>
      <c r="B3135" t="s">
        <v>402</v>
      </c>
      <c r="C3135" t="s">
        <v>1182</v>
      </c>
      <c r="D3135">
        <v>0</v>
      </c>
      <c r="E3135">
        <v>0</v>
      </c>
      <c r="F3135">
        <v>0</v>
      </c>
    </row>
    <row r="3136" spans="1:6" x14ac:dyDescent="0.25">
      <c r="A3136" s="1">
        <v>45017</v>
      </c>
      <c r="B3136" t="s">
        <v>23</v>
      </c>
      <c r="C3136" t="s">
        <v>436</v>
      </c>
      <c r="D3136" s="2">
        <v>-600000</v>
      </c>
      <c r="E3136">
        <v>0</v>
      </c>
      <c r="F3136">
        <v>0</v>
      </c>
    </row>
    <row r="3137" spans="1:6" x14ac:dyDescent="0.25">
      <c r="A3137" s="1">
        <v>45017</v>
      </c>
      <c r="B3137" t="s">
        <v>23</v>
      </c>
      <c r="C3137" t="s">
        <v>551</v>
      </c>
      <c r="D3137" s="2">
        <v>363622.88</v>
      </c>
      <c r="E3137" s="2">
        <v>16784.63</v>
      </c>
      <c r="F3137" s="2">
        <v>12125.63</v>
      </c>
    </row>
    <row r="3138" spans="1:6" x14ac:dyDescent="0.25">
      <c r="A3138" s="1">
        <v>45017</v>
      </c>
      <c r="B3138" t="s">
        <v>44</v>
      </c>
      <c r="C3138" t="s">
        <v>846</v>
      </c>
      <c r="D3138" s="2">
        <v>104933.58</v>
      </c>
      <c r="E3138" s="2">
        <v>13789.17</v>
      </c>
      <c r="F3138" s="2">
        <v>13789.17</v>
      </c>
    </row>
    <row r="3139" spans="1:6" x14ac:dyDescent="0.25">
      <c r="A3139" s="1">
        <v>45017</v>
      </c>
      <c r="B3139" t="s">
        <v>105</v>
      </c>
      <c r="C3139" t="s">
        <v>1084</v>
      </c>
      <c r="D3139">
        <v>0</v>
      </c>
      <c r="E3139">
        <v>0</v>
      </c>
      <c r="F3139">
        <v>0</v>
      </c>
    </row>
    <row r="3140" spans="1:6" x14ac:dyDescent="0.25">
      <c r="A3140" s="1">
        <v>45017</v>
      </c>
      <c r="B3140" t="s">
        <v>107</v>
      </c>
      <c r="C3140" t="s">
        <v>153</v>
      </c>
      <c r="D3140" s="2">
        <v>37630</v>
      </c>
      <c r="E3140">
        <v>0</v>
      </c>
      <c r="F3140">
        <v>0</v>
      </c>
    </row>
    <row r="3141" spans="1:6" x14ac:dyDescent="0.25">
      <c r="A3141" s="1">
        <v>45017</v>
      </c>
      <c r="B3141" t="s">
        <v>23</v>
      </c>
      <c r="C3141" t="s">
        <v>1088</v>
      </c>
      <c r="D3141">
        <v>0</v>
      </c>
      <c r="E3141" s="2">
        <v>42189.01</v>
      </c>
      <c r="F3141" s="2">
        <v>40462.68</v>
      </c>
    </row>
    <row r="3142" spans="1:6" x14ac:dyDescent="0.25">
      <c r="A3142" s="1">
        <v>45017</v>
      </c>
      <c r="B3142" t="s">
        <v>162</v>
      </c>
      <c r="C3142" t="s">
        <v>218</v>
      </c>
      <c r="D3142" s="2">
        <v>162065148</v>
      </c>
      <c r="E3142" s="2">
        <v>160797000</v>
      </c>
      <c r="F3142" s="2">
        <v>160797000</v>
      </c>
    </row>
    <row r="3143" spans="1:6" x14ac:dyDescent="0.25">
      <c r="A3143" s="1">
        <v>45017</v>
      </c>
      <c r="B3143" t="s">
        <v>19</v>
      </c>
      <c r="C3143" t="s">
        <v>1002</v>
      </c>
      <c r="D3143" s="2">
        <v>29000</v>
      </c>
      <c r="E3143" s="2">
        <v>54094.54</v>
      </c>
      <c r="F3143" s="2">
        <v>54733.760000000002</v>
      </c>
    </row>
    <row r="3144" spans="1:6" x14ac:dyDescent="0.25">
      <c r="A3144" s="1">
        <v>45017</v>
      </c>
      <c r="B3144" t="s">
        <v>460</v>
      </c>
      <c r="C3144" t="s">
        <v>746</v>
      </c>
      <c r="D3144" s="2">
        <v>2606730.46</v>
      </c>
      <c r="E3144" s="2">
        <v>1875402.13</v>
      </c>
      <c r="F3144" s="2">
        <v>2026565.37</v>
      </c>
    </row>
    <row r="3145" spans="1:6" x14ac:dyDescent="0.25">
      <c r="A3145" s="1">
        <v>45017</v>
      </c>
      <c r="B3145" t="s">
        <v>40</v>
      </c>
      <c r="C3145" t="s">
        <v>515</v>
      </c>
      <c r="D3145">
        <v>0</v>
      </c>
      <c r="E3145">
        <v>0</v>
      </c>
      <c r="F3145">
        <v>0</v>
      </c>
    </row>
    <row r="3146" spans="1:6" x14ac:dyDescent="0.25">
      <c r="A3146" s="1">
        <v>45017</v>
      </c>
      <c r="B3146" t="s">
        <v>23</v>
      </c>
      <c r="C3146" t="s">
        <v>760</v>
      </c>
      <c r="D3146" s="2">
        <v>223926371.30000001</v>
      </c>
      <c r="E3146">
        <v>0</v>
      </c>
      <c r="F3146">
        <v>0</v>
      </c>
    </row>
    <row r="3147" spans="1:6" x14ac:dyDescent="0.25">
      <c r="A3147" s="1">
        <v>45017</v>
      </c>
      <c r="B3147" t="s">
        <v>9</v>
      </c>
      <c r="C3147" t="s">
        <v>1183</v>
      </c>
      <c r="D3147" s="2">
        <v>47000</v>
      </c>
      <c r="E3147">
        <v>0</v>
      </c>
      <c r="F3147">
        <v>0</v>
      </c>
    </row>
    <row r="3148" spans="1:6" x14ac:dyDescent="0.25">
      <c r="A3148" s="1">
        <v>45017</v>
      </c>
      <c r="B3148" t="s">
        <v>422</v>
      </c>
      <c r="C3148" t="s">
        <v>1035</v>
      </c>
      <c r="D3148" s="2">
        <v>616814670</v>
      </c>
      <c r="E3148" s="2">
        <v>616814670</v>
      </c>
      <c r="F3148" s="2">
        <v>616814670</v>
      </c>
    </row>
    <row r="3149" spans="1:6" x14ac:dyDescent="0.25">
      <c r="A3149" s="1">
        <v>45017</v>
      </c>
      <c r="B3149" t="s">
        <v>15</v>
      </c>
      <c r="C3149" t="s">
        <v>732</v>
      </c>
      <c r="D3149" s="2">
        <v>6317036</v>
      </c>
      <c r="E3149">
        <v>0</v>
      </c>
      <c r="F3149">
        <v>0</v>
      </c>
    </row>
    <row r="3150" spans="1:6" x14ac:dyDescent="0.25">
      <c r="A3150" s="1">
        <v>45017</v>
      </c>
      <c r="B3150" t="s">
        <v>132</v>
      </c>
      <c r="C3150" t="s">
        <v>1184</v>
      </c>
      <c r="D3150" s="2">
        <v>1500000</v>
      </c>
      <c r="E3150" s="2">
        <v>1135422.23</v>
      </c>
      <c r="F3150" s="2">
        <v>1109040.1200000001</v>
      </c>
    </row>
    <row r="3151" spans="1:6" x14ac:dyDescent="0.25">
      <c r="A3151" s="1">
        <v>45017</v>
      </c>
      <c r="B3151" t="s">
        <v>682</v>
      </c>
      <c r="C3151" t="s">
        <v>1185</v>
      </c>
      <c r="D3151" s="2">
        <v>100000</v>
      </c>
      <c r="E3151" s="2">
        <v>4289.32</v>
      </c>
      <c r="F3151" s="2">
        <v>2479.19</v>
      </c>
    </row>
    <row r="3152" spans="1:6" x14ac:dyDescent="0.25">
      <c r="A3152" s="1">
        <v>45017</v>
      </c>
      <c r="B3152" t="s">
        <v>90</v>
      </c>
      <c r="C3152" t="s">
        <v>326</v>
      </c>
      <c r="D3152" s="2">
        <v>6372956.2699999996</v>
      </c>
      <c r="E3152" s="2">
        <v>710517.74</v>
      </c>
      <c r="F3152" s="2">
        <v>726778.63</v>
      </c>
    </row>
    <row r="3153" spans="1:6" x14ac:dyDescent="0.25">
      <c r="A3153" s="1">
        <v>45017</v>
      </c>
      <c r="B3153" t="s">
        <v>48</v>
      </c>
      <c r="C3153" t="s">
        <v>1100</v>
      </c>
      <c r="D3153">
        <v>0</v>
      </c>
      <c r="E3153">
        <v>0</v>
      </c>
      <c r="F3153">
        <v>0</v>
      </c>
    </row>
    <row r="3154" spans="1:6" x14ac:dyDescent="0.25">
      <c r="A3154" s="1">
        <v>45017</v>
      </c>
      <c r="B3154" t="s">
        <v>75</v>
      </c>
      <c r="C3154" t="s">
        <v>76</v>
      </c>
      <c r="D3154" s="2">
        <v>77691.600000000006</v>
      </c>
      <c r="E3154">
        <v>0</v>
      </c>
      <c r="F3154">
        <v>0</v>
      </c>
    </row>
    <row r="3155" spans="1:6" x14ac:dyDescent="0.25">
      <c r="A3155" s="1">
        <v>45017</v>
      </c>
      <c r="B3155" t="s">
        <v>17</v>
      </c>
      <c r="C3155" t="s">
        <v>432</v>
      </c>
      <c r="D3155">
        <v>0</v>
      </c>
      <c r="E3155" s="2">
        <v>40166</v>
      </c>
      <c r="F3155" s="2">
        <v>32183</v>
      </c>
    </row>
    <row r="3156" spans="1:6" x14ac:dyDescent="0.25">
      <c r="A3156" s="1">
        <v>45017</v>
      </c>
      <c r="B3156" t="s">
        <v>75</v>
      </c>
      <c r="C3156" t="s">
        <v>847</v>
      </c>
      <c r="D3156" s="2">
        <v>597550.18999999994</v>
      </c>
      <c r="E3156" s="2">
        <v>51436.49</v>
      </c>
      <c r="F3156" s="2">
        <v>51436.49</v>
      </c>
    </row>
    <row r="3157" spans="1:6" x14ac:dyDescent="0.25">
      <c r="A3157" s="1">
        <v>45017</v>
      </c>
      <c r="B3157" t="s">
        <v>932</v>
      </c>
      <c r="C3157" t="s">
        <v>685</v>
      </c>
      <c r="D3157">
        <v>0</v>
      </c>
      <c r="E3157">
        <v>0</v>
      </c>
      <c r="F3157">
        <v>0</v>
      </c>
    </row>
    <row r="3158" spans="1:6" x14ac:dyDescent="0.25">
      <c r="A3158" s="1">
        <v>45017</v>
      </c>
      <c r="B3158" t="s">
        <v>196</v>
      </c>
      <c r="C3158" t="s">
        <v>468</v>
      </c>
      <c r="D3158">
        <v>0</v>
      </c>
      <c r="E3158">
        <v>0</v>
      </c>
      <c r="F3158">
        <v>0</v>
      </c>
    </row>
    <row r="3159" spans="1:6" x14ac:dyDescent="0.25">
      <c r="A3159" s="1">
        <v>45017</v>
      </c>
      <c r="B3159" t="s">
        <v>21</v>
      </c>
      <c r="C3159" t="s">
        <v>994</v>
      </c>
      <c r="D3159">
        <v>0</v>
      </c>
      <c r="E3159">
        <v>0</v>
      </c>
      <c r="F3159">
        <v>0</v>
      </c>
    </row>
    <row r="3160" spans="1:6" x14ac:dyDescent="0.25">
      <c r="A3160" s="1">
        <v>45017</v>
      </c>
      <c r="B3160" t="s">
        <v>185</v>
      </c>
      <c r="C3160" t="s">
        <v>316</v>
      </c>
      <c r="D3160" s="2">
        <v>4056501.84</v>
      </c>
      <c r="E3160" s="2">
        <v>26699653.789999999</v>
      </c>
      <c r="F3160" s="2">
        <v>26654608.280000001</v>
      </c>
    </row>
    <row r="3161" spans="1:6" x14ac:dyDescent="0.25">
      <c r="A3161" s="1">
        <v>45017</v>
      </c>
      <c r="B3161" t="s">
        <v>50</v>
      </c>
      <c r="C3161" t="s">
        <v>1186</v>
      </c>
      <c r="D3161">
        <v>0</v>
      </c>
      <c r="E3161">
        <v>0</v>
      </c>
      <c r="F3161">
        <v>0</v>
      </c>
    </row>
    <row r="3162" spans="1:6" x14ac:dyDescent="0.25">
      <c r="A3162" s="1">
        <v>45017</v>
      </c>
      <c r="B3162" t="s">
        <v>13</v>
      </c>
      <c r="C3162" t="s">
        <v>617</v>
      </c>
      <c r="D3162" s="2">
        <v>429640.74</v>
      </c>
      <c r="E3162" s="2">
        <v>227952.09</v>
      </c>
      <c r="F3162" s="2">
        <v>414580.63</v>
      </c>
    </row>
    <row r="3163" spans="1:6" x14ac:dyDescent="0.25">
      <c r="A3163" s="1">
        <v>45017</v>
      </c>
      <c r="B3163" t="s">
        <v>234</v>
      </c>
      <c r="C3163" t="s">
        <v>1187</v>
      </c>
      <c r="D3163">
        <v>0</v>
      </c>
      <c r="E3163">
        <v>0</v>
      </c>
      <c r="F3163">
        <v>0</v>
      </c>
    </row>
    <row r="3164" spans="1:6" x14ac:dyDescent="0.25">
      <c r="A3164" s="1">
        <v>45017</v>
      </c>
      <c r="B3164" t="s">
        <v>19</v>
      </c>
      <c r="C3164" t="s">
        <v>699</v>
      </c>
      <c r="D3164" s="2">
        <v>10779340.33</v>
      </c>
      <c r="E3164" s="2">
        <v>1309894.56</v>
      </c>
      <c r="F3164" s="2">
        <v>1309894.56</v>
      </c>
    </row>
    <row r="3165" spans="1:6" x14ac:dyDescent="0.25">
      <c r="A3165" s="1">
        <v>45017</v>
      </c>
      <c r="B3165" t="s">
        <v>181</v>
      </c>
      <c r="C3165" t="s">
        <v>182</v>
      </c>
      <c r="D3165">
        <v>0</v>
      </c>
      <c r="E3165">
        <v>0</v>
      </c>
      <c r="F3165">
        <v>0</v>
      </c>
    </row>
    <row r="3166" spans="1:6" x14ac:dyDescent="0.25">
      <c r="A3166" s="1">
        <v>45017</v>
      </c>
      <c r="B3166" t="s">
        <v>46</v>
      </c>
      <c r="C3166" t="s">
        <v>232</v>
      </c>
      <c r="D3166" s="2">
        <v>8363.0499999999993</v>
      </c>
      <c r="E3166" s="2">
        <v>780752.79</v>
      </c>
      <c r="F3166" s="2">
        <v>5885395.3300000001</v>
      </c>
    </row>
    <row r="3167" spans="1:6" x14ac:dyDescent="0.25">
      <c r="A3167" s="1">
        <v>45017</v>
      </c>
      <c r="B3167" t="s">
        <v>11</v>
      </c>
      <c r="C3167" t="s">
        <v>231</v>
      </c>
      <c r="D3167" s="2">
        <v>2964597223.9499998</v>
      </c>
      <c r="E3167" s="2">
        <v>2862209577.1500001</v>
      </c>
      <c r="F3167" s="2">
        <v>2862209577.1500001</v>
      </c>
    </row>
    <row r="3168" spans="1:6" x14ac:dyDescent="0.25">
      <c r="A3168" s="1">
        <v>45017</v>
      </c>
      <c r="B3168" t="s">
        <v>37</v>
      </c>
      <c r="C3168" t="s">
        <v>134</v>
      </c>
      <c r="D3168">
        <v>0</v>
      </c>
      <c r="E3168">
        <v>0</v>
      </c>
      <c r="F3168">
        <v>0</v>
      </c>
    </row>
    <row r="3169" spans="1:6" x14ac:dyDescent="0.25">
      <c r="A3169" s="1">
        <v>45017</v>
      </c>
      <c r="B3169" t="s">
        <v>70</v>
      </c>
      <c r="C3169" t="s">
        <v>71</v>
      </c>
      <c r="D3169" s="2">
        <v>17038188.870000001</v>
      </c>
      <c r="E3169" s="2">
        <v>6395578.3200000003</v>
      </c>
      <c r="F3169" s="2">
        <v>6859846.3899999997</v>
      </c>
    </row>
    <row r="3170" spans="1:6" x14ac:dyDescent="0.25">
      <c r="A3170" s="1">
        <v>45017</v>
      </c>
      <c r="B3170" t="s">
        <v>103</v>
      </c>
      <c r="C3170" t="s">
        <v>233</v>
      </c>
      <c r="D3170">
        <v>0</v>
      </c>
      <c r="E3170" s="2">
        <v>15034161.66</v>
      </c>
      <c r="F3170" s="2">
        <v>15034161.66</v>
      </c>
    </row>
    <row r="3171" spans="1:6" x14ac:dyDescent="0.25">
      <c r="A3171" s="1">
        <v>45017</v>
      </c>
      <c r="B3171" t="s">
        <v>490</v>
      </c>
      <c r="C3171" t="s">
        <v>1009</v>
      </c>
      <c r="D3171">
        <v>0</v>
      </c>
      <c r="E3171">
        <v>0</v>
      </c>
      <c r="F3171">
        <v>0</v>
      </c>
    </row>
    <row r="3172" spans="1:6" x14ac:dyDescent="0.25">
      <c r="A3172" s="1">
        <v>45017</v>
      </c>
      <c r="B3172" t="s">
        <v>187</v>
      </c>
      <c r="C3172" t="s">
        <v>830</v>
      </c>
      <c r="D3172" s="2">
        <v>3348583.81</v>
      </c>
      <c r="E3172" s="2">
        <v>1255600.1599999999</v>
      </c>
      <c r="F3172" s="2">
        <v>680227.01</v>
      </c>
    </row>
    <row r="3173" spans="1:6" x14ac:dyDescent="0.25">
      <c r="A3173" s="1">
        <v>45017</v>
      </c>
      <c r="B3173" t="s">
        <v>17</v>
      </c>
      <c r="C3173" t="s">
        <v>327</v>
      </c>
      <c r="D3173" s="2">
        <v>210000.5</v>
      </c>
      <c r="E3173" s="2">
        <v>17707.099999999999</v>
      </c>
      <c r="F3173" s="2">
        <v>17707.099999999999</v>
      </c>
    </row>
    <row r="3174" spans="1:6" x14ac:dyDescent="0.25">
      <c r="A3174" s="1">
        <v>45017</v>
      </c>
      <c r="B3174" t="s">
        <v>398</v>
      </c>
      <c r="C3174" t="s">
        <v>399</v>
      </c>
      <c r="D3174">
        <v>0</v>
      </c>
      <c r="E3174" s="2">
        <v>669153.04</v>
      </c>
      <c r="F3174" s="2">
        <v>669153.04</v>
      </c>
    </row>
    <row r="3175" spans="1:6" x14ac:dyDescent="0.25">
      <c r="A3175" s="1">
        <v>45017</v>
      </c>
      <c r="B3175" t="s">
        <v>162</v>
      </c>
      <c r="C3175" t="s">
        <v>621</v>
      </c>
      <c r="D3175" s="2">
        <v>4562887.8600000003</v>
      </c>
      <c r="E3175" s="2">
        <v>1738412.28</v>
      </c>
      <c r="F3175" s="2">
        <v>1774277.71</v>
      </c>
    </row>
    <row r="3176" spans="1:6" x14ac:dyDescent="0.25">
      <c r="A3176" s="1">
        <v>45017</v>
      </c>
      <c r="B3176" t="s">
        <v>107</v>
      </c>
      <c r="C3176" t="s">
        <v>513</v>
      </c>
      <c r="D3176" s="2">
        <v>25666.639999999999</v>
      </c>
      <c r="E3176" s="2">
        <v>58277.27</v>
      </c>
      <c r="F3176" s="2">
        <v>54471.39</v>
      </c>
    </row>
    <row r="3177" spans="1:6" x14ac:dyDescent="0.25">
      <c r="A3177" s="1">
        <v>45017</v>
      </c>
      <c r="B3177" t="s">
        <v>48</v>
      </c>
      <c r="C3177" t="s">
        <v>1188</v>
      </c>
      <c r="D3177" s="2">
        <v>3000000</v>
      </c>
      <c r="E3177" s="2">
        <v>1096549.1599999999</v>
      </c>
      <c r="F3177" s="2">
        <v>1096549.1599999999</v>
      </c>
    </row>
    <row r="3178" spans="1:6" x14ac:dyDescent="0.25">
      <c r="A3178" s="1">
        <v>45017</v>
      </c>
      <c r="B3178" t="s">
        <v>50</v>
      </c>
      <c r="C3178" t="s">
        <v>596</v>
      </c>
      <c r="D3178" s="2">
        <v>3007033.53</v>
      </c>
      <c r="E3178" s="2">
        <v>104986</v>
      </c>
      <c r="F3178" s="2">
        <v>87509.26</v>
      </c>
    </row>
    <row r="3179" spans="1:6" x14ac:dyDescent="0.25">
      <c r="A3179" s="1">
        <v>45017</v>
      </c>
      <c r="B3179" t="s">
        <v>187</v>
      </c>
      <c r="C3179" t="s">
        <v>812</v>
      </c>
      <c r="D3179" s="2">
        <v>14572636.24</v>
      </c>
      <c r="E3179" s="2">
        <v>1355946.41</v>
      </c>
      <c r="F3179" s="2">
        <v>1942728.98</v>
      </c>
    </row>
    <row r="3180" spans="1:6" x14ac:dyDescent="0.25">
      <c r="A3180" s="1">
        <v>45017</v>
      </c>
      <c r="B3180" t="s">
        <v>13</v>
      </c>
      <c r="C3180" t="s">
        <v>659</v>
      </c>
      <c r="D3180">
        <v>0</v>
      </c>
      <c r="E3180">
        <v>0</v>
      </c>
      <c r="F3180">
        <v>0</v>
      </c>
    </row>
    <row r="3181" spans="1:6" x14ac:dyDescent="0.25">
      <c r="A3181" s="1">
        <v>45017</v>
      </c>
      <c r="B3181" t="s">
        <v>21</v>
      </c>
      <c r="C3181" t="s">
        <v>522</v>
      </c>
      <c r="D3181" s="2">
        <v>7800113</v>
      </c>
      <c r="E3181" s="2">
        <v>9985902.9000000004</v>
      </c>
      <c r="F3181" s="2">
        <v>9985902.9000000004</v>
      </c>
    </row>
    <row r="3182" spans="1:6" x14ac:dyDescent="0.25">
      <c r="A3182" s="1">
        <v>45017</v>
      </c>
      <c r="B3182" t="s">
        <v>44</v>
      </c>
      <c r="C3182" t="s">
        <v>579</v>
      </c>
      <c r="D3182" s="2">
        <v>9603.1</v>
      </c>
      <c r="E3182" s="2">
        <v>91056.44</v>
      </c>
      <c r="F3182" s="2">
        <v>68349.990000000005</v>
      </c>
    </row>
    <row r="3183" spans="1:6" x14ac:dyDescent="0.25">
      <c r="A3183" s="1">
        <v>45017</v>
      </c>
      <c r="B3183" t="s">
        <v>37</v>
      </c>
      <c r="C3183" t="s">
        <v>624</v>
      </c>
      <c r="D3183" s="2">
        <v>15804733.689999999</v>
      </c>
      <c r="E3183" s="2">
        <v>478501.49</v>
      </c>
      <c r="F3183" s="2">
        <v>540788.39</v>
      </c>
    </row>
    <row r="3184" spans="1:6" x14ac:dyDescent="0.25">
      <c r="A3184" s="1">
        <v>45017</v>
      </c>
      <c r="B3184" t="s">
        <v>96</v>
      </c>
      <c r="C3184" t="s">
        <v>425</v>
      </c>
      <c r="D3184">
        <v>0</v>
      </c>
      <c r="E3184">
        <v>0</v>
      </c>
      <c r="F3184">
        <v>0</v>
      </c>
    </row>
    <row r="3185" spans="1:6" x14ac:dyDescent="0.25">
      <c r="A3185" s="1">
        <v>45017</v>
      </c>
      <c r="B3185" t="s">
        <v>53</v>
      </c>
      <c r="C3185" t="s">
        <v>669</v>
      </c>
      <c r="D3185" s="2">
        <v>3000000</v>
      </c>
      <c r="E3185" s="2">
        <v>223577467.94</v>
      </c>
      <c r="F3185" s="2">
        <v>223568039.03999999</v>
      </c>
    </row>
    <row r="3186" spans="1:6" x14ac:dyDescent="0.25">
      <c r="A3186" s="1">
        <v>45017</v>
      </c>
      <c r="B3186" t="s">
        <v>263</v>
      </c>
      <c r="C3186" t="s">
        <v>1189</v>
      </c>
      <c r="D3186" s="2">
        <v>2206000</v>
      </c>
      <c r="E3186" s="2">
        <v>409838.03</v>
      </c>
      <c r="F3186" s="2">
        <v>388802.62</v>
      </c>
    </row>
    <row r="3187" spans="1:6" x14ac:dyDescent="0.25">
      <c r="A3187" s="1">
        <v>45017</v>
      </c>
      <c r="B3187" t="s">
        <v>114</v>
      </c>
      <c r="C3187" t="s">
        <v>758</v>
      </c>
      <c r="D3187" s="2">
        <v>318884.08</v>
      </c>
      <c r="E3187" s="2">
        <v>473434.08</v>
      </c>
      <c r="F3187" s="2">
        <v>473434.08</v>
      </c>
    </row>
    <row r="3188" spans="1:6" x14ac:dyDescent="0.25">
      <c r="A3188" s="1">
        <v>45017</v>
      </c>
      <c r="B3188" t="s">
        <v>37</v>
      </c>
      <c r="C3188" t="s">
        <v>647</v>
      </c>
      <c r="D3188">
        <v>0</v>
      </c>
      <c r="E3188">
        <v>0</v>
      </c>
      <c r="F3188">
        <v>0</v>
      </c>
    </row>
    <row r="3189" spans="1:6" x14ac:dyDescent="0.25">
      <c r="A3189" s="1">
        <v>45017</v>
      </c>
      <c r="B3189" t="s">
        <v>344</v>
      </c>
      <c r="C3189" t="s">
        <v>568</v>
      </c>
      <c r="D3189">
        <v>0</v>
      </c>
      <c r="E3189">
        <v>0</v>
      </c>
      <c r="F3189">
        <v>0</v>
      </c>
    </row>
    <row r="3190" spans="1:6" x14ac:dyDescent="0.25">
      <c r="A3190" s="1">
        <v>45017</v>
      </c>
      <c r="B3190" t="s">
        <v>44</v>
      </c>
      <c r="C3190" t="s">
        <v>386</v>
      </c>
      <c r="D3190" s="2">
        <v>1120500</v>
      </c>
      <c r="E3190">
        <v>0</v>
      </c>
      <c r="F3190">
        <v>0</v>
      </c>
    </row>
    <row r="3191" spans="1:6" x14ac:dyDescent="0.25">
      <c r="A3191" s="1">
        <v>45017</v>
      </c>
      <c r="B3191" t="s">
        <v>196</v>
      </c>
      <c r="C3191" t="s">
        <v>875</v>
      </c>
      <c r="D3191">
        <v>0</v>
      </c>
      <c r="E3191">
        <v>0</v>
      </c>
      <c r="F3191">
        <v>0</v>
      </c>
    </row>
    <row r="3192" spans="1:6" x14ac:dyDescent="0.25">
      <c r="A3192" s="1">
        <v>45017</v>
      </c>
      <c r="B3192" t="s">
        <v>296</v>
      </c>
      <c r="C3192" t="s">
        <v>297</v>
      </c>
      <c r="D3192" s="2">
        <v>24465833.66</v>
      </c>
      <c r="E3192" s="2">
        <v>1539220.78</v>
      </c>
      <c r="F3192" s="2">
        <v>1420975.76</v>
      </c>
    </row>
    <row r="3193" spans="1:6" x14ac:dyDescent="0.25">
      <c r="A3193" s="1">
        <v>45017</v>
      </c>
      <c r="B3193" t="s">
        <v>50</v>
      </c>
      <c r="C3193" t="s">
        <v>320</v>
      </c>
      <c r="D3193" s="2">
        <v>2634752.88</v>
      </c>
      <c r="E3193" s="2">
        <v>5650435.04</v>
      </c>
      <c r="F3193" s="2">
        <v>4139384.72</v>
      </c>
    </row>
    <row r="3194" spans="1:6" x14ac:dyDescent="0.25">
      <c r="A3194" s="1">
        <v>45017</v>
      </c>
      <c r="B3194" t="s">
        <v>682</v>
      </c>
      <c r="C3194" t="s">
        <v>1067</v>
      </c>
      <c r="D3194" s="2">
        <v>10302.19</v>
      </c>
      <c r="E3194" s="2">
        <v>27665.42</v>
      </c>
      <c r="F3194" s="2">
        <v>27665.42</v>
      </c>
    </row>
    <row r="3195" spans="1:6" x14ac:dyDescent="0.25">
      <c r="A3195" s="1">
        <v>45017</v>
      </c>
      <c r="B3195" t="s">
        <v>15</v>
      </c>
      <c r="C3195" t="s">
        <v>614</v>
      </c>
      <c r="D3195" s="2">
        <v>8763177.5899999999</v>
      </c>
      <c r="E3195" s="2">
        <v>2589483.91</v>
      </c>
      <c r="F3195" s="2">
        <v>2585238.86</v>
      </c>
    </row>
    <row r="3196" spans="1:6" x14ac:dyDescent="0.25">
      <c r="A3196" s="1">
        <v>45017</v>
      </c>
      <c r="B3196" t="s">
        <v>181</v>
      </c>
      <c r="C3196" t="s">
        <v>363</v>
      </c>
      <c r="D3196">
        <v>0</v>
      </c>
      <c r="E3196">
        <v>0</v>
      </c>
      <c r="F3196">
        <v>0</v>
      </c>
    </row>
    <row r="3197" spans="1:6" x14ac:dyDescent="0.25">
      <c r="A3197" s="1">
        <v>45017</v>
      </c>
      <c r="B3197" t="s">
        <v>50</v>
      </c>
      <c r="C3197" t="s">
        <v>1147</v>
      </c>
      <c r="D3197">
        <v>0</v>
      </c>
      <c r="E3197" s="2">
        <v>50000000</v>
      </c>
      <c r="F3197" s="2">
        <v>50000000</v>
      </c>
    </row>
    <row r="3198" spans="1:6" x14ac:dyDescent="0.25">
      <c r="A3198" s="1">
        <v>45017</v>
      </c>
      <c r="B3198" t="s">
        <v>48</v>
      </c>
      <c r="C3198" t="s">
        <v>1153</v>
      </c>
      <c r="D3198" s="2">
        <v>-10877011.27</v>
      </c>
      <c r="E3198">
        <v>0</v>
      </c>
      <c r="F3198">
        <v>0</v>
      </c>
    </row>
    <row r="3199" spans="1:6" x14ac:dyDescent="0.25">
      <c r="A3199" s="1">
        <v>45017</v>
      </c>
      <c r="B3199" t="s">
        <v>23</v>
      </c>
      <c r="C3199" t="s">
        <v>410</v>
      </c>
      <c r="D3199">
        <v>0</v>
      </c>
      <c r="E3199">
        <v>0</v>
      </c>
      <c r="F3199">
        <v>0</v>
      </c>
    </row>
    <row r="3200" spans="1:6" x14ac:dyDescent="0.25">
      <c r="A3200" s="1">
        <v>45017</v>
      </c>
      <c r="B3200" t="s">
        <v>490</v>
      </c>
      <c r="C3200" t="s">
        <v>1190</v>
      </c>
      <c r="D3200" s="2">
        <v>748890789.75</v>
      </c>
      <c r="E3200" s="2">
        <v>539311430</v>
      </c>
      <c r="F3200" s="2">
        <v>539311430</v>
      </c>
    </row>
    <row r="3201" spans="1:6" x14ac:dyDescent="0.25">
      <c r="A3201" s="1">
        <v>45017</v>
      </c>
      <c r="B3201" t="s">
        <v>42</v>
      </c>
      <c r="C3201" t="s">
        <v>548</v>
      </c>
      <c r="D3201" s="2">
        <v>28181358.920000002</v>
      </c>
      <c r="E3201" s="2">
        <v>101851241.72</v>
      </c>
      <c r="F3201" s="2">
        <v>93403136.950000003</v>
      </c>
    </row>
    <row r="3202" spans="1:6" x14ac:dyDescent="0.25">
      <c r="A3202" s="1">
        <v>45017</v>
      </c>
      <c r="B3202" t="s">
        <v>159</v>
      </c>
      <c r="C3202" t="s">
        <v>302</v>
      </c>
      <c r="D3202" s="2">
        <v>42950.34</v>
      </c>
      <c r="E3202" s="2">
        <v>108579.72</v>
      </c>
      <c r="F3202" s="2">
        <v>108288.8</v>
      </c>
    </row>
    <row r="3203" spans="1:6" x14ac:dyDescent="0.25">
      <c r="A3203" s="1">
        <v>45017</v>
      </c>
      <c r="B3203" t="s">
        <v>21</v>
      </c>
      <c r="C3203" t="s">
        <v>212</v>
      </c>
      <c r="D3203" s="2">
        <v>450000</v>
      </c>
      <c r="E3203">
        <v>0</v>
      </c>
      <c r="F3203">
        <v>0</v>
      </c>
    </row>
    <row r="3204" spans="1:6" x14ac:dyDescent="0.25">
      <c r="A3204" s="1">
        <v>45017</v>
      </c>
      <c r="B3204" t="s">
        <v>132</v>
      </c>
      <c r="C3204" t="s">
        <v>989</v>
      </c>
      <c r="D3204">
        <v>0</v>
      </c>
      <c r="E3204">
        <v>0</v>
      </c>
      <c r="F3204" s="2">
        <v>11796.06</v>
      </c>
    </row>
    <row r="3205" spans="1:6" x14ac:dyDescent="0.25">
      <c r="A3205" s="1">
        <v>45017</v>
      </c>
      <c r="B3205" t="s">
        <v>98</v>
      </c>
      <c r="C3205" t="s">
        <v>469</v>
      </c>
      <c r="D3205">
        <v>0</v>
      </c>
      <c r="E3205">
        <v>0</v>
      </c>
      <c r="F3205">
        <v>0</v>
      </c>
    </row>
    <row r="3206" spans="1:6" x14ac:dyDescent="0.25">
      <c r="A3206" s="1">
        <v>45017</v>
      </c>
      <c r="B3206" t="s">
        <v>50</v>
      </c>
      <c r="C3206" t="s">
        <v>977</v>
      </c>
      <c r="D3206" s="2">
        <v>17042203</v>
      </c>
      <c r="E3206" s="2">
        <v>11262188.890000001</v>
      </c>
      <c r="F3206" s="2">
        <v>11262188.890000001</v>
      </c>
    </row>
    <row r="3207" spans="1:6" x14ac:dyDescent="0.25">
      <c r="A3207" s="1">
        <v>45017</v>
      </c>
      <c r="B3207" t="s">
        <v>1191</v>
      </c>
      <c r="C3207" t="s">
        <v>1192</v>
      </c>
      <c r="D3207">
        <v>0</v>
      </c>
      <c r="E3207">
        <v>0</v>
      </c>
      <c r="F3207">
        <v>0</v>
      </c>
    </row>
    <row r="3208" spans="1:6" x14ac:dyDescent="0.25">
      <c r="A3208" s="1">
        <v>45017</v>
      </c>
      <c r="B3208" t="s">
        <v>42</v>
      </c>
      <c r="C3208" t="s">
        <v>719</v>
      </c>
      <c r="D3208" s="2">
        <v>-5147.05</v>
      </c>
      <c r="E3208" s="2">
        <v>11157847.109999999</v>
      </c>
      <c r="F3208" s="2">
        <v>9398075.3200000003</v>
      </c>
    </row>
    <row r="3209" spans="1:6" x14ac:dyDescent="0.25">
      <c r="A3209" s="1">
        <v>45017</v>
      </c>
      <c r="B3209" t="s">
        <v>98</v>
      </c>
      <c r="C3209" t="s">
        <v>333</v>
      </c>
      <c r="D3209">
        <v>0</v>
      </c>
      <c r="E3209">
        <v>0</v>
      </c>
      <c r="F3209">
        <v>0</v>
      </c>
    </row>
    <row r="3210" spans="1:6" x14ac:dyDescent="0.25">
      <c r="A3210" s="1">
        <v>45017</v>
      </c>
      <c r="B3210" t="s">
        <v>143</v>
      </c>
      <c r="C3210" t="s">
        <v>899</v>
      </c>
      <c r="D3210">
        <v>0</v>
      </c>
      <c r="E3210">
        <v>0</v>
      </c>
      <c r="F3210">
        <v>0</v>
      </c>
    </row>
    <row r="3211" spans="1:6" x14ac:dyDescent="0.25">
      <c r="A3211" s="1">
        <v>45017</v>
      </c>
      <c r="B3211" t="s">
        <v>405</v>
      </c>
      <c r="C3211" t="s">
        <v>1193</v>
      </c>
      <c r="D3211">
        <v>0</v>
      </c>
      <c r="E3211">
        <v>0</v>
      </c>
      <c r="F3211">
        <v>0</v>
      </c>
    </row>
    <row r="3212" spans="1:6" x14ac:dyDescent="0.25">
      <c r="A3212" s="1">
        <v>45017</v>
      </c>
      <c r="B3212" t="s">
        <v>98</v>
      </c>
      <c r="C3212" t="s">
        <v>613</v>
      </c>
      <c r="D3212">
        <v>0</v>
      </c>
      <c r="E3212">
        <v>0</v>
      </c>
      <c r="F3212">
        <v>0</v>
      </c>
    </row>
    <row r="3213" spans="1:6" x14ac:dyDescent="0.25">
      <c r="A3213" s="1">
        <v>45017</v>
      </c>
      <c r="B3213" t="s">
        <v>154</v>
      </c>
      <c r="C3213" t="s">
        <v>161</v>
      </c>
      <c r="D3213" s="2">
        <v>3975574.25</v>
      </c>
      <c r="E3213" s="2">
        <v>838696.81</v>
      </c>
      <c r="F3213" s="2">
        <v>938737.2</v>
      </c>
    </row>
    <row r="3214" spans="1:6" x14ac:dyDescent="0.25">
      <c r="A3214" s="1">
        <v>45017</v>
      </c>
      <c r="B3214" t="s">
        <v>46</v>
      </c>
      <c r="C3214" t="s">
        <v>712</v>
      </c>
      <c r="D3214" s="2">
        <v>12538086</v>
      </c>
      <c r="E3214" s="2">
        <v>-321912.28000000003</v>
      </c>
      <c r="F3214" s="2">
        <v>4324555.17</v>
      </c>
    </row>
    <row r="3215" spans="1:6" x14ac:dyDescent="0.25">
      <c r="A3215" s="1">
        <v>45017</v>
      </c>
      <c r="B3215" t="s">
        <v>185</v>
      </c>
      <c r="C3215" t="s">
        <v>478</v>
      </c>
      <c r="D3215" s="2">
        <v>769603515.23000002</v>
      </c>
      <c r="E3215" s="2">
        <v>421318700.66000003</v>
      </c>
      <c r="F3215" s="2">
        <v>256134042.05000001</v>
      </c>
    </row>
    <row r="3216" spans="1:6" x14ac:dyDescent="0.25">
      <c r="A3216" s="1">
        <v>45017</v>
      </c>
      <c r="B3216" t="s">
        <v>48</v>
      </c>
      <c r="C3216" t="s">
        <v>1194</v>
      </c>
      <c r="D3216" s="2">
        <v>3153259</v>
      </c>
      <c r="E3216">
        <v>0</v>
      </c>
      <c r="F3216">
        <v>0</v>
      </c>
    </row>
    <row r="3217" spans="1:6" x14ac:dyDescent="0.25">
      <c r="A3217" s="1">
        <v>45017</v>
      </c>
      <c r="B3217" t="s">
        <v>118</v>
      </c>
      <c r="C3217" t="s">
        <v>971</v>
      </c>
      <c r="D3217">
        <v>0</v>
      </c>
      <c r="E3217">
        <v>0</v>
      </c>
      <c r="F3217">
        <v>0</v>
      </c>
    </row>
    <row r="3218" spans="1:6" x14ac:dyDescent="0.25">
      <c r="A3218" s="1">
        <v>45017</v>
      </c>
      <c r="B3218" t="s">
        <v>11</v>
      </c>
      <c r="C3218" t="s">
        <v>116</v>
      </c>
      <c r="D3218">
        <v>0</v>
      </c>
      <c r="E3218" s="2">
        <v>10692168897.190001</v>
      </c>
      <c r="F3218" s="2">
        <v>10692168897.190001</v>
      </c>
    </row>
    <row r="3219" spans="1:6" x14ac:dyDescent="0.25">
      <c r="A3219" s="1">
        <v>45017</v>
      </c>
      <c r="B3219" t="s">
        <v>176</v>
      </c>
      <c r="C3219" t="s">
        <v>95</v>
      </c>
      <c r="D3219">
        <v>0</v>
      </c>
      <c r="E3219">
        <v>0</v>
      </c>
      <c r="F3219">
        <v>0</v>
      </c>
    </row>
    <row r="3220" spans="1:6" x14ac:dyDescent="0.25">
      <c r="A3220" s="1">
        <v>45017</v>
      </c>
      <c r="B3220" t="s">
        <v>21</v>
      </c>
      <c r="C3220" t="s">
        <v>406</v>
      </c>
      <c r="D3220" s="2">
        <v>50000000</v>
      </c>
      <c r="E3220" s="2">
        <v>6065282.3700000001</v>
      </c>
      <c r="F3220" s="2">
        <v>6065282.3700000001</v>
      </c>
    </row>
    <row r="3221" spans="1:6" x14ac:dyDescent="0.25">
      <c r="A3221" s="1">
        <v>45017</v>
      </c>
      <c r="B3221" t="s">
        <v>132</v>
      </c>
      <c r="C3221" t="s">
        <v>1195</v>
      </c>
      <c r="D3221">
        <v>0</v>
      </c>
      <c r="E3221">
        <v>0</v>
      </c>
      <c r="F3221">
        <v>0</v>
      </c>
    </row>
    <row r="3222" spans="1:6" x14ac:dyDescent="0.25">
      <c r="A3222" s="1">
        <v>45017</v>
      </c>
      <c r="B3222" t="s">
        <v>37</v>
      </c>
      <c r="C3222" t="s">
        <v>1196</v>
      </c>
      <c r="D3222" s="2">
        <v>380000</v>
      </c>
      <c r="E3222">
        <v>0</v>
      </c>
      <c r="F3222">
        <v>0</v>
      </c>
    </row>
    <row r="3223" spans="1:6" x14ac:dyDescent="0.25">
      <c r="A3223" s="1">
        <v>45017</v>
      </c>
      <c r="B3223" t="s">
        <v>65</v>
      </c>
      <c r="C3223" t="s">
        <v>834</v>
      </c>
      <c r="D3223" s="2">
        <v>7570999.2800000003</v>
      </c>
      <c r="E3223" s="2">
        <v>3331641.29</v>
      </c>
      <c r="F3223" s="2">
        <v>3086291.38</v>
      </c>
    </row>
    <row r="3224" spans="1:6" x14ac:dyDescent="0.25">
      <c r="A3224" s="1">
        <v>45017</v>
      </c>
      <c r="B3224" t="s">
        <v>118</v>
      </c>
      <c r="C3224" t="s">
        <v>569</v>
      </c>
      <c r="D3224" s="2">
        <v>100000</v>
      </c>
      <c r="E3224">
        <v>0</v>
      </c>
      <c r="F3224">
        <v>0</v>
      </c>
    </row>
    <row r="3225" spans="1:6" x14ac:dyDescent="0.25">
      <c r="A3225" s="1">
        <v>45017</v>
      </c>
      <c r="B3225" t="s">
        <v>92</v>
      </c>
      <c r="C3225" t="s">
        <v>465</v>
      </c>
      <c r="D3225" s="2">
        <v>-2832.09</v>
      </c>
      <c r="E3225" s="2">
        <v>-2832.09</v>
      </c>
      <c r="F3225" s="2">
        <v>-2832.09</v>
      </c>
    </row>
    <row r="3226" spans="1:6" x14ac:dyDescent="0.25">
      <c r="A3226" s="1">
        <v>45017</v>
      </c>
      <c r="B3226" t="s">
        <v>225</v>
      </c>
      <c r="C3226" t="s">
        <v>315</v>
      </c>
      <c r="D3226">
        <v>0</v>
      </c>
      <c r="E3226">
        <v>0</v>
      </c>
      <c r="F3226">
        <v>0</v>
      </c>
    </row>
    <row r="3227" spans="1:6" x14ac:dyDescent="0.25">
      <c r="A3227" s="1">
        <v>45017</v>
      </c>
      <c r="B3227" t="s">
        <v>383</v>
      </c>
      <c r="C3227" t="s">
        <v>1197</v>
      </c>
      <c r="D3227">
        <v>0</v>
      </c>
      <c r="E3227">
        <v>0</v>
      </c>
      <c r="F3227">
        <v>0</v>
      </c>
    </row>
    <row r="3228" spans="1:6" x14ac:dyDescent="0.25">
      <c r="A3228" s="1">
        <v>45017</v>
      </c>
      <c r="B3228" t="s">
        <v>206</v>
      </c>
      <c r="C3228" t="s">
        <v>1091</v>
      </c>
      <c r="D3228">
        <v>0</v>
      </c>
      <c r="E3228">
        <v>0</v>
      </c>
      <c r="F3228">
        <v>0</v>
      </c>
    </row>
    <row r="3229" spans="1:6" x14ac:dyDescent="0.25">
      <c r="A3229" s="1">
        <v>45017</v>
      </c>
      <c r="B3229" t="s">
        <v>162</v>
      </c>
      <c r="C3229" t="s">
        <v>1052</v>
      </c>
      <c r="D3229">
        <v>0</v>
      </c>
      <c r="E3229" s="2">
        <v>20471326</v>
      </c>
      <c r="F3229" s="2">
        <v>20471326</v>
      </c>
    </row>
    <row r="3230" spans="1:6" x14ac:dyDescent="0.25">
      <c r="A3230" s="1">
        <v>45017</v>
      </c>
      <c r="B3230" t="s">
        <v>107</v>
      </c>
      <c r="C3230" t="s">
        <v>514</v>
      </c>
      <c r="D3230" s="2">
        <v>7846000</v>
      </c>
      <c r="E3230" s="2">
        <v>4846000</v>
      </c>
      <c r="F3230" s="2">
        <v>4840013.2</v>
      </c>
    </row>
    <row r="3231" spans="1:6" x14ac:dyDescent="0.25">
      <c r="A3231" s="1">
        <v>45017</v>
      </c>
      <c r="B3231" t="s">
        <v>40</v>
      </c>
      <c r="C3231" t="s">
        <v>857</v>
      </c>
      <c r="D3231" s="2">
        <v>371457302.23000002</v>
      </c>
      <c r="E3231" s="2">
        <v>1941572292.46</v>
      </c>
      <c r="F3231" s="2">
        <v>1961559101.03</v>
      </c>
    </row>
    <row r="3232" spans="1:6" x14ac:dyDescent="0.25">
      <c r="A3232" s="1">
        <v>45017</v>
      </c>
      <c r="B3232" t="s">
        <v>29</v>
      </c>
      <c r="C3232" t="s">
        <v>73</v>
      </c>
      <c r="D3232" s="2">
        <v>150811422</v>
      </c>
      <c r="E3232">
        <v>0</v>
      </c>
      <c r="F3232">
        <v>0</v>
      </c>
    </row>
    <row r="3233" spans="1:6" x14ac:dyDescent="0.25">
      <c r="A3233" s="1">
        <v>45017</v>
      </c>
      <c r="B3233" t="s">
        <v>9</v>
      </c>
      <c r="C3233" t="s">
        <v>1151</v>
      </c>
      <c r="D3233">
        <v>0</v>
      </c>
      <c r="E3233">
        <v>0</v>
      </c>
      <c r="F3233">
        <v>0</v>
      </c>
    </row>
    <row r="3234" spans="1:6" x14ac:dyDescent="0.25">
      <c r="A3234" s="1">
        <v>45017</v>
      </c>
      <c r="B3234" t="s">
        <v>31</v>
      </c>
      <c r="C3234" t="s">
        <v>668</v>
      </c>
      <c r="D3234">
        <v>0</v>
      </c>
      <c r="E3234">
        <v>0</v>
      </c>
      <c r="F3234">
        <v>0</v>
      </c>
    </row>
    <row r="3235" spans="1:6" x14ac:dyDescent="0.25">
      <c r="A3235" s="1">
        <v>45017</v>
      </c>
      <c r="B3235" t="s">
        <v>460</v>
      </c>
      <c r="C3235" t="s">
        <v>856</v>
      </c>
      <c r="D3235" s="2">
        <v>22549560.899999999</v>
      </c>
      <c r="E3235" s="2">
        <v>5548707.9500000002</v>
      </c>
      <c r="F3235" s="2">
        <v>5863581.6600000001</v>
      </c>
    </row>
    <row r="3236" spans="1:6" x14ac:dyDescent="0.25">
      <c r="A3236" s="1">
        <v>45017</v>
      </c>
      <c r="B3236" t="s">
        <v>726</v>
      </c>
      <c r="C3236" t="s">
        <v>789</v>
      </c>
      <c r="D3236" s="2">
        <v>4828190.1500000004</v>
      </c>
      <c r="E3236" s="2">
        <v>354294.3</v>
      </c>
      <c r="F3236" s="2">
        <v>743215.06</v>
      </c>
    </row>
    <row r="3237" spans="1:6" x14ac:dyDescent="0.25">
      <c r="A3237" s="1">
        <v>45017</v>
      </c>
      <c r="B3237" t="s">
        <v>648</v>
      </c>
      <c r="C3237" t="s">
        <v>844</v>
      </c>
      <c r="D3237" s="2">
        <v>113224.41</v>
      </c>
      <c r="E3237" s="2">
        <v>79223.08</v>
      </c>
      <c r="F3237" s="2">
        <v>78494.649999999994</v>
      </c>
    </row>
    <row r="3238" spans="1:6" x14ac:dyDescent="0.25">
      <c r="A3238" s="1">
        <v>45017</v>
      </c>
      <c r="B3238" t="s">
        <v>21</v>
      </c>
      <c r="C3238" t="s">
        <v>1026</v>
      </c>
      <c r="D3238">
        <v>0</v>
      </c>
      <c r="E3238">
        <v>0</v>
      </c>
      <c r="F3238">
        <v>0</v>
      </c>
    </row>
    <row r="3239" spans="1:6" x14ac:dyDescent="0.25">
      <c r="A3239" s="1">
        <v>45017</v>
      </c>
      <c r="B3239" t="s">
        <v>17</v>
      </c>
      <c r="C3239" t="s">
        <v>1057</v>
      </c>
      <c r="D3239">
        <v>0</v>
      </c>
      <c r="E3239">
        <v>0</v>
      </c>
      <c r="F3239" s="2">
        <v>390135.27</v>
      </c>
    </row>
    <row r="3240" spans="1:6" x14ac:dyDescent="0.25">
      <c r="A3240" s="1">
        <v>45017</v>
      </c>
      <c r="B3240" t="s">
        <v>21</v>
      </c>
      <c r="C3240" t="s">
        <v>973</v>
      </c>
      <c r="D3240" s="2">
        <v>18028188.600000001</v>
      </c>
      <c r="E3240">
        <v>0</v>
      </c>
      <c r="F3240">
        <v>0</v>
      </c>
    </row>
    <row r="3241" spans="1:6" x14ac:dyDescent="0.25">
      <c r="A3241" s="1">
        <v>45017</v>
      </c>
      <c r="B3241" t="s">
        <v>90</v>
      </c>
      <c r="C3241" t="s">
        <v>1037</v>
      </c>
      <c r="D3241" s="2">
        <v>4777315</v>
      </c>
      <c r="E3241">
        <v>703.59</v>
      </c>
      <c r="F3241" s="2">
        <v>1705.78</v>
      </c>
    </row>
    <row r="3242" spans="1:6" x14ac:dyDescent="0.25">
      <c r="A3242" s="1">
        <v>45017</v>
      </c>
      <c r="B3242" t="s">
        <v>9</v>
      </c>
      <c r="C3242" t="s">
        <v>73</v>
      </c>
      <c r="D3242">
        <v>0</v>
      </c>
      <c r="E3242" s="2">
        <v>8500587</v>
      </c>
      <c r="F3242" s="2">
        <v>8500587</v>
      </c>
    </row>
    <row r="3243" spans="1:6" x14ac:dyDescent="0.25">
      <c r="A3243" s="1">
        <v>45017</v>
      </c>
      <c r="B3243" t="s">
        <v>31</v>
      </c>
      <c r="C3243" t="s">
        <v>558</v>
      </c>
      <c r="D3243">
        <v>0</v>
      </c>
      <c r="E3243">
        <v>0</v>
      </c>
      <c r="F3243">
        <v>0</v>
      </c>
    </row>
    <row r="3244" spans="1:6" x14ac:dyDescent="0.25">
      <c r="A3244" s="1">
        <v>45017</v>
      </c>
      <c r="B3244" t="s">
        <v>933</v>
      </c>
      <c r="C3244" t="s">
        <v>934</v>
      </c>
      <c r="D3244">
        <v>0</v>
      </c>
      <c r="E3244">
        <v>0</v>
      </c>
      <c r="F3244">
        <v>0</v>
      </c>
    </row>
    <row r="3245" spans="1:6" x14ac:dyDescent="0.25">
      <c r="A3245" s="1">
        <v>45017</v>
      </c>
      <c r="B3245" t="s">
        <v>46</v>
      </c>
      <c r="C3245" t="s">
        <v>424</v>
      </c>
      <c r="D3245" s="2">
        <v>100000</v>
      </c>
      <c r="E3245">
        <v>0</v>
      </c>
      <c r="F3245">
        <v>0</v>
      </c>
    </row>
    <row r="3246" spans="1:6" x14ac:dyDescent="0.25">
      <c r="A3246" s="1">
        <v>45017</v>
      </c>
      <c r="B3246" t="s">
        <v>46</v>
      </c>
      <c r="C3246" t="s">
        <v>674</v>
      </c>
      <c r="D3246" s="2">
        <v>32380814.890000001</v>
      </c>
      <c r="E3246" s="2">
        <v>19866072.199999999</v>
      </c>
      <c r="F3246" s="2">
        <v>9188446.4199999999</v>
      </c>
    </row>
    <row r="3247" spans="1:6" x14ac:dyDescent="0.25">
      <c r="A3247" s="1">
        <v>45017</v>
      </c>
      <c r="B3247" t="s">
        <v>81</v>
      </c>
      <c r="C3247" t="s">
        <v>358</v>
      </c>
      <c r="D3247">
        <v>0</v>
      </c>
      <c r="E3247">
        <v>0</v>
      </c>
      <c r="F3247">
        <v>0</v>
      </c>
    </row>
    <row r="3248" spans="1:6" x14ac:dyDescent="0.25">
      <c r="A3248" s="1">
        <v>45017</v>
      </c>
      <c r="B3248" t="s">
        <v>1137</v>
      </c>
      <c r="C3248" t="s">
        <v>1138</v>
      </c>
      <c r="D3248" s="2">
        <v>33989753.689999998</v>
      </c>
      <c r="E3248" s="2">
        <v>33989753.689999998</v>
      </c>
      <c r="F3248" s="2">
        <v>33989753.689999998</v>
      </c>
    </row>
    <row r="3249" spans="1:6" x14ac:dyDescent="0.25">
      <c r="A3249" s="1">
        <v>45017</v>
      </c>
      <c r="B3249" t="s">
        <v>154</v>
      </c>
      <c r="C3249" t="s">
        <v>467</v>
      </c>
      <c r="D3249" s="2">
        <v>68000</v>
      </c>
      <c r="E3249" s="2">
        <v>56004.66</v>
      </c>
      <c r="F3249" s="2">
        <v>56004.66</v>
      </c>
    </row>
    <row r="3250" spans="1:6" x14ac:dyDescent="0.25">
      <c r="A3250" s="1">
        <v>45017</v>
      </c>
      <c r="B3250" t="s">
        <v>29</v>
      </c>
      <c r="C3250" t="s">
        <v>180</v>
      </c>
      <c r="D3250">
        <v>0</v>
      </c>
      <c r="E3250">
        <v>0</v>
      </c>
      <c r="F3250">
        <v>0</v>
      </c>
    </row>
    <row r="3251" spans="1:6" x14ac:dyDescent="0.25">
      <c r="A3251" s="1">
        <v>45017</v>
      </c>
      <c r="B3251" t="s">
        <v>23</v>
      </c>
      <c r="C3251" t="s">
        <v>611</v>
      </c>
      <c r="D3251" s="2">
        <v>525678607.26999998</v>
      </c>
      <c r="E3251" s="2">
        <v>388545.39</v>
      </c>
      <c r="F3251" s="2">
        <v>368168.15</v>
      </c>
    </row>
    <row r="3252" spans="1:6" x14ac:dyDescent="0.25">
      <c r="A3252" s="1">
        <v>45017</v>
      </c>
      <c r="B3252" t="s">
        <v>101</v>
      </c>
      <c r="C3252" t="s">
        <v>849</v>
      </c>
      <c r="D3252" s="2">
        <v>-6000</v>
      </c>
      <c r="E3252">
        <v>-503.08</v>
      </c>
      <c r="F3252">
        <v>-503.08</v>
      </c>
    </row>
    <row r="3253" spans="1:6" x14ac:dyDescent="0.25">
      <c r="A3253" s="1">
        <v>45017</v>
      </c>
      <c r="B3253" t="s">
        <v>90</v>
      </c>
      <c r="C3253" t="s">
        <v>1063</v>
      </c>
      <c r="D3253">
        <v>0</v>
      </c>
      <c r="E3253">
        <v>0</v>
      </c>
      <c r="F3253">
        <v>0</v>
      </c>
    </row>
    <row r="3254" spans="1:6" x14ac:dyDescent="0.25">
      <c r="A3254" s="1">
        <v>45017</v>
      </c>
      <c r="B3254" t="s">
        <v>50</v>
      </c>
      <c r="C3254" t="s">
        <v>1146</v>
      </c>
      <c r="D3254">
        <v>0</v>
      </c>
      <c r="E3254" s="2">
        <v>50000000</v>
      </c>
      <c r="F3254" s="2">
        <v>50000000</v>
      </c>
    </row>
    <row r="3255" spans="1:6" x14ac:dyDescent="0.25">
      <c r="A3255" s="1">
        <v>45017</v>
      </c>
      <c r="B3255" t="s">
        <v>44</v>
      </c>
      <c r="C3255" t="s">
        <v>254</v>
      </c>
      <c r="D3255" s="2">
        <v>58380.84</v>
      </c>
      <c r="E3255" s="2">
        <v>49991.9</v>
      </c>
      <c r="F3255" s="2">
        <v>49991.9</v>
      </c>
    </row>
    <row r="3256" spans="1:6" x14ac:dyDescent="0.25">
      <c r="A3256" s="1">
        <v>45017</v>
      </c>
      <c r="B3256" t="s">
        <v>50</v>
      </c>
      <c r="C3256" t="s">
        <v>625</v>
      </c>
      <c r="D3256" s="2">
        <v>1100000</v>
      </c>
      <c r="E3256" s="2">
        <v>790981.37</v>
      </c>
      <c r="F3256" s="2">
        <v>30607.32</v>
      </c>
    </row>
    <row r="3257" spans="1:6" x14ac:dyDescent="0.25">
      <c r="A3257" s="1">
        <v>45017</v>
      </c>
      <c r="B3257" t="s">
        <v>21</v>
      </c>
      <c r="C3257" t="s">
        <v>527</v>
      </c>
      <c r="D3257" s="2">
        <v>5179527.7</v>
      </c>
      <c r="E3257" s="2">
        <v>2683017.65</v>
      </c>
      <c r="F3257" s="2">
        <v>2659866.61</v>
      </c>
    </row>
    <row r="3258" spans="1:6" x14ac:dyDescent="0.25">
      <c r="A3258" s="1">
        <v>45017</v>
      </c>
      <c r="B3258" t="s">
        <v>44</v>
      </c>
      <c r="C3258" t="s">
        <v>872</v>
      </c>
      <c r="D3258" s="2">
        <v>96618.89</v>
      </c>
      <c r="E3258" s="2">
        <v>95624.01</v>
      </c>
      <c r="F3258" s="2">
        <v>44667.62</v>
      </c>
    </row>
    <row r="3259" spans="1:6" x14ac:dyDescent="0.25">
      <c r="A3259" s="1">
        <v>45017</v>
      </c>
      <c r="B3259" t="s">
        <v>98</v>
      </c>
      <c r="C3259" t="s">
        <v>385</v>
      </c>
      <c r="D3259">
        <v>0</v>
      </c>
      <c r="E3259">
        <v>0</v>
      </c>
      <c r="F3259">
        <v>0</v>
      </c>
    </row>
    <row r="3260" spans="1:6" x14ac:dyDescent="0.25">
      <c r="A3260" s="1">
        <v>45017</v>
      </c>
      <c r="B3260" t="s">
        <v>114</v>
      </c>
      <c r="C3260" t="s">
        <v>578</v>
      </c>
      <c r="D3260" s="2">
        <v>13501368.17</v>
      </c>
      <c r="E3260" s="2">
        <v>13990523.65</v>
      </c>
      <c r="F3260" s="2">
        <v>13495348.15</v>
      </c>
    </row>
    <row r="3261" spans="1:6" x14ac:dyDescent="0.25">
      <c r="A3261" s="1">
        <v>45017</v>
      </c>
      <c r="B3261" t="s">
        <v>98</v>
      </c>
      <c r="C3261" t="s">
        <v>618</v>
      </c>
      <c r="D3261">
        <v>0</v>
      </c>
      <c r="E3261">
        <v>0</v>
      </c>
      <c r="F3261">
        <v>0</v>
      </c>
    </row>
    <row r="3262" spans="1:6" x14ac:dyDescent="0.25">
      <c r="A3262" s="1">
        <v>45017</v>
      </c>
      <c r="B3262" t="s">
        <v>288</v>
      </c>
      <c r="C3262" t="s">
        <v>660</v>
      </c>
      <c r="D3262">
        <v>-135.22</v>
      </c>
      <c r="E3262">
        <v>-135.22</v>
      </c>
      <c r="F3262">
        <v>-135.22</v>
      </c>
    </row>
    <row r="3263" spans="1:6" x14ac:dyDescent="0.25">
      <c r="A3263" s="1">
        <v>45017</v>
      </c>
      <c r="B3263" t="s">
        <v>114</v>
      </c>
      <c r="C3263" t="s">
        <v>764</v>
      </c>
      <c r="D3263" s="2">
        <v>97594647</v>
      </c>
      <c r="E3263" s="2">
        <v>54423762.509999998</v>
      </c>
      <c r="F3263" s="2">
        <v>27222076.239999998</v>
      </c>
    </row>
    <row r="3264" spans="1:6" x14ac:dyDescent="0.25">
      <c r="A3264" s="1">
        <v>45017</v>
      </c>
      <c r="B3264" t="s">
        <v>37</v>
      </c>
      <c r="C3264" t="s">
        <v>676</v>
      </c>
      <c r="D3264" s="2">
        <v>4785321.4800000004</v>
      </c>
      <c r="E3264" s="2">
        <v>628666.62</v>
      </c>
      <c r="F3264" s="2">
        <v>657020.79</v>
      </c>
    </row>
    <row r="3265" spans="1:6" x14ac:dyDescent="0.25">
      <c r="A3265" s="1">
        <v>45017</v>
      </c>
      <c r="B3265" t="s">
        <v>21</v>
      </c>
      <c r="C3265" t="s">
        <v>652</v>
      </c>
      <c r="D3265" s="2">
        <v>26000000</v>
      </c>
      <c r="E3265" s="2">
        <v>1333395.73</v>
      </c>
      <c r="F3265" s="2">
        <v>1333395.73</v>
      </c>
    </row>
    <row r="3266" spans="1:6" x14ac:dyDescent="0.25">
      <c r="A3266" s="1">
        <v>45017</v>
      </c>
      <c r="B3266" t="s">
        <v>17</v>
      </c>
      <c r="C3266" t="s">
        <v>954</v>
      </c>
      <c r="D3266">
        <v>0</v>
      </c>
      <c r="E3266">
        <v>0</v>
      </c>
      <c r="F3266">
        <v>0</v>
      </c>
    </row>
    <row r="3267" spans="1:6" x14ac:dyDescent="0.25">
      <c r="A3267" s="1">
        <v>45017</v>
      </c>
      <c r="B3267" t="s">
        <v>9</v>
      </c>
      <c r="C3267" t="s">
        <v>363</v>
      </c>
      <c r="D3267" s="2">
        <v>1126831.79</v>
      </c>
      <c r="E3267" s="2">
        <v>1652.98</v>
      </c>
      <c r="F3267" s="2">
        <v>165716.18</v>
      </c>
    </row>
    <row r="3268" spans="1:6" x14ac:dyDescent="0.25">
      <c r="A3268" s="1">
        <v>45017</v>
      </c>
      <c r="B3268" t="s">
        <v>40</v>
      </c>
      <c r="C3268" t="s">
        <v>815</v>
      </c>
      <c r="D3268" s="2">
        <v>55000</v>
      </c>
      <c r="E3268" s="2">
        <v>58114.23</v>
      </c>
      <c r="F3268" s="2">
        <v>76614.83</v>
      </c>
    </row>
    <row r="3269" spans="1:6" x14ac:dyDescent="0.25">
      <c r="A3269" s="1">
        <v>45017</v>
      </c>
      <c r="B3269" t="s">
        <v>114</v>
      </c>
      <c r="C3269" t="s">
        <v>882</v>
      </c>
      <c r="D3269" s="2">
        <v>758805.11</v>
      </c>
      <c r="E3269">
        <v>0</v>
      </c>
      <c r="F3269">
        <v>0</v>
      </c>
    </row>
    <row r="3270" spans="1:6" x14ac:dyDescent="0.25">
      <c r="A3270" s="1">
        <v>45017</v>
      </c>
      <c r="B3270" t="s">
        <v>196</v>
      </c>
      <c r="C3270" t="s">
        <v>262</v>
      </c>
      <c r="D3270">
        <v>0</v>
      </c>
      <c r="E3270">
        <v>0</v>
      </c>
      <c r="F3270">
        <v>0</v>
      </c>
    </row>
    <row r="3271" spans="1:6" x14ac:dyDescent="0.25">
      <c r="A3271" s="1">
        <v>45017</v>
      </c>
      <c r="B3271" t="s">
        <v>17</v>
      </c>
      <c r="C3271" t="s">
        <v>799</v>
      </c>
      <c r="D3271" s="2">
        <v>374616.09</v>
      </c>
      <c r="E3271" s="2">
        <v>269509.51</v>
      </c>
      <c r="F3271" s="2">
        <v>271419.03999999998</v>
      </c>
    </row>
    <row r="3272" spans="1:6" x14ac:dyDescent="0.25">
      <c r="A3272" s="1">
        <v>45017</v>
      </c>
      <c r="B3272" t="s">
        <v>27</v>
      </c>
      <c r="C3272" t="s">
        <v>607</v>
      </c>
      <c r="D3272" s="2">
        <v>100000</v>
      </c>
      <c r="E3272" s="2">
        <v>38498.68</v>
      </c>
      <c r="F3272" s="2">
        <v>38498.68</v>
      </c>
    </row>
    <row r="3273" spans="1:6" x14ac:dyDescent="0.25">
      <c r="A3273" s="1">
        <v>45017</v>
      </c>
      <c r="B3273" t="s">
        <v>48</v>
      </c>
      <c r="C3273" t="s">
        <v>1198</v>
      </c>
      <c r="D3273" s="2">
        <v>25003.5</v>
      </c>
      <c r="E3273" s="2">
        <v>25003.5</v>
      </c>
      <c r="F3273" s="2">
        <v>25003.5</v>
      </c>
    </row>
    <row r="3274" spans="1:6" x14ac:dyDescent="0.25">
      <c r="A3274" s="1">
        <v>45017</v>
      </c>
      <c r="B3274" t="s">
        <v>181</v>
      </c>
      <c r="C3274" t="s">
        <v>598</v>
      </c>
      <c r="D3274">
        <v>0</v>
      </c>
      <c r="E3274">
        <v>0</v>
      </c>
      <c r="F3274">
        <v>0</v>
      </c>
    </row>
    <row r="3275" spans="1:6" x14ac:dyDescent="0.25">
      <c r="A3275" s="1">
        <v>45017</v>
      </c>
      <c r="B3275" t="s">
        <v>213</v>
      </c>
      <c r="C3275" t="s">
        <v>565</v>
      </c>
      <c r="D3275">
        <v>0</v>
      </c>
      <c r="E3275">
        <v>0</v>
      </c>
      <c r="F3275">
        <v>0</v>
      </c>
    </row>
    <row r="3276" spans="1:6" x14ac:dyDescent="0.25">
      <c r="A3276" s="1">
        <v>45017</v>
      </c>
      <c r="B3276" t="s">
        <v>272</v>
      </c>
      <c r="C3276" t="s">
        <v>593</v>
      </c>
      <c r="D3276" s="2">
        <v>933205.86</v>
      </c>
      <c r="E3276" s="2">
        <v>925356.66</v>
      </c>
      <c r="F3276" s="2">
        <v>932504.07</v>
      </c>
    </row>
    <row r="3277" spans="1:6" x14ac:dyDescent="0.25">
      <c r="A3277" s="1">
        <v>45017</v>
      </c>
      <c r="B3277" t="s">
        <v>648</v>
      </c>
      <c r="C3277" t="s">
        <v>1047</v>
      </c>
      <c r="D3277" s="2">
        <v>15000</v>
      </c>
      <c r="E3277" s="2">
        <v>1519.71</v>
      </c>
      <c r="F3277" s="2">
        <v>1519.71</v>
      </c>
    </row>
    <row r="3278" spans="1:6" x14ac:dyDescent="0.25">
      <c r="A3278" s="1">
        <v>45017</v>
      </c>
      <c r="B3278" t="s">
        <v>46</v>
      </c>
      <c r="C3278" t="s">
        <v>587</v>
      </c>
      <c r="D3278" s="2">
        <v>100000</v>
      </c>
      <c r="E3278" s="2">
        <v>40798.620000000003</v>
      </c>
      <c r="F3278" s="2">
        <v>40798.620000000003</v>
      </c>
    </row>
    <row r="3279" spans="1:6" x14ac:dyDescent="0.25">
      <c r="A3279" s="1">
        <v>45017</v>
      </c>
      <c r="B3279" t="s">
        <v>27</v>
      </c>
      <c r="C3279" t="s">
        <v>783</v>
      </c>
      <c r="D3279" s="2">
        <v>6000</v>
      </c>
      <c r="E3279">
        <v>0</v>
      </c>
      <c r="F3279">
        <v>0</v>
      </c>
    </row>
    <row r="3280" spans="1:6" x14ac:dyDescent="0.25">
      <c r="A3280" s="1">
        <v>45017</v>
      </c>
      <c r="B3280" t="s">
        <v>25</v>
      </c>
      <c r="C3280" t="s">
        <v>373</v>
      </c>
      <c r="D3280" s="2">
        <v>1800</v>
      </c>
      <c r="E3280" s="2">
        <v>20712.330000000002</v>
      </c>
      <c r="F3280" s="2">
        <v>16679.810000000001</v>
      </c>
    </row>
    <row r="3281" spans="1:6" x14ac:dyDescent="0.25">
      <c r="A3281" s="1">
        <v>45017</v>
      </c>
      <c r="B3281" t="s">
        <v>23</v>
      </c>
      <c r="C3281" t="s">
        <v>248</v>
      </c>
      <c r="D3281">
        <v>153</v>
      </c>
      <c r="E3281">
        <v>0</v>
      </c>
      <c r="F3281">
        <v>0</v>
      </c>
    </row>
    <row r="3282" spans="1:6" x14ac:dyDescent="0.25">
      <c r="A3282" s="1">
        <v>45017</v>
      </c>
      <c r="B3282" t="s">
        <v>42</v>
      </c>
      <c r="C3282" t="s">
        <v>110</v>
      </c>
      <c r="D3282" s="2">
        <v>42977020.439999998</v>
      </c>
      <c r="E3282" s="2">
        <v>42977020.439999998</v>
      </c>
      <c r="F3282" s="2">
        <v>42977020.439999998</v>
      </c>
    </row>
    <row r="3283" spans="1:6" x14ac:dyDescent="0.25">
      <c r="A3283" s="1">
        <v>45017</v>
      </c>
      <c r="B3283" t="s">
        <v>48</v>
      </c>
      <c r="C3283" t="s">
        <v>1104</v>
      </c>
      <c r="D3283">
        <v>0</v>
      </c>
      <c r="E3283" s="2">
        <v>2043292.54</v>
      </c>
      <c r="F3283" s="2">
        <v>2043292.54</v>
      </c>
    </row>
    <row r="3284" spans="1:6" x14ac:dyDescent="0.25">
      <c r="A3284" s="1">
        <v>45017</v>
      </c>
      <c r="B3284" t="s">
        <v>31</v>
      </c>
      <c r="C3284" t="s">
        <v>731</v>
      </c>
      <c r="D3284">
        <v>0</v>
      </c>
      <c r="E3284">
        <v>0</v>
      </c>
      <c r="F3284">
        <v>0</v>
      </c>
    </row>
    <row r="3285" spans="1:6" x14ac:dyDescent="0.25">
      <c r="A3285" s="1">
        <v>45017</v>
      </c>
      <c r="B3285" t="s">
        <v>132</v>
      </c>
      <c r="C3285" t="s">
        <v>613</v>
      </c>
      <c r="D3285" s="2">
        <v>5460366.2300000004</v>
      </c>
      <c r="E3285" s="2">
        <v>5564920.1600000001</v>
      </c>
      <c r="F3285" s="2">
        <v>5564920.1600000001</v>
      </c>
    </row>
    <row r="3286" spans="1:6" x14ac:dyDescent="0.25">
      <c r="A3286" s="1">
        <v>45017</v>
      </c>
      <c r="B3286" t="s">
        <v>23</v>
      </c>
      <c r="C3286" t="s">
        <v>394</v>
      </c>
      <c r="D3286" s="2">
        <v>9000000</v>
      </c>
      <c r="E3286">
        <v>0</v>
      </c>
      <c r="F3286">
        <v>0</v>
      </c>
    </row>
    <row r="3287" spans="1:6" x14ac:dyDescent="0.25">
      <c r="A3287" s="1">
        <v>45017</v>
      </c>
      <c r="B3287" t="s">
        <v>81</v>
      </c>
      <c r="C3287" t="s">
        <v>1199</v>
      </c>
      <c r="D3287">
        <v>0</v>
      </c>
      <c r="E3287">
        <v>0</v>
      </c>
      <c r="F3287">
        <v>0</v>
      </c>
    </row>
    <row r="3288" spans="1:6" x14ac:dyDescent="0.25">
      <c r="A3288" s="1">
        <v>45017</v>
      </c>
      <c r="B3288" t="s">
        <v>118</v>
      </c>
      <c r="C3288" t="s">
        <v>389</v>
      </c>
      <c r="D3288">
        <v>0</v>
      </c>
      <c r="E3288">
        <v>0</v>
      </c>
      <c r="F3288">
        <v>0</v>
      </c>
    </row>
    <row r="3289" spans="1:6" x14ac:dyDescent="0.25">
      <c r="A3289" s="1">
        <v>45017</v>
      </c>
      <c r="B3289" t="s">
        <v>37</v>
      </c>
      <c r="C3289" t="s">
        <v>151</v>
      </c>
      <c r="D3289">
        <v>0</v>
      </c>
      <c r="E3289" s="2">
        <v>687210.5</v>
      </c>
      <c r="F3289" s="2">
        <v>687210.5</v>
      </c>
    </row>
    <row r="3290" spans="1:6" x14ac:dyDescent="0.25">
      <c r="A3290" s="1">
        <v>45017</v>
      </c>
      <c r="B3290" t="s">
        <v>92</v>
      </c>
      <c r="C3290" t="s">
        <v>981</v>
      </c>
      <c r="D3290">
        <v>0</v>
      </c>
      <c r="E3290">
        <v>622</v>
      </c>
      <c r="F3290" s="2">
        <v>115692</v>
      </c>
    </row>
    <row r="3291" spans="1:6" x14ac:dyDescent="0.25">
      <c r="A3291" s="1">
        <v>45017</v>
      </c>
      <c r="B3291" t="s">
        <v>23</v>
      </c>
      <c r="C3291" t="s">
        <v>131</v>
      </c>
      <c r="D3291" s="2">
        <v>2063293.57</v>
      </c>
      <c r="E3291" s="2">
        <v>38611.269999999997</v>
      </c>
      <c r="F3291" s="2">
        <v>30789.7</v>
      </c>
    </row>
    <row r="3292" spans="1:6" x14ac:dyDescent="0.25">
      <c r="A3292" s="1">
        <v>45017</v>
      </c>
      <c r="B3292" t="s">
        <v>383</v>
      </c>
      <c r="C3292" t="s">
        <v>1200</v>
      </c>
      <c r="D3292">
        <v>0</v>
      </c>
      <c r="E3292">
        <v>0</v>
      </c>
      <c r="F3292">
        <v>0</v>
      </c>
    </row>
    <row r="3293" spans="1:6" x14ac:dyDescent="0.25">
      <c r="A3293" s="1">
        <v>45017</v>
      </c>
      <c r="B3293" t="s">
        <v>458</v>
      </c>
      <c r="C3293" t="s">
        <v>30</v>
      </c>
      <c r="D3293">
        <v>0</v>
      </c>
      <c r="E3293">
        <v>0</v>
      </c>
      <c r="F3293">
        <v>0</v>
      </c>
    </row>
    <row r="3294" spans="1:6" x14ac:dyDescent="0.25">
      <c r="A3294" s="1">
        <v>45017</v>
      </c>
      <c r="B3294" t="s">
        <v>23</v>
      </c>
      <c r="C3294" t="s">
        <v>698</v>
      </c>
      <c r="D3294" s="2">
        <v>214219.7</v>
      </c>
      <c r="E3294" s="2">
        <v>47963.74</v>
      </c>
      <c r="F3294" s="2">
        <v>47963.74</v>
      </c>
    </row>
    <row r="3295" spans="1:6" x14ac:dyDescent="0.25">
      <c r="A3295" s="1">
        <v>45017</v>
      </c>
      <c r="B3295" t="s">
        <v>9</v>
      </c>
      <c r="C3295" t="s">
        <v>667</v>
      </c>
      <c r="D3295" s="2">
        <v>-70992.59</v>
      </c>
      <c r="E3295" s="2">
        <v>-55203.199999999997</v>
      </c>
      <c r="F3295" s="2">
        <v>-55203.199999999997</v>
      </c>
    </row>
    <row r="3296" spans="1:6" x14ac:dyDescent="0.25">
      <c r="A3296" s="1">
        <v>45017</v>
      </c>
      <c r="B3296" t="s">
        <v>118</v>
      </c>
      <c r="C3296" t="s">
        <v>1168</v>
      </c>
      <c r="D3296">
        <v>0</v>
      </c>
      <c r="E3296">
        <v>0</v>
      </c>
      <c r="F3296">
        <v>0</v>
      </c>
    </row>
    <row r="3297" spans="1:6" x14ac:dyDescent="0.25">
      <c r="A3297" s="1">
        <v>45017</v>
      </c>
      <c r="B3297" t="s">
        <v>21</v>
      </c>
      <c r="C3297" t="s">
        <v>1075</v>
      </c>
      <c r="D3297">
        <v>0</v>
      </c>
      <c r="E3297">
        <v>0</v>
      </c>
      <c r="F3297">
        <v>0</v>
      </c>
    </row>
    <row r="3298" spans="1:6" x14ac:dyDescent="0.25">
      <c r="A3298" s="1">
        <v>45017</v>
      </c>
      <c r="B3298" t="s">
        <v>92</v>
      </c>
      <c r="C3298" t="s">
        <v>862</v>
      </c>
      <c r="D3298" s="2">
        <v>261361.64</v>
      </c>
      <c r="E3298" s="2">
        <v>372853.09</v>
      </c>
      <c r="F3298" s="2">
        <v>355239.45</v>
      </c>
    </row>
    <row r="3299" spans="1:6" x14ac:dyDescent="0.25">
      <c r="A3299" s="1">
        <v>45017</v>
      </c>
      <c r="B3299" t="s">
        <v>23</v>
      </c>
      <c r="C3299" t="s">
        <v>603</v>
      </c>
      <c r="D3299" s="2">
        <v>796508.17</v>
      </c>
      <c r="E3299" s="2">
        <v>513655.99</v>
      </c>
      <c r="F3299" s="2">
        <v>517444.75</v>
      </c>
    </row>
    <row r="3300" spans="1:6" x14ac:dyDescent="0.25">
      <c r="A3300" s="1">
        <v>45017</v>
      </c>
      <c r="B3300" t="s">
        <v>37</v>
      </c>
      <c r="C3300" t="s">
        <v>1033</v>
      </c>
      <c r="D3300" s="2">
        <v>263834.40000000002</v>
      </c>
      <c r="E3300">
        <v>505.93</v>
      </c>
      <c r="F3300">
        <v>505.93</v>
      </c>
    </row>
    <row r="3301" spans="1:6" x14ac:dyDescent="0.25">
      <c r="A3301" s="1">
        <v>45017</v>
      </c>
      <c r="B3301" t="s">
        <v>278</v>
      </c>
      <c r="C3301" t="s">
        <v>401</v>
      </c>
      <c r="D3301" s="2">
        <v>59229375.579999998</v>
      </c>
      <c r="E3301" s="2">
        <v>59573878.289999999</v>
      </c>
      <c r="F3301" s="2">
        <v>60601241.979999997</v>
      </c>
    </row>
    <row r="3302" spans="1:6" x14ac:dyDescent="0.25">
      <c r="A3302" s="1">
        <v>45017</v>
      </c>
      <c r="B3302" t="s">
        <v>68</v>
      </c>
      <c r="C3302" t="s">
        <v>339</v>
      </c>
      <c r="D3302" s="2">
        <v>1408112.79</v>
      </c>
      <c r="E3302" s="2">
        <v>546144.18000000005</v>
      </c>
      <c r="F3302" s="2">
        <v>545477.47</v>
      </c>
    </row>
    <row r="3303" spans="1:6" x14ac:dyDescent="0.25">
      <c r="A3303" s="1">
        <v>45017</v>
      </c>
      <c r="B3303" t="s">
        <v>17</v>
      </c>
      <c r="C3303" t="s">
        <v>1051</v>
      </c>
      <c r="D3303">
        <v>0</v>
      </c>
      <c r="E3303">
        <v>0</v>
      </c>
      <c r="F3303">
        <v>0</v>
      </c>
    </row>
    <row r="3304" spans="1:6" x14ac:dyDescent="0.25">
      <c r="A3304" s="1">
        <v>45017</v>
      </c>
      <c r="B3304" t="s">
        <v>50</v>
      </c>
      <c r="C3304" t="s">
        <v>594</v>
      </c>
      <c r="D3304" s="2">
        <v>79162391.260000005</v>
      </c>
      <c r="E3304" s="2">
        <v>4386652.57</v>
      </c>
      <c r="F3304" s="2">
        <v>2278889.5</v>
      </c>
    </row>
    <row r="3305" spans="1:6" x14ac:dyDescent="0.25">
      <c r="A3305" s="1">
        <v>45017</v>
      </c>
      <c r="B3305" t="s">
        <v>11</v>
      </c>
      <c r="C3305" t="s">
        <v>12</v>
      </c>
      <c r="D3305" s="2">
        <v>-19630500</v>
      </c>
      <c r="E3305" s="2">
        <v>5572373295.9200001</v>
      </c>
      <c r="F3305" s="2">
        <v>5572373295.9200001</v>
      </c>
    </row>
    <row r="3306" spans="1:6" x14ac:dyDescent="0.25">
      <c r="A3306" s="1">
        <v>45017</v>
      </c>
      <c r="B3306" t="s">
        <v>27</v>
      </c>
      <c r="C3306" t="s">
        <v>835</v>
      </c>
      <c r="D3306" s="2">
        <v>694612.1</v>
      </c>
      <c r="E3306" s="2">
        <v>593561.64</v>
      </c>
      <c r="F3306" s="2">
        <v>593561.64</v>
      </c>
    </row>
    <row r="3307" spans="1:6" x14ac:dyDescent="0.25">
      <c r="A3307" s="1">
        <v>45017</v>
      </c>
      <c r="B3307" t="s">
        <v>196</v>
      </c>
      <c r="C3307" t="s">
        <v>926</v>
      </c>
      <c r="D3307">
        <v>0</v>
      </c>
      <c r="E3307">
        <v>0</v>
      </c>
      <c r="F3307">
        <v>0</v>
      </c>
    </row>
    <row r="3308" spans="1:6" x14ac:dyDescent="0.25">
      <c r="A3308" s="1">
        <v>45017</v>
      </c>
      <c r="B3308" t="s">
        <v>21</v>
      </c>
      <c r="C3308" t="s">
        <v>958</v>
      </c>
      <c r="D3308" s="2">
        <v>13121491.6</v>
      </c>
      <c r="E3308">
        <v>0</v>
      </c>
      <c r="F3308">
        <v>0</v>
      </c>
    </row>
    <row r="3309" spans="1:6" x14ac:dyDescent="0.25">
      <c r="A3309" s="1">
        <v>45017</v>
      </c>
      <c r="B3309" t="s">
        <v>50</v>
      </c>
      <c r="C3309" t="s">
        <v>274</v>
      </c>
      <c r="D3309">
        <v>0</v>
      </c>
      <c r="E3309">
        <v>0</v>
      </c>
      <c r="F3309" s="2">
        <v>6051.15</v>
      </c>
    </row>
    <row r="3310" spans="1:6" x14ac:dyDescent="0.25">
      <c r="A3310" s="1">
        <v>45017</v>
      </c>
      <c r="B3310" t="s">
        <v>402</v>
      </c>
      <c r="C3310" t="s">
        <v>1096</v>
      </c>
      <c r="D3310">
        <v>0</v>
      </c>
      <c r="E3310">
        <v>0</v>
      </c>
      <c r="F3310">
        <v>0</v>
      </c>
    </row>
    <row r="3311" spans="1:6" x14ac:dyDescent="0.25">
      <c r="A3311" s="1">
        <v>45017</v>
      </c>
      <c r="B3311" t="s">
        <v>105</v>
      </c>
      <c r="C3311" t="s">
        <v>106</v>
      </c>
      <c r="D3311">
        <v>0</v>
      </c>
      <c r="E3311">
        <v>0</v>
      </c>
      <c r="F3311">
        <v>0</v>
      </c>
    </row>
    <row r="3312" spans="1:6" x14ac:dyDescent="0.25">
      <c r="A3312" s="1">
        <v>45017</v>
      </c>
      <c r="B3312" t="s">
        <v>21</v>
      </c>
      <c r="C3312" t="s">
        <v>650</v>
      </c>
      <c r="D3312" s="2">
        <v>58506310.659999996</v>
      </c>
      <c r="E3312" s="2">
        <v>295373.14</v>
      </c>
      <c r="F3312" s="2">
        <v>295373.14</v>
      </c>
    </row>
    <row r="3313" spans="1:6" x14ac:dyDescent="0.25">
      <c r="A3313" s="1">
        <v>45017</v>
      </c>
      <c r="B3313" t="s">
        <v>23</v>
      </c>
      <c r="C3313" t="s">
        <v>343</v>
      </c>
      <c r="D3313" s="2">
        <v>1015051955.97</v>
      </c>
      <c r="E3313">
        <v>-122.57</v>
      </c>
      <c r="F3313">
        <v>-122.57</v>
      </c>
    </row>
    <row r="3314" spans="1:6" x14ac:dyDescent="0.25">
      <c r="A3314" s="1">
        <v>45017</v>
      </c>
      <c r="B3314" t="s">
        <v>17</v>
      </c>
      <c r="C3314" t="s">
        <v>303</v>
      </c>
      <c r="D3314" s="2">
        <v>22558392.030000001</v>
      </c>
      <c r="E3314" s="2">
        <v>7710982.79</v>
      </c>
      <c r="F3314" s="2">
        <v>24111171.489999998</v>
      </c>
    </row>
    <row r="3315" spans="1:6" x14ac:dyDescent="0.25">
      <c r="A3315" s="1">
        <v>45017</v>
      </c>
      <c r="B3315" t="s">
        <v>21</v>
      </c>
      <c r="C3315" t="s">
        <v>433</v>
      </c>
      <c r="D3315" s="2">
        <v>55643229.799999997</v>
      </c>
      <c r="E3315">
        <v>0</v>
      </c>
      <c r="F3315">
        <v>0</v>
      </c>
    </row>
    <row r="3316" spans="1:6" x14ac:dyDescent="0.25">
      <c r="A3316" s="1">
        <v>45017</v>
      </c>
      <c r="B3316" t="s">
        <v>23</v>
      </c>
      <c r="C3316" t="s">
        <v>294</v>
      </c>
      <c r="D3316">
        <v>0</v>
      </c>
      <c r="E3316">
        <v>0</v>
      </c>
      <c r="F3316">
        <v>0</v>
      </c>
    </row>
    <row r="3317" spans="1:6" x14ac:dyDescent="0.25">
      <c r="A3317" s="1">
        <v>45017</v>
      </c>
      <c r="B3317" t="s">
        <v>288</v>
      </c>
      <c r="C3317" t="s">
        <v>521</v>
      </c>
      <c r="D3317">
        <v>0</v>
      </c>
      <c r="E3317">
        <v>0</v>
      </c>
      <c r="F3317" s="2">
        <v>100000</v>
      </c>
    </row>
    <row r="3318" spans="1:6" x14ac:dyDescent="0.25">
      <c r="A3318" s="1">
        <v>45017</v>
      </c>
      <c r="B3318" t="s">
        <v>40</v>
      </c>
      <c r="C3318" t="s">
        <v>850</v>
      </c>
      <c r="D3318" s="2">
        <v>1604385.83</v>
      </c>
      <c r="E3318" s="2">
        <v>1047658.95</v>
      </c>
      <c r="F3318" s="2">
        <v>1029369.18</v>
      </c>
    </row>
    <row r="3319" spans="1:6" x14ac:dyDescent="0.25">
      <c r="A3319" s="1">
        <v>45017</v>
      </c>
      <c r="B3319" t="s">
        <v>17</v>
      </c>
      <c r="C3319" t="s">
        <v>350</v>
      </c>
      <c r="D3319" s="2">
        <v>10502555</v>
      </c>
      <c r="E3319" s="2">
        <v>10402555</v>
      </c>
      <c r="F3319" s="2">
        <v>24934262.52</v>
      </c>
    </row>
    <row r="3320" spans="1:6" x14ac:dyDescent="0.25">
      <c r="A3320" s="1">
        <v>45017</v>
      </c>
      <c r="B3320" t="s">
        <v>162</v>
      </c>
      <c r="C3320" t="s">
        <v>178</v>
      </c>
      <c r="D3320" s="2">
        <v>113827366.13</v>
      </c>
      <c r="E3320" s="2">
        <v>113801874.88</v>
      </c>
      <c r="F3320" s="2">
        <v>113801874.88</v>
      </c>
    </row>
    <row r="3321" spans="1:6" x14ac:dyDescent="0.25">
      <c r="A3321" s="1">
        <v>45017</v>
      </c>
      <c r="B3321" t="s">
        <v>50</v>
      </c>
      <c r="C3321" t="s">
        <v>425</v>
      </c>
      <c r="D3321">
        <v>0</v>
      </c>
      <c r="E3321">
        <v>0</v>
      </c>
      <c r="F3321">
        <v>0</v>
      </c>
    </row>
    <row r="3322" spans="1:6" x14ac:dyDescent="0.25">
      <c r="A3322" s="1">
        <v>45017</v>
      </c>
      <c r="B3322" t="s">
        <v>40</v>
      </c>
      <c r="C3322" t="s">
        <v>1083</v>
      </c>
      <c r="D3322">
        <v>0</v>
      </c>
      <c r="E3322" s="2">
        <v>2391601.31</v>
      </c>
      <c r="F3322" s="2">
        <v>2338986.08</v>
      </c>
    </row>
    <row r="3323" spans="1:6" x14ac:dyDescent="0.25">
      <c r="A3323" s="1">
        <v>45017</v>
      </c>
      <c r="B3323" t="s">
        <v>46</v>
      </c>
      <c r="C3323" t="s">
        <v>89</v>
      </c>
      <c r="D3323" s="2">
        <v>1057152.97</v>
      </c>
      <c r="E3323" s="2">
        <v>1160415.02</v>
      </c>
      <c r="F3323">
        <v>0</v>
      </c>
    </row>
    <row r="3324" spans="1:6" x14ac:dyDescent="0.25">
      <c r="A3324" s="1">
        <v>45017</v>
      </c>
      <c r="B3324" t="s">
        <v>75</v>
      </c>
      <c r="C3324" t="s">
        <v>485</v>
      </c>
      <c r="D3324" s="2">
        <v>2637071.41</v>
      </c>
      <c r="E3324" s="2">
        <v>910978.39</v>
      </c>
      <c r="F3324" s="2">
        <v>789393.63</v>
      </c>
    </row>
    <row r="3325" spans="1:6" x14ac:dyDescent="0.25">
      <c r="A3325" s="1">
        <v>45017</v>
      </c>
      <c r="B3325" t="s">
        <v>9</v>
      </c>
      <c r="C3325" t="s">
        <v>182</v>
      </c>
      <c r="D3325">
        <v>0</v>
      </c>
      <c r="E3325">
        <v>0</v>
      </c>
      <c r="F3325">
        <v>0</v>
      </c>
    </row>
    <row r="3326" spans="1:6" x14ac:dyDescent="0.25">
      <c r="A3326" s="1">
        <v>45017</v>
      </c>
      <c r="B3326" t="s">
        <v>90</v>
      </c>
      <c r="C3326" t="s">
        <v>1021</v>
      </c>
      <c r="D3326" s="2">
        <v>50000</v>
      </c>
      <c r="E3326" s="2">
        <v>4664.71</v>
      </c>
      <c r="F3326" s="2">
        <v>4223.49</v>
      </c>
    </row>
    <row r="3327" spans="1:6" x14ac:dyDescent="0.25">
      <c r="A3327" s="1">
        <v>45017</v>
      </c>
      <c r="B3327" t="s">
        <v>21</v>
      </c>
      <c r="C3327" t="s">
        <v>970</v>
      </c>
      <c r="D3327" s="2">
        <v>29895465.41</v>
      </c>
      <c r="E3327" s="2">
        <v>13645625.16</v>
      </c>
      <c r="F3327" s="2">
        <v>13645625.16</v>
      </c>
    </row>
    <row r="3328" spans="1:6" x14ac:dyDescent="0.25">
      <c r="A3328" s="1">
        <v>45017</v>
      </c>
      <c r="B3328" t="s">
        <v>40</v>
      </c>
      <c r="C3328" t="s">
        <v>777</v>
      </c>
      <c r="D3328" s="2">
        <v>6320000</v>
      </c>
      <c r="E3328" s="2">
        <v>33603344.770000003</v>
      </c>
      <c r="F3328" s="2">
        <v>10806892.77</v>
      </c>
    </row>
    <row r="3329" spans="1:6" x14ac:dyDescent="0.25">
      <c r="A3329" s="1">
        <v>45017</v>
      </c>
      <c r="B3329" t="s">
        <v>162</v>
      </c>
      <c r="C3329" t="s">
        <v>605</v>
      </c>
      <c r="D3329" s="2">
        <v>4750065.32</v>
      </c>
      <c r="E3329" s="2">
        <v>176761.84</v>
      </c>
      <c r="F3329" s="2">
        <v>170345.02</v>
      </c>
    </row>
    <row r="3330" spans="1:6" x14ac:dyDescent="0.25">
      <c r="A3330" s="1">
        <v>45017</v>
      </c>
      <c r="B3330" t="s">
        <v>21</v>
      </c>
      <c r="C3330" t="s">
        <v>622</v>
      </c>
      <c r="D3330" s="2">
        <v>428349.72</v>
      </c>
      <c r="E3330" s="2">
        <v>134841.94</v>
      </c>
      <c r="F3330" s="2">
        <v>263926.84999999998</v>
      </c>
    </row>
    <row r="3331" spans="1:6" x14ac:dyDescent="0.25">
      <c r="A3331" s="1">
        <v>45017</v>
      </c>
      <c r="B3331" t="s">
        <v>31</v>
      </c>
      <c r="C3331" t="s">
        <v>1038</v>
      </c>
      <c r="D3331" s="2">
        <v>15000</v>
      </c>
      <c r="E3331" s="2">
        <v>8935.82</v>
      </c>
      <c r="F3331" s="2">
        <v>44196.46</v>
      </c>
    </row>
    <row r="3332" spans="1:6" x14ac:dyDescent="0.25">
      <c r="A3332" s="1">
        <v>45017</v>
      </c>
      <c r="B3332" t="s">
        <v>21</v>
      </c>
      <c r="C3332" t="s">
        <v>797</v>
      </c>
      <c r="D3332" s="2">
        <v>943338</v>
      </c>
      <c r="E3332">
        <v>0</v>
      </c>
      <c r="F3332">
        <v>0</v>
      </c>
    </row>
    <row r="3333" spans="1:6" x14ac:dyDescent="0.25">
      <c r="A3333" s="1">
        <v>45017</v>
      </c>
      <c r="B3333" t="s">
        <v>44</v>
      </c>
      <c r="C3333" t="s">
        <v>723</v>
      </c>
      <c r="D3333" s="2">
        <v>35870.230000000003</v>
      </c>
      <c r="E3333" s="2">
        <v>159248.94</v>
      </c>
      <c r="F3333" s="2">
        <v>183702.08</v>
      </c>
    </row>
    <row r="3334" spans="1:6" x14ac:dyDescent="0.25">
      <c r="A3334" s="1">
        <v>45017</v>
      </c>
      <c r="B3334" t="s">
        <v>29</v>
      </c>
      <c r="C3334" t="s">
        <v>798</v>
      </c>
      <c r="D3334">
        <v>0</v>
      </c>
      <c r="E3334">
        <v>0</v>
      </c>
      <c r="F3334">
        <v>0</v>
      </c>
    </row>
    <row r="3335" spans="1:6" x14ac:dyDescent="0.25">
      <c r="A3335" s="1">
        <v>45017</v>
      </c>
      <c r="B3335" t="s">
        <v>272</v>
      </c>
      <c r="C3335" t="s">
        <v>273</v>
      </c>
      <c r="D3335" s="2">
        <v>48800</v>
      </c>
      <c r="E3335" s="2">
        <v>19922.02</v>
      </c>
      <c r="F3335" s="2">
        <v>19922.02</v>
      </c>
    </row>
    <row r="3336" spans="1:6" x14ac:dyDescent="0.25">
      <c r="A3336" s="1">
        <v>45017</v>
      </c>
      <c r="B3336" t="s">
        <v>162</v>
      </c>
      <c r="C3336" t="s">
        <v>291</v>
      </c>
      <c r="D3336" s="2">
        <v>138748928.00999999</v>
      </c>
      <c r="E3336" s="2">
        <v>350565656.14999998</v>
      </c>
      <c r="F3336" s="2">
        <v>249096806.83000001</v>
      </c>
    </row>
    <row r="3337" spans="1:6" x14ac:dyDescent="0.25">
      <c r="A3337" s="1">
        <v>45017</v>
      </c>
      <c r="B3337" t="s">
        <v>176</v>
      </c>
      <c r="C3337" t="s">
        <v>924</v>
      </c>
      <c r="D3337">
        <v>0</v>
      </c>
      <c r="E3337">
        <v>0</v>
      </c>
      <c r="F3337">
        <v>0</v>
      </c>
    </row>
    <row r="3338" spans="1:6" x14ac:dyDescent="0.25">
      <c r="A3338" s="1">
        <v>45017</v>
      </c>
      <c r="B3338" t="s">
        <v>29</v>
      </c>
      <c r="C3338" t="s">
        <v>260</v>
      </c>
      <c r="D3338" s="2">
        <v>87940827.450000003</v>
      </c>
      <c r="E3338" s="2">
        <v>133920476</v>
      </c>
      <c r="F3338" s="2">
        <v>79769784.370000005</v>
      </c>
    </row>
    <row r="3339" spans="1:6" x14ac:dyDescent="0.25">
      <c r="A3339" s="1">
        <v>45017</v>
      </c>
      <c r="B3339" t="s">
        <v>23</v>
      </c>
      <c r="C3339" t="s">
        <v>655</v>
      </c>
      <c r="D3339">
        <v>0</v>
      </c>
      <c r="E3339">
        <v>0</v>
      </c>
      <c r="F3339">
        <v>0</v>
      </c>
    </row>
    <row r="3340" spans="1:6" x14ac:dyDescent="0.25">
      <c r="A3340" s="1">
        <v>45017</v>
      </c>
      <c r="B3340" t="s">
        <v>96</v>
      </c>
      <c r="C3340" t="s">
        <v>286</v>
      </c>
      <c r="D3340">
        <v>0</v>
      </c>
      <c r="E3340">
        <v>0</v>
      </c>
      <c r="F3340">
        <v>0</v>
      </c>
    </row>
    <row r="3341" spans="1:6" x14ac:dyDescent="0.25">
      <c r="A3341" s="1">
        <v>45017</v>
      </c>
      <c r="B3341" t="s">
        <v>44</v>
      </c>
      <c r="C3341" t="s">
        <v>240</v>
      </c>
      <c r="D3341" s="2">
        <v>30508.03</v>
      </c>
      <c r="E3341" s="2">
        <v>395678.1</v>
      </c>
      <c r="F3341" s="2">
        <v>395334.46</v>
      </c>
    </row>
    <row r="3342" spans="1:6" x14ac:dyDescent="0.25">
      <c r="A3342" s="1">
        <v>45017</v>
      </c>
      <c r="B3342" t="s">
        <v>118</v>
      </c>
      <c r="C3342" t="s">
        <v>639</v>
      </c>
      <c r="D3342" s="2">
        <v>200000</v>
      </c>
      <c r="E3342" s="2">
        <v>4666391.24</v>
      </c>
      <c r="F3342" s="2">
        <v>9130271.75</v>
      </c>
    </row>
    <row r="3343" spans="1:6" x14ac:dyDescent="0.25">
      <c r="A3343" s="1">
        <v>45017</v>
      </c>
      <c r="B3343" t="s">
        <v>42</v>
      </c>
      <c r="C3343" t="s">
        <v>174</v>
      </c>
      <c r="D3343" s="2">
        <v>5928652.5</v>
      </c>
      <c r="E3343" s="2">
        <v>5928652.5</v>
      </c>
      <c r="F3343" s="2">
        <v>5928652.5</v>
      </c>
    </row>
    <row r="3344" spans="1:6" x14ac:dyDescent="0.25">
      <c r="A3344" s="1">
        <v>45017</v>
      </c>
      <c r="B3344" t="s">
        <v>50</v>
      </c>
      <c r="C3344" t="s">
        <v>787</v>
      </c>
      <c r="D3344" s="2">
        <v>31540092.170000002</v>
      </c>
      <c r="E3344" s="2">
        <v>4375274.08</v>
      </c>
      <c r="F3344" s="2">
        <v>2553849.17</v>
      </c>
    </row>
    <row r="3345" spans="1:6" x14ac:dyDescent="0.25">
      <c r="A3345" s="1">
        <v>45017</v>
      </c>
      <c r="B3345" t="s">
        <v>251</v>
      </c>
      <c r="C3345" t="s">
        <v>808</v>
      </c>
      <c r="D3345" s="2">
        <v>3010384.54</v>
      </c>
      <c r="E3345" s="2">
        <v>72436148.310000002</v>
      </c>
      <c r="F3345" s="2">
        <v>73829432.239999995</v>
      </c>
    </row>
    <row r="3346" spans="1:6" x14ac:dyDescent="0.25">
      <c r="A3346" s="1">
        <v>45017</v>
      </c>
      <c r="B3346" t="s">
        <v>37</v>
      </c>
      <c r="C3346" t="s">
        <v>728</v>
      </c>
      <c r="D3346" s="2">
        <v>303005.63</v>
      </c>
      <c r="E3346" s="2">
        <v>249843.95</v>
      </c>
      <c r="F3346" s="2">
        <v>190315.7</v>
      </c>
    </row>
    <row r="3347" spans="1:6" x14ac:dyDescent="0.25">
      <c r="A3347" s="1">
        <v>45017</v>
      </c>
      <c r="B3347" t="s">
        <v>460</v>
      </c>
      <c r="C3347" t="s">
        <v>461</v>
      </c>
      <c r="D3347" s="2">
        <v>160807.19</v>
      </c>
      <c r="E3347" s="2">
        <v>174289.58</v>
      </c>
      <c r="F3347" s="2">
        <v>174289.58</v>
      </c>
    </row>
    <row r="3348" spans="1:6" x14ac:dyDescent="0.25">
      <c r="A3348" s="1">
        <v>45017</v>
      </c>
      <c r="B3348" t="s">
        <v>103</v>
      </c>
      <c r="C3348" t="s">
        <v>259</v>
      </c>
      <c r="D3348" s="2">
        <v>1039569</v>
      </c>
      <c r="E3348">
        <v>0</v>
      </c>
      <c r="F3348">
        <v>0</v>
      </c>
    </row>
    <row r="3349" spans="1:6" x14ac:dyDescent="0.25">
      <c r="A3349" s="1">
        <v>45017</v>
      </c>
      <c r="B3349" t="s">
        <v>11</v>
      </c>
      <c r="C3349" t="s">
        <v>195</v>
      </c>
      <c r="D3349" s="2">
        <v>165316091.91999999</v>
      </c>
      <c r="E3349" s="2">
        <v>165277354.30000001</v>
      </c>
      <c r="F3349" s="2">
        <v>164755713.63999999</v>
      </c>
    </row>
    <row r="3350" spans="1:6" x14ac:dyDescent="0.25">
      <c r="A3350" s="1">
        <v>45017</v>
      </c>
      <c r="B3350" t="s">
        <v>98</v>
      </c>
      <c r="C3350" t="s">
        <v>589</v>
      </c>
      <c r="D3350">
        <v>0</v>
      </c>
      <c r="E3350">
        <v>0</v>
      </c>
      <c r="F3350">
        <v>0</v>
      </c>
    </row>
    <row r="3351" spans="1:6" x14ac:dyDescent="0.25">
      <c r="A3351" s="1">
        <v>45017</v>
      </c>
      <c r="B3351" t="s">
        <v>50</v>
      </c>
      <c r="C3351" t="s">
        <v>222</v>
      </c>
      <c r="D3351" s="2">
        <v>2400</v>
      </c>
      <c r="E3351" s="2">
        <v>5956487.4500000002</v>
      </c>
      <c r="F3351" s="2">
        <v>7850269.6600000001</v>
      </c>
    </row>
    <row r="3352" spans="1:6" x14ac:dyDescent="0.25">
      <c r="A3352" s="1">
        <v>45017</v>
      </c>
      <c r="B3352" t="s">
        <v>21</v>
      </c>
      <c r="C3352" t="s">
        <v>591</v>
      </c>
      <c r="D3352">
        <v>0</v>
      </c>
      <c r="E3352" s="2">
        <v>5590564.6900000004</v>
      </c>
      <c r="F3352" s="2">
        <v>5749037.8300000001</v>
      </c>
    </row>
    <row r="3353" spans="1:6" x14ac:dyDescent="0.25">
      <c r="A3353" s="1">
        <v>45017</v>
      </c>
      <c r="B3353" t="s">
        <v>105</v>
      </c>
      <c r="C3353" t="s">
        <v>336</v>
      </c>
      <c r="D3353" s="2">
        <v>2138603.4700000002</v>
      </c>
      <c r="E3353" s="2">
        <v>979468.18</v>
      </c>
      <c r="F3353" s="2">
        <v>974103.09</v>
      </c>
    </row>
    <row r="3354" spans="1:6" x14ac:dyDescent="0.25">
      <c r="A3354" s="1">
        <v>45017</v>
      </c>
      <c r="B3354" t="s">
        <v>23</v>
      </c>
      <c r="C3354" t="s">
        <v>418</v>
      </c>
      <c r="D3354" s="2">
        <v>40049779.049999997</v>
      </c>
      <c r="E3354" s="2">
        <v>8848965.25</v>
      </c>
      <c r="F3354" s="2">
        <v>8848965.25</v>
      </c>
    </row>
    <row r="3355" spans="1:6" x14ac:dyDescent="0.25">
      <c r="A3355" s="1">
        <v>45017</v>
      </c>
      <c r="B3355" t="s">
        <v>98</v>
      </c>
      <c r="C3355" t="s">
        <v>378</v>
      </c>
      <c r="D3355">
        <v>0</v>
      </c>
      <c r="E3355">
        <v>0</v>
      </c>
      <c r="F3355">
        <v>0</v>
      </c>
    </row>
    <row r="3356" spans="1:6" x14ac:dyDescent="0.25">
      <c r="A3356" s="1">
        <v>45017</v>
      </c>
      <c r="B3356" t="s">
        <v>234</v>
      </c>
      <c r="C3356" t="s">
        <v>235</v>
      </c>
      <c r="D3356" s="2">
        <v>216099.38</v>
      </c>
      <c r="E3356" s="2">
        <v>2371.91</v>
      </c>
      <c r="F3356" s="2">
        <v>5208.28</v>
      </c>
    </row>
    <row r="3357" spans="1:6" x14ac:dyDescent="0.25">
      <c r="A3357" s="1">
        <v>45017</v>
      </c>
      <c r="B3357" t="s">
        <v>383</v>
      </c>
      <c r="C3357" t="s">
        <v>754</v>
      </c>
      <c r="D3357">
        <v>0</v>
      </c>
      <c r="E3357">
        <v>0</v>
      </c>
      <c r="F3357">
        <v>0</v>
      </c>
    </row>
    <row r="3358" spans="1:6" x14ac:dyDescent="0.25">
      <c r="A3358" s="1">
        <v>45017</v>
      </c>
      <c r="B3358" t="s">
        <v>17</v>
      </c>
      <c r="C3358" t="s">
        <v>268</v>
      </c>
      <c r="D3358">
        <v>0</v>
      </c>
      <c r="E3358">
        <v>0</v>
      </c>
      <c r="F3358">
        <v>0</v>
      </c>
    </row>
    <row r="3359" spans="1:6" x14ac:dyDescent="0.25">
      <c r="A3359" s="1">
        <v>45017</v>
      </c>
      <c r="B3359" t="s">
        <v>196</v>
      </c>
      <c r="C3359" t="s">
        <v>501</v>
      </c>
      <c r="D3359">
        <v>0</v>
      </c>
      <c r="E3359">
        <v>0</v>
      </c>
      <c r="F3359">
        <v>0</v>
      </c>
    </row>
    <row r="3360" spans="1:6" x14ac:dyDescent="0.25">
      <c r="A3360" s="1">
        <v>45017</v>
      </c>
      <c r="B3360" t="s">
        <v>21</v>
      </c>
      <c r="C3360" t="s">
        <v>369</v>
      </c>
      <c r="D3360" s="2">
        <v>161641.68</v>
      </c>
      <c r="E3360" s="2">
        <v>127472.52</v>
      </c>
      <c r="F3360" s="2">
        <v>96540.31</v>
      </c>
    </row>
    <row r="3361" spans="1:6" x14ac:dyDescent="0.25">
      <c r="A3361" s="1">
        <v>45017</v>
      </c>
      <c r="B3361" t="s">
        <v>21</v>
      </c>
      <c r="C3361" t="s">
        <v>795</v>
      </c>
      <c r="D3361" s="2">
        <v>46500000</v>
      </c>
      <c r="E3361">
        <v>0</v>
      </c>
      <c r="F3361">
        <v>0</v>
      </c>
    </row>
    <row r="3362" spans="1:6" x14ac:dyDescent="0.25">
      <c r="A3362" s="1">
        <v>45017</v>
      </c>
      <c r="B3362" t="s">
        <v>50</v>
      </c>
      <c r="C3362" t="s">
        <v>735</v>
      </c>
      <c r="D3362" s="2">
        <v>135836.20000000001</v>
      </c>
      <c r="E3362" s="2">
        <v>69951.039999999994</v>
      </c>
      <c r="F3362" s="2">
        <v>47083.54</v>
      </c>
    </row>
    <row r="3363" spans="1:6" x14ac:dyDescent="0.25">
      <c r="A3363" s="1">
        <v>45017</v>
      </c>
      <c r="B3363" t="s">
        <v>11</v>
      </c>
      <c r="C3363" t="s">
        <v>794</v>
      </c>
      <c r="D3363" s="2">
        <v>42974515.490000002</v>
      </c>
      <c r="E3363" s="2">
        <v>42928463.32</v>
      </c>
      <c r="F3363" s="2">
        <v>43176640.079999998</v>
      </c>
    </row>
    <row r="3364" spans="1:6" x14ac:dyDescent="0.25">
      <c r="A3364" s="1">
        <v>45017</v>
      </c>
      <c r="B3364" t="s">
        <v>518</v>
      </c>
      <c r="C3364" t="s">
        <v>906</v>
      </c>
      <c r="D3364" s="2">
        <v>91310.62</v>
      </c>
      <c r="E3364" s="2">
        <v>51541.26</v>
      </c>
      <c r="F3364" s="2">
        <v>59503.31</v>
      </c>
    </row>
    <row r="3365" spans="1:6" x14ac:dyDescent="0.25">
      <c r="A3365" s="1">
        <v>45017</v>
      </c>
      <c r="B3365" t="s">
        <v>13</v>
      </c>
      <c r="C3365" t="s">
        <v>446</v>
      </c>
      <c r="D3365" s="2">
        <v>146282949.11000001</v>
      </c>
      <c r="E3365" s="2">
        <v>25823123.789999999</v>
      </c>
      <c r="F3365" s="2">
        <v>25823123.789999999</v>
      </c>
    </row>
    <row r="3366" spans="1:6" x14ac:dyDescent="0.25">
      <c r="A3366" s="1">
        <v>45017</v>
      </c>
      <c r="B3366" t="s">
        <v>337</v>
      </c>
      <c r="C3366" t="s">
        <v>338</v>
      </c>
      <c r="D3366" s="2">
        <v>7357823.8399999999</v>
      </c>
      <c r="E3366" s="2">
        <v>2092476.54</v>
      </c>
      <c r="F3366" s="2">
        <v>2655295.1800000002</v>
      </c>
    </row>
    <row r="3367" spans="1:6" x14ac:dyDescent="0.25">
      <c r="A3367" s="1">
        <v>45017</v>
      </c>
      <c r="B3367" t="s">
        <v>107</v>
      </c>
      <c r="C3367" t="s">
        <v>189</v>
      </c>
      <c r="D3367" s="2">
        <v>28773900</v>
      </c>
      <c r="E3367" s="2">
        <v>14499100</v>
      </c>
      <c r="F3367" s="2">
        <v>14499100</v>
      </c>
    </row>
    <row r="3368" spans="1:6" x14ac:dyDescent="0.25">
      <c r="A3368" s="1">
        <v>45017</v>
      </c>
      <c r="B3368" t="s">
        <v>50</v>
      </c>
      <c r="C3368" t="s">
        <v>689</v>
      </c>
      <c r="D3368" s="2">
        <v>71000</v>
      </c>
      <c r="E3368" s="2">
        <v>13312.66</v>
      </c>
      <c r="F3368" s="2">
        <v>12112.36</v>
      </c>
    </row>
    <row r="3369" spans="1:6" x14ac:dyDescent="0.25">
      <c r="A3369" s="1">
        <v>45017</v>
      </c>
      <c r="B3369" t="s">
        <v>132</v>
      </c>
      <c r="C3369" t="s">
        <v>385</v>
      </c>
      <c r="D3369" s="2">
        <v>9703778.5099999998</v>
      </c>
      <c r="E3369" s="2">
        <v>5551725.9000000004</v>
      </c>
      <c r="F3369" s="2">
        <v>8585223.5099999998</v>
      </c>
    </row>
    <row r="3370" spans="1:6" x14ac:dyDescent="0.25">
      <c r="A3370" s="1">
        <v>45017</v>
      </c>
      <c r="B3370" t="s">
        <v>21</v>
      </c>
      <c r="C3370" t="s">
        <v>366</v>
      </c>
      <c r="D3370">
        <v>0</v>
      </c>
      <c r="E3370" s="2">
        <v>28490.85</v>
      </c>
      <c r="F3370" s="2">
        <v>28490.85</v>
      </c>
    </row>
    <row r="3371" spans="1:6" x14ac:dyDescent="0.25">
      <c r="A3371" s="1">
        <v>45017</v>
      </c>
      <c r="B3371" t="s">
        <v>107</v>
      </c>
      <c r="C3371" t="s">
        <v>348</v>
      </c>
      <c r="D3371" s="2">
        <v>806428.2</v>
      </c>
      <c r="E3371">
        <v>0</v>
      </c>
      <c r="F3371">
        <v>0</v>
      </c>
    </row>
    <row r="3372" spans="1:6" x14ac:dyDescent="0.25">
      <c r="A3372" s="1">
        <v>45017</v>
      </c>
      <c r="B3372" t="s">
        <v>278</v>
      </c>
      <c r="C3372" t="s">
        <v>279</v>
      </c>
      <c r="D3372">
        <v>0</v>
      </c>
      <c r="E3372" s="2">
        <v>97708.11</v>
      </c>
      <c r="F3372" s="2">
        <v>97708.11</v>
      </c>
    </row>
    <row r="3373" spans="1:6" x14ac:dyDescent="0.25">
      <c r="A3373" s="1">
        <v>45017</v>
      </c>
      <c r="B3373" t="s">
        <v>98</v>
      </c>
      <c r="C3373" t="s">
        <v>1000</v>
      </c>
      <c r="D3373">
        <v>0</v>
      </c>
      <c r="E3373">
        <v>0</v>
      </c>
      <c r="F3373">
        <v>0</v>
      </c>
    </row>
    <row r="3374" spans="1:6" x14ac:dyDescent="0.25">
      <c r="A3374" s="1">
        <v>45017</v>
      </c>
      <c r="B3374" t="s">
        <v>661</v>
      </c>
      <c r="C3374" t="s">
        <v>95</v>
      </c>
      <c r="D3374">
        <v>0</v>
      </c>
      <c r="E3374">
        <v>0</v>
      </c>
      <c r="F3374">
        <v>0</v>
      </c>
    </row>
    <row r="3375" spans="1:6" x14ac:dyDescent="0.25">
      <c r="A3375" s="1">
        <v>45017</v>
      </c>
      <c r="B3375" t="s">
        <v>46</v>
      </c>
      <c r="C3375" t="s">
        <v>333</v>
      </c>
      <c r="D3375" s="2">
        <v>300000</v>
      </c>
      <c r="E3375">
        <v>0</v>
      </c>
      <c r="F3375">
        <v>0</v>
      </c>
    </row>
    <row r="3376" spans="1:6" x14ac:dyDescent="0.25">
      <c r="A3376" s="1">
        <v>45017</v>
      </c>
      <c r="B3376" t="s">
        <v>422</v>
      </c>
      <c r="C3376" t="s">
        <v>678</v>
      </c>
      <c r="D3376">
        <v>0</v>
      </c>
      <c r="E3376">
        <v>0</v>
      </c>
      <c r="F3376">
        <v>0</v>
      </c>
    </row>
    <row r="3377" spans="1:6" x14ac:dyDescent="0.25">
      <c r="A3377" s="1">
        <v>45017</v>
      </c>
      <c r="B3377" t="s">
        <v>21</v>
      </c>
      <c r="C3377" t="s">
        <v>643</v>
      </c>
      <c r="D3377" s="2">
        <v>26050000</v>
      </c>
      <c r="E3377">
        <v>0</v>
      </c>
      <c r="F3377">
        <v>0</v>
      </c>
    </row>
    <row r="3378" spans="1:6" x14ac:dyDescent="0.25">
      <c r="A3378" s="1">
        <v>45017</v>
      </c>
      <c r="B3378" t="s">
        <v>50</v>
      </c>
      <c r="C3378" t="s">
        <v>51</v>
      </c>
      <c r="D3378">
        <v>0</v>
      </c>
      <c r="E3378">
        <v>0</v>
      </c>
      <c r="F3378">
        <v>0</v>
      </c>
    </row>
    <row r="3379" spans="1:6" x14ac:dyDescent="0.25">
      <c r="A3379" s="1">
        <v>45017</v>
      </c>
      <c r="B3379" t="s">
        <v>306</v>
      </c>
      <c r="C3379" t="s">
        <v>403</v>
      </c>
      <c r="D3379" s="2">
        <v>5231243.84</v>
      </c>
      <c r="E3379" s="2">
        <v>9973.44</v>
      </c>
      <c r="F3379" s="2">
        <v>3540.4</v>
      </c>
    </row>
    <row r="3380" spans="1:6" x14ac:dyDescent="0.25">
      <c r="A3380" s="1">
        <v>45017</v>
      </c>
      <c r="B3380" t="s">
        <v>288</v>
      </c>
      <c r="C3380" t="s">
        <v>289</v>
      </c>
      <c r="D3380">
        <v>0</v>
      </c>
      <c r="E3380" s="2">
        <v>1350</v>
      </c>
      <c r="F3380">
        <v>0</v>
      </c>
    </row>
    <row r="3381" spans="1:6" x14ac:dyDescent="0.25">
      <c r="A3381" s="1">
        <v>45017</v>
      </c>
      <c r="B3381" t="s">
        <v>17</v>
      </c>
      <c r="C3381" t="s">
        <v>270</v>
      </c>
      <c r="D3381" s="2">
        <v>-191844.16</v>
      </c>
      <c r="E3381" s="2">
        <v>1289795.0900000001</v>
      </c>
      <c r="F3381" s="2">
        <v>1298322.56</v>
      </c>
    </row>
    <row r="3382" spans="1:6" x14ac:dyDescent="0.25">
      <c r="A3382" s="1">
        <v>45017</v>
      </c>
      <c r="B3382" t="s">
        <v>132</v>
      </c>
      <c r="C3382" t="s">
        <v>415</v>
      </c>
      <c r="D3382">
        <v>0</v>
      </c>
      <c r="E3382">
        <v>0</v>
      </c>
      <c r="F3382">
        <v>0</v>
      </c>
    </row>
    <row r="3383" spans="1:6" x14ac:dyDescent="0.25">
      <c r="A3383" s="1">
        <v>45017</v>
      </c>
      <c r="B3383" t="s">
        <v>518</v>
      </c>
      <c r="C3383" t="s">
        <v>892</v>
      </c>
      <c r="D3383" s="2">
        <v>417206.6</v>
      </c>
      <c r="E3383" s="2">
        <v>501380.7</v>
      </c>
      <c r="F3383" s="2">
        <v>601259.69999999995</v>
      </c>
    </row>
    <row r="3384" spans="1:6" x14ac:dyDescent="0.25">
      <c r="A3384" s="1">
        <v>45017</v>
      </c>
      <c r="B3384" t="s">
        <v>23</v>
      </c>
      <c r="C3384" t="s">
        <v>331</v>
      </c>
      <c r="D3384" s="2">
        <v>14436452.630000001</v>
      </c>
      <c r="E3384" s="2">
        <v>1960355.4</v>
      </c>
      <c r="F3384" s="2">
        <v>1616673.91</v>
      </c>
    </row>
    <row r="3385" spans="1:6" x14ac:dyDescent="0.25">
      <c r="A3385" s="1">
        <v>45017</v>
      </c>
      <c r="B3385" t="s">
        <v>118</v>
      </c>
      <c r="C3385" t="s">
        <v>658</v>
      </c>
      <c r="D3385">
        <v>0</v>
      </c>
      <c r="E3385">
        <v>0</v>
      </c>
      <c r="F3385">
        <v>0</v>
      </c>
    </row>
    <row r="3386" spans="1:6" x14ac:dyDescent="0.25">
      <c r="A3386" s="1">
        <v>45017</v>
      </c>
      <c r="B3386" t="s">
        <v>40</v>
      </c>
      <c r="C3386" t="s">
        <v>555</v>
      </c>
      <c r="D3386" s="2">
        <v>71848761.799999997</v>
      </c>
      <c r="E3386" s="2">
        <v>1307998.97</v>
      </c>
      <c r="F3386" s="2">
        <v>1307998.97</v>
      </c>
    </row>
    <row r="3387" spans="1:6" x14ac:dyDescent="0.25">
      <c r="A3387" s="1">
        <v>45017</v>
      </c>
      <c r="B3387" t="s">
        <v>206</v>
      </c>
      <c r="C3387" t="s">
        <v>534</v>
      </c>
      <c r="D3387" s="2">
        <v>-139369.79</v>
      </c>
      <c r="E3387" s="2">
        <v>68580.800000000003</v>
      </c>
      <c r="F3387" s="2">
        <v>64687.23</v>
      </c>
    </row>
    <row r="3388" spans="1:6" x14ac:dyDescent="0.25">
      <c r="A3388" s="1">
        <v>45017</v>
      </c>
      <c r="B3388" t="s">
        <v>75</v>
      </c>
      <c r="C3388" t="s">
        <v>85</v>
      </c>
      <c r="D3388" s="2">
        <v>426548.2</v>
      </c>
      <c r="E3388" s="2">
        <v>13512.35</v>
      </c>
      <c r="F3388" s="2">
        <v>13512.35</v>
      </c>
    </row>
    <row r="3389" spans="1:6" x14ac:dyDescent="0.25">
      <c r="A3389" s="1">
        <v>45017</v>
      </c>
      <c r="B3389" t="s">
        <v>25</v>
      </c>
      <c r="C3389" t="s">
        <v>1039</v>
      </c>
      <c r="D3389" s="2">
        <v>149976.5</v>
      </c>
      <c r="E3389" s="2">
        <v>59223</v>
      </c>
      <c r="F3389" s="2">
        <v>50485.599999999999</v>
      </c>
    </row>
    <row r="3390" spans="1:6" x14ac:dyDescent="0.25">
      <c r="A3390" s="1">
        <v>45017</v>
      </c>
      <c r="B3390" t="s">
        <v>37</v>
      </c>
      <c r="C3390" t="s">
        <v>271</v>
      </c>
      <c r="D3390">
        <v>0</v>
      </c>
      <c r="E3390">
        <v>0</v>
      </c>
      <c r="F3390">
        <v>0</v>
      </c>
    </row>
    <row r="3391" spans="1:6" x14ac:dyDescent="0.25">
      <c r="A3391" s="1">
        <v>45017</v>
      </c>
      <c r="B3391" t="s">
        <v>40</v>
      </c>
      <c r="C3391" t="s">
        <v>459</v>
      </c>
      <c r="D3391" s="2">
        <v>589796316.25</v>
      </c>
      <c r="E3391" s="2">
        <v>2374371608.4899998</v>
      </c>
      <c r="F3391" s="2">
        <v>2371534929.9099998</v>
      </c>
    </row>
    <row r="3392" spans="1:6" x14ac:dyDescent="0.25">
      <c r="A3392" s="1">
        <v>45017</v>
      </c>
      <c r="B3392" t="s">
        <v>40</v>
      </c>
      <c r="C3392" t="s">
        <v>541</v>
      </c>
      <c r="D3392" s="2">
        <v>121097.72</v>
      </c>
      <c r="E3392" s="2">
        <v>82993.66</v>
      </c>
      <c r="F3392" s="2">
        <v>82993.66</v>
      </c>
    </row>
    <row r="3393" spans="1:6" x14ac:dyDescent="0.25">
      <c r="A3393" s="1">
        <v>45017</v>
      </c>
      <c r="B3393" t="s">
        <v>114</v>
      </c>
      <c r="C3393" t="s">
        <v>945</v>
      </c>
      <c r="D3393">
        <v>0</v>
      </c>
      <c r="E3393" s="2">
        <v>78317.86</v>
      </c>
      <c r="F3393" s="2">
        <v>78317.86</v>
      </c>
    </row>
    <row r="3394" spans="1:6" x14ac:dyDescent="0.25">
      <c r="A3394" s="1">
        <v>45017</v>
      </c>
      <c r="B3394" t="s">
        <v>31</v>
      </c>
      <c r="C3394" t="s">
        <v>553</v>
      </c>
      <c r="D3394">
        <v>0</v>
      </c>
      <c r="E3394">
        <v>0</v>
      </c>
      <c r="F3394">
        <v>0</v>
      </c>
    </row>
    <row r="3395" spans="1:6" x14ac:dyDescent="0.25">
      <c r="A3395" s="1">
        <v>45017</v>
      </c>
      <c r="B3395" t="s">
        <v>288</v>
      </c>
      <c r="C3395" t="s">
        <v>480</v>
      </c>
      <c r="D3395" s="2">
        <v>83004.070000000007</v>
      </c>
      <c r="E3395" s="2">
        <v>4377.7299999999996</v>
      </c>
      <c r="F3395">
        <v>0</v>
      </c>
    </row>
    <row r="3396" spans="1:6" x14ac:dyDescent="0.25">
      <c r="A3396" s="1">
        <v>45017</v>
      </c>
      <c r="B3396" t="s">
        <v>46</v>
      </c>
      <c r="C3396" t="s">
        <v>820</v>
      </c>
      <c r="D3396">
        <v>0</v>
      </c>
      <c r="E3396" s="2">
        <v>111321.77</v>
      </c>
      <c r="F3396" s="2">
        <v>111057.02</v>
      </c>
    </row>
    <row r="3397" spans="1:6" x14ac:dyDescent="0.25">
      <c r="A3397" s="1">
        <v>45017</v>
      </c>
      <c r="B3397" t="s">
        <v>309</v>
      </c>
      <c r="C3397" t="s">
        <v>645</v>
      </c>
      <c r="D3397">
        <v>0</v>
      </c>
      <c r="E3397">
        <v>0</v>
      </c>
      <c r="F3397">
        <v>0</v>
      </c>
    </row>
    <row r="3398" spans="1:6" x14ac:dyDescent="0.25">
      <c r="A3398" s="1">
        <v>45017</v>
      </c>
      <c r="B3398" t="s">
        <v>162</v>
      </c>
      <c r="C3398" t="s">
        <v>335</v>
      </c>
      <c r="D3398" s="2">
        <v>23920538.949999999</v>
      </c>
      <c r="E3398" s="2">
        <v>2547371.04</v>
      </c>
      <c r="F3398" s="2">
        <v>46225960.890000001</v>
      </c>
    </row>
    <row r="3399" spans="1:6" x14ac:dyDescent="0.25">
      <c r="A3399" s="1">
        <v>45017</v>
      </c>
      <c r="B3399" t="s">
        <v>50</v>
      </c>
      <c r="C3399" t="s">
        <v>352</v>
      </c>
      <c r="D3399">
        <v>0</v>
      </c>
      <c r="E3399">
        <v>0</v>
      </c>
      <c r="F3399">
        <v>0</v>
      </c>
    </row>
    <row r="3400" spans="1:6" x14ac:dyDescent="0.25">
      <c r="A3400" s="1">
        <v>45017</v>
      </c>
      <c r="B3400" t="s">
        <v>40</v>
      </c>
      <c r="C3400" t="s">
        <v>606</v>
      </c>
      <c r="D3400" s="2">
        <v>9396203.5800000001</v>
      </c>
      <c r="E3400" s="2">
        <v>24618750.710000001</v>
      </c>
      <c r="F3400" s="2">
        <v>24613885.16</v>
      </c>
    </row>
    <row r="3401" spans="1:6" x14ac:dyDescent="0.25">
      <c r="A3401" s="1">
        <v>45017</v>
      </c>
      <c r="B3401" t="s">
        <v>40</v>
      </c>
      <c r="C3401" t="s">
        <v>692</v>
      </c>
      <c r="D3401">
        <v>0</v>
      </c>
      <c r="E3401">
        <v>0</v>
      </c>
      <c r="F3401">
        <v>0</v>
      </c>
    </row>
    <row r="3402" spans="1:6" x14ac:dyDescent="0.25">
      <c r="A3402" s="1">
        <v>45017</v>
      </c>
      <c r="B3402" t="s">
        <v>21</v>
      </c>
      <c r="C3402" t="s">
        <v>1201</v>
      </c>
      <c r="D3402">
        <v>0</v>
      </c>
      <c r="E3402">
        <v>0</v>
      </c>
      <c r="F3402">
        <v>0</v>
      </c>
    </row>
    <row r="3403" spans="1:6" x14ac:dyDescent="0.25">
      <c r="A3403" s="1">
        <v>45017</v>
      </c>
      <c r="B3403" t="s">
        <v>344</v>
      </c>
      <c r="C3403" t="s">
        <v>1202</v>
      </c>
      <c r="D3403" s="2">
        <v>28067.09</v>
      </c>
      <c r="E3403">
        <v>0</v>
      </c>
      <c r="F3403">
        <v>0</v>
      </c>
    </row>
    <row r="3404" spans="1:6" x14ac:dyDescent="0.25">
      <c r="A3404" s="1">
        <v>45017</v>
      </c>
      <c r="B3404" t="s">
        <v>933</v>
      </c>
      <c r="C3404" t="s">
        <v>1203</v>
      </c>
      <c r="D3404" s="2">
        <v>700000</v>
      </c>
      <c r="E3404">
        <v>0</v>
      </c>
      <c r="F3404">
        <v>0</v>
      </c>
    </row>
    <row r="3405" spans="1:6" x14ac:dyDescent="0.25">
      <c r="A3405" s="1">
        <v>45017</v>
      </c>
      <c r="B3405" t="s">
        <v>23</v>
      </c>
      <c r="C3405" t="s">
        <v>675</v>
      </c>
      <c r="D3405" s="2">
        <v>288332.08</v>
      </c>
      <c r="E3405" s="2">
        <v>274104.81</v>
      </c>
      <c r="F3405" s="2">
        <v>514235.36</v>
      </c>
    </row>
    <row r="3406" spans="1:6" x14ac:dyDescent="0.25">
      <c r="A3406" s="1">
        <v>45017</v>
      </c>
      <c r="B3406" t="s">
        <v>27</v>
      </c>
      <c r="C3406" t="s">
        <v>811</v>
      </c>
      <c r="D3406" s="2">
        <v>115000.36</v>
      </c>
      <c r="E3406" s="2">
        <v>107885.56</v>
      </c>
      <c r="F3406" s="2">
        <v>106358.98</v>
      </c>
    </row>
    <row r="3407" spans="1:6" x14ac:dyDescent="0.25">
      <c r="A3407" s="1">
        <v>45017</v>
      </c>
      <c r="B3407" t="s">
        <v>23</v>
      </c>
      <c r="C3407" t="s">
        <v>879</v>
      </c>
      <c r="D3407" s="2">
        <v>185004.66</v>
      </c>
      <c r="E3407" s="2">
        <v>189854.36</v>
      </c>
      <c r="F3407" s="2">
        <v>125860.21</v>
      </c>
    </row>
    <row r="3408" spans="1:6" x14ac:dyDescent="0.25">
      <c r="A3408" s="1">
        <v>45017</v>
      </c>
      <c r="B3408" t="s">
        <v>21</v>
      </c>
      <c r="C3408" t="s">
        <v>1133</v>
      </c>
      <c r="D3408" s="2">
        <v>4048463.44</v>
      </c>
      <c r="E3408" s="2">
        <v>960685.44</v>
      </c>
      <c r="F3408" s="2">
        <v>960685.44</v>
      </c>
    </row>
    <row r="3409" spans="1:6" x14ac:dyDescent="0.25">
      <c r="A3409" s="1">
        <v>45017</v>
      </c>
      <c r="B3409" t="s">
        <v>114</v>
      </c>
      <c r="C3409" t="s">
        <v>597</v>
      </c>
      <c r="D3409" s="2">
        <v>24090562.98</v>
      </c>
      <c r="E3409" s="2">
        <v>2351777.31</v>
      </c>
      <c r="F3409" s="2">
        <v>2361052.42</v>
      </c>
    </row>
    <row r="3410" spans="1:6" x14ac:dyDescent="0.25">
      <c r="A3410" s="1">
        <v>45017</v>
      </c>
      <c r="B3410" t="s">
        <v>40</v>
      </c>
      <c r="C3410" t="s">
        <v>450</v>
      </c>
      <c r="D3410" s="2">
        <v>1756934.29</v>
      </c>
      <c r="E3410" s="2">
        <v>449709.09</v>
      </c>
      <c r="F3410" s="2">
        <v>494571.72</v>
      </c>
    </row>
    <row r="3411" spans="1:6" x14ac:dyDescent="0.25">
      <c r="A3411" s="1">
        <v>45017</v>
      </c>
      <c r="B3411" t="s">
        <v>118</v>
      </c>
      <c r="C3411" t="s">
        <v>511</v>
      </c>
      <c r="D3411" s="2">
        <v>9852.7199999999993</v>
      </c>
      <c r="E3411" s="2">
        <v>54309.21</v>
      </c>
      <c r="F3411" s="2">
        <v>71033.570000000007</v>
      </c>
    </row>
    <row r="3412" spans="1:6" x14ac:dyDescent="0.25">
      <c r="A3412" s="1">
        <v>45017</v>
      </c>
      <c r="B3412" t="s">
        <v>13</v>
      </c>
      <c r="C3412" t="s">
        <v>737</v>
      </c>
      <c r="D3412" s="2">
        <v>7884344.29</v>
      </c>
      <c r="E3412" s="2">
        <v>5173961.8099999996</v>
      </c>
      <c r="F3412" s="2">
        <v>5271363.17</v>
      </c>
    </row>
    <row r="3413" spans="1:6" x14ac:dyDescent="0.25">
      <c r="A3413" s="1">
        <v>45017</v>
      </c>
      <c r="B3413" t="s">
        <v>42</v>
      </c>
      <c r="C3413" t="s">
        <v>334</v>
      </c>
      <c r="D3413" s="2">
        <v>1478727.6</v>
      </c>
      <c r="E3413" s="2">
        <v>1439577.14</v>
      </c>
      <c r="F3413" s="2">
        <v>1439577.14</v>
      </c>
    </row>
    <row r="3414" spans="1:6" x14ac:dyDescent="0.25">
      <c r="A3414" s="1">
        <v>45017</v>
      </c>
      <c r="B3414" t="s">
        <v>306</v>
      </c>
      <c r="C3414" t="s">
        <v>702</v>
      </c>
      <c r="D3414" s="2">
        <v>684063.22</v>
      </c>
      <c r="E3414" s="2">
        <v>128850.54</v>
      </c>
      <c r="F3414" s="2">
        <v>128850.54</v>
      </c>
    </row>
    <row r="3415" spans="1:6" x14ac:dyDescent="0.25">
      <c r="A3415" s="1">
        <v>45017</v>
      </c>
      <c r="B3415" t="s">
        <v>15</v>
      </c>
      <c r="C3415" t="s">
        <v>359</v>
      </c>
      <c r="D3415">
        <v>0</v>
      </c>
      <c r="E3415">
        <v>0</v>
      </c>
      <c r="F3415">
        <v>0</v>
      </c>
    </row>
    <row r="3416" spans="1:6" x14ac:dyDescent="0.25">
      <c r="A3416" s="1">
        <v>45017</v>
      </c>
      <c r="B3416" t="s">
        <v>118</v>
      </c>
      <c r="C3416" t="s">
        <v>277</v>
      </c>
      <c r="D3416">
        <v>0</v>
      </c>
      <c r="E3416">
        <v>0</v>
      </c>
      <c r="F3416">
        <v>0</v>
      </c>
    </row>
    <row r="3417" spans="1:6" x14ac:dyDescent="0.25">
      <c r="A3417" s="1">
        <v>45017</v>
      </c>
      <c r="B3417" t="s">
        <v>407</v>
      </c>
      <c r="C3417" t="s">
        <v>408</v>
      </c>
      <c r="D3417" s="2">
        <v>65000</v>
      </c>
      <c r="E3417">
        <v>0</v>
      </c>
      <c r="F3417">
        <v>0</v>
      </c>
    </row>
    <row r="3418" spans="1:6" x14ac:dyDescent="0.25">
      <c r="A3418" s="1">
        <v>45017</v>
      </c>
      <c r="B3418" t="s">
        <v>40</v>
      </c>
      <c r="C3418" t="s">
        <v>528</v>
      </c>
      <c r="D3418" s="2">
        <v>332544</v>
      </c>
      <c r="E3418" s="2">
        <v>41307.160000000003</v>
      </c>
      <c r="F3418" s="2">
        <v>5475.12</v>
      </c>
    </row>
    <row r="3419" spans="1:6" x14ac:dyDescent="0.25">
      <c r="A3419" s="1">
        <v>45017</v>
      </c>
      <c r="B3419" t="s">
        <v>11</v>
      </c>
      <c r="C3419" t="s">
        <v>300</v>
      </c>
      <c r="D3419">
        <v>0</v>
      </c>
      <c r="E3419" s="2">
        <v>96303263.439999998</v>
      </c>
      <c r="F3419" s="2">
        <v>96303263.439999998</v>
      </c>
    </row>
    <row r="3420" spans="1:6" x14ac:dyDescent="0.25">
      <c r="A3420" s="1">
        <v>45017</v>
      </c>
      <c r="B3420" t="s">
        <v>490</v>
      </c>
      <c r="C3420" t="s">
        <v>538</v>
      </c>
      <c r="D3420" s="2">
        <v>505703929</v>
      </c>
      <c r="E3420" s="2">
        <v>59590935</v>
      </c>
      <c r="F3420" s="2">
        <v>75258430</v>
      </c>
    </row>
    <row r="3421" spans="1:6" x14ac:dyDescent="0.25">
      <c r="A3421" s="1">
        <v>45017</v>
      </c>
      <c r="B3421" t="s">
        <v>40</v>
      </c>
      <c r="C3421" t="s">
        <v>539</v>
      </c>
      <c r="D3421">
        <v>0</v>
      </c>
      <c r="E3421">
        <v>0</v>
      </c>
      <c r="F3421">
        <v>0</v>
      </c>
    </row>
    <row r="3422" spans="1:6" x14ac:dyDescent="0.25">
      <c r="A3422" s="1">
        <v>45017</v>
      </c>
      <c r="B3422" t="s">
        <v>42</v>
      </c>
      <c r="C3422" t="s">
        <v>736</v>
      </c>
      <c r="D3422" s="2">
        <v>256999.36</v>
      </c>
      <c r="E3422" s="2">
        <v>28355084.329999998</v>
      </c>
      <c r="F3422" s="2">
        <v>28347890.07</v>
      </c>
    </row>
    <row r="3423" spans="1:6" x14ac:dyDescent="0.25">
      <c r="A3423" s="1">
        <v>45017</v>
      </c>
      <c r="B3423" t="s">
        <v>23</v>
      </c>
      <c r="C3423" t="s">
        <v>891</v>
      </c>
      <c r="D3423" s="2">
        <v>2464638.59</v>
      </c>
      <c r="E3423" s="2">
        <v>210782.43</v>
      </c>
      <c r="F3423" s="2">
        <v>210782.43</v>
      </c>
    </row>
    <row r="3424" spans="1:6" x14ac:dyDescent="0.25">
      <c r="A3424" s="1">
        <v>45017</v>
      </c>
      <c r="B3424" t="s">
        <v>37</v>
      </c>
      <c r="C3424" t="s">
        <v>734</v>
      </c>
      <c r="D3424">
        <v>0</v>
      </c>
      <c r="E3424">
        <v>0</v>
      </c>
      <c r="F3424">
        <v>0</v>
      </c>
    </row>
    <row r="3425" spans="1:6" x14ac:dyDescent="0.25">
      <c r="A3425" s="1">
        <v>45017</v>
      </c>
      <c r="B3425" t="s">
        <v>193</v>
      </c>
      <c r="C3425" t="s">
        <v>1204</v>
      </c>
      <c r="D3425" s="2">
        <v>162522369.97</v>
      </c>
      <c r="E3425" s="2">
        <v>162522369.97</v>
      </c>
      <c r="F3425" s="2">
        <v>162522369.97</v>
      </c>
    </row>
    <row r="3426" spans="1:6" x14ac:dyDescent="0.25">
      <c r="A3426" s="1">
        <v>45017</v>
      </c>
      <c r="B3426" t="s">
        <v>21</v>
      </c>
      <c r="C3426" t="s">
        <v>1049</v>
      </c>
      <c r="D3426">
        <v>0</v>
      </c>
      <c r="E3426">
        <v>0</v>
      </c>
      <c r="F3426">
        <v>0</v>
      </c>
    </row>
    <row r="3427" spans="1:6" x14ac:dyDescent="0.25">
      <c r="A3427" s="1">
        <v>45017</v>
      </c>
      <c r="B3427" t="s">
        <v>23</v>
      </c>
      <c r="C3427" t="s">
        <v>371</v>
      </c>
      <c r="D3427" s="2">
        <v>200605.96</v>
      </c>
      <c r="E3427" s="2">
        <v>8522.5499999999993</v>
      </c>
      <c r="F3427" s="2">
        <v>9019.4</v>
      </c>
    </row>
    <row r="3428" spans="1:6" x14ac:dyDescent="0.25">
      <c r="A3428" s="1">
        <v>45017</v>
      </c>
      <c r="B3428" t="s">
        <v>23</v>
      </c>
      <c r="C3428" t="s">
        <v>854</v>
      </c>
      <c r="D3428" s="2">
        <v>190492844.34</v>
      </c>
      <c r="E3428" s="2">
        <v>4016219.06</v>
      </c>
      <c r="F3428" s="2">
        <v>2990302.44</v>
      </c>
    </row>
    <row r="3429" spans="1:6" x14ac:dyDescent="0.25">
      <c r="A3429" s="1">
        <v>45017</v>
      </c>
      <c r="B3429" t="s">
        <v>31</v>
      </c>
      <c r="C3429" t="s">
        <v>855</v>
      </c>
      <c r="D3429" s="2">
        <v>-5122.92</v>
      </c>
      <c r="E3429">
        <v>-217.62</v>
      </c>
      <c r="F3429" s="2">
        <v>7304.81</v>
      </c>
    </row>
    <row r="3430" spans="1:6" x14ac:dyDescent="0.25">
      <c r="A3430" s="1">
        <v>45017</v>
      </c>
      <c r="B3430" t="s">
        <v>196</v>
      </c>
      <c r="C3430" t="s">
        <v>897</v>
      </c>
      <c r="D3430">
        <v>0</v>
      </c>
      <c r="E3430">
        <v>0</v>
      </c>
      <c r="F3430">
        <v>0</v>
      </c>
    </row>
    <row r="3431" spans="1:6" x14ac:dyDescent="0.25">
      <c r="A3431" s="1">
        <v>45017</v>
      </c>
      <c r="B3431" t="s">
        <v>101</v>
      </c>
      <c r="C3431" t="s">
        <v>1205</v>
      </c>
      <c r="D3431" s="2">
        <v>30494351.329999998</v>
      </c>
      <c r="E3431" s="2">
        <v>14885426.02</v>
      </c>
      <c r="F3431" s="2">
        <v>14727241.92</v>
      </c>
    </row>
    <row r="3432" spans="1:6" x14ac:dyDescent="0.25">
      <c r="A3432" s="1">
        <v>45017</v>
      </c>
      <c r="B3432" t="s">
        <v>40</v>
      </c>
      <c r="C3432" t="s">
        <v>629</v>
      </c>
      <c r="D3432" s="2">
        <v>780930.26</v>
      </c>
      <c r="E3432" s="2">
        <v>142048.71</v>
      </c>
      <c r="F3432" s="2">
        <v>142806.10999999999</v>
      </c>
    </row>
    <row r="3433" spans="1:6" x14ac:dyDescent="0.25">
      <c r="A3433" s="1">
        <v>45017</v>
      </c>
      <c r="B3433" t="s">
        <v>13</v>
      </c>
      <c r="C3433" t="s">
        <v>475</v>
      </c>
      <c r="D3433" s="2">
        <v>1548029.22</v>
      </c>
      <c r="E3433" s="2">
        <v>484413.06</v>
      </c>
      <c r="F3433" s="2">
        <v>470466.53</v>
      </c>
    </row>
    <row r="3434" spans="1:6" x14ac:dyDescent="0.25">
      <c r="A3434" s="1">
        <v>45017</v>
      </c>
      <c r="B3434" t="s">
        <v>234</v>
      </c>
      <c r="C3434" t="s">
        <v>454</v>
      </c>
      <c r="D3434" s="2">
        <v>62098723.990000002</v>
      </c>
      <c r="E3434" s="2">
        <v>26500217.850000001</v>
      </c>
      <c r="F3434" s="2">
        <v>26500217.850000001</v>
      </c>
    </row>
    <row r="3435" spans="1:6" x14ac:dyDescent="0.25">
      <c r="A3435" s="1">
        <v>45017</v>
      </c>
      <c r="B3435" t="s">
        <v>63</v>
      </c>
      <c r="C3435" t="s">
        <v>1092</v>
      </c>
      <c r="D3435">
        <v>0</v>
      </c>
      <c r="E3435">
        <v>0</v>
      </c>
      <c r="F3435">
        <v>0</v>
      </c>
    </row>
    <row r="3436" spans="1:6" x14ac:dyDescent="0.25">
      <c r="A3436" s="1">
        <v>45017</v>
      </c>
      <c r="B3436" t="s">
        <v>619</v>
      </c>
      <c r="C3436" t="s">
        <v>165</v>
      </c>
      <c r="D3436" s="2">
        <v>84484.75</v>
      </c>
      <c r="E3436" s="2">
        <v>18746.79</v>
      </c>
      <c r="F3436" s="2">
        <v>15668.25</v>
      </c>
    </row>
    <row r="3437" spans="1:6" x14ac:dyDescent="0.25">
      <c r="A3437" s="1">
        <v>45017</v>
      </c>
      <c r="B3437" t="s">
        <v>619</v>
      </c>
      <c r="C3437" t="s">
        <v>848</v>
      </c>
      <c r="D3437" s="2">
        <v>856632.87</v>
      </c>
      <c r="E3437" s="2">
        <v>882492.37</v>
      </c>
      <c r="F3437" s="2">
        <v>719300.37</v>
      </c>
    </row>
    <row r="3438" spans="1:6" x14ac:dyDescent="0.25">
      <c r="A3438" s="1">
        <v>45017</v>
      </c>
      <c r="B3438" t="s">
        <v>37</v>
      </c>
      <c r="C3438" t="s">
        <v>743</v>
      </c>
      <c r="D3438" s="2">
        <v>10402.76</v>
      </c>
      <c r="E3438" s="2">
        <v>119222.9</v>
      </c>
      <c r="F3438" s="2">
        <v>123722.9</v>
      </c>
    </row>
    <row r="3439" spans="1:6" x14ac:dyDescent="0.25">
      <c r="A3439" s="1">
        <v>45017</v>
      </c>
      <c r="B3439" t="s">
        <v>79</v>
      </c>
      <c r="C3439" t="s">
        <v>572</v>
      </c>
      <c r="D3439">
        <v>0</v>
      </c>
      <c r="E3439">
        <v>0</v>
      </c>
      <c r="F3439">
        <v>0</v>
      </c>
    </row>
    <row r="3440" spans="1:6" x14ac:dyDescent="0.25">
      <c r="A3440" s="1">
        <v>45017</v>
      </c>
      <c r="B3440" t="s">
        <v>21</v>
      </c>
      <c r="C3440" t="s">
        <v>642</v>
      </c>
      <c r="D3440" s="2">
        <v>5276293.82</v>
      </c>
      <c r="E3440" s="2">
        <v>830097.73</v>
      </c>
      <c r="F3440" s="2">
        <v>830097.73</v>
      </c>
    </row>
    <row r="3441" spans="1:6" x14ac:dyDescent="0.25">
      <c r="A3441" s="1">
        <v>45017</v>
      </c>
      <c r="B3441" t="s">
        <v>383</v>
      </c>
      <c r="C3441" t="s">
        <v>1206</v>
      </c>
      <c r="D3441">
        <v>0</v>
      </c>
      <c r="E3441">
        <v>0</v>
      </c>
      <c r="F3441">
        <v>0</v>
      </c>
    </row>
    <row r="3442" spans="1:6" x14ac:dyDescent="0.25">
      <c r="A3442" s="1">
        <v>45017</v>
      </c>
      <c r="B3442" t="s">
        <v>103</v>
      </c>
      <c r="C3442" t="s">
        <v>453</v>
      </c>
      <c r="D3442" s="2">
        <v>29995257</v>
      </c>
      <c r="E3442">
        <v>0</v>
      </c>
      <c r="F3442">
        <v>0</v>
      </c>
    </row>
    <row r="3443" spans="1:6" x14ac:dyDescent="0.25">
      <c r="A3443" s="1">
        <v>45017</v>
      </c>
      <c r="B3443" t="s">
        <v>46</v>
      </c>
      <c r="C3443" t="s">
        <v>86</v>
      </c>
      <c r="D3443" s="2">
        <v>311693.32</v>
      </c>
      <c r="E3443" s="2">
        <v>296681.49</v>
      </c>
      <c r="F3443" s="2">
        <v>556286.68000000005</v>
      </c>
    </row>
    <row r="3444" spans="1:6" x14ac:dyDescent="0.25">
      <c r="A3444" s="1">
        <v>45017</v>
      </c>
      <c r="B3444" t="s">
        <v>40</v>
      </c>
      <c r="C3444" t="s">
        <v>581</v>
      </c>
      <c r="D3444">
        <v>0</v>
      </c>
      <c r="E3444" s="2">
        <v>38652480</v>
      </c>
      <c r="F3444" s="2">
        <v>38600550</v>
      </c>
    </row>
    <row r="3445" spans="1:6" x14ac:dyDescent="0.25">
      <c r="A3445" s="1">
        <v>45017</v>
      </c>
      <c r="B3445" t="s">
        <v>261</v>
      </c>
      <c r="C3445" t="s">
        <v>34</v>
      </c>
      <c r="D3445">
        <v>0</v>
      </c>
      <c r="E3445">
        <v>0</v>
      </c>
      <c r="F3445">
        <v>0</v>
      </c>
    </row>
    <row r="3446" spans="1:6" x14ac:dyDescent="0.25">
      <c r="A3446" s="1">
        <v>45017</v>
      </c>
      <c r="B3446" t="s">
        <v>50</v>
      </c>
      <c r="C3446" t="s">
        <v>286</v>
      </c>
      <c r="D3446">
        <v>0</v>
      </c>
      <c r="E3446">
        <v>0</v>
      </c>
      <c r="F3446">
        <v>0</v>
      </c>
    </row>
    <row r="3447" spans="1:6" x14ac:dyDescent="0.25">
      <c r="A3447" s="1">
        <v>45017</v>
      </c>
      <c r="B3447" t="s">
        <v>40</v>
      </c>
      <c r="C3447" t="s">
        <v>644</v>
      </c>
      <c r="D3447" s="2">
        <v>16320.56</v>
      </c>
      <c r="E3447" s="2">
        <v>32300</v>
      </c>
      <c r="F3447" s="2">
        <v>31474.18</v>
      </c>
    </row>
    <row r="3448" spans="1:6" x14ac:dyDescent="0.25">
      <c r="A3448" s="1">
        <v>45017</v>
      </c>
      <c r="B3448" t="s">
        <v>251</v>
      </c>
      <c r="C3448" t="s">
        <v>725</v>
      </c>
      <c r="D3448" s="2">
        <v>-28387624.739999998</v>
      </c>
      <c r="E3448" s="2">
        <v>39129928.729999997</v>
      </c>
      <c r="F3448" s="2">
        <v>39129928.729999997</v>
      </c>
    </row>
    <row r="3449" spans="1:6" x14ac:dyDescent="0.25">
      <c r="A3449" s="1">
        <v>45017</v>
      </c>
      <c r="B3449" t="s">
        <v>46</v>
      </c>
      <c r="C3449" t="s">
        <v>409</v>
      </c>
      <c r="D3449">
        <v>0</v>
      </c>
      <c r="E3449" s="2">
        <v>682996.72</v>
      </c>
      <c r="F3449" s="2">
        <v>697924.54</v>
      </c>
    </row>
    <row r="3450" spans="1:6" x14ac:dyDescent="0.25">
      <c r="A3450" s="1">
        <v>45017</v>
      </c>
      <c r="B3450" t="s">
        <v>162</v>
      </c>
      <c r="C3450" t="s">
        <v>322</v>
      </c>
      <c r="D3450" s="2">
        <v>5470000</v>
      </c>
      <c r="E3450" s="2">
        <v>16900000</v>
      </c>
      <c r="F3450" s="2">
        <v>16900000</v>
      </c>
    </row>
    <row r="3451" spans="1:6" x14ac:dyDescent="0.25">
      <c r="A3451" s="1">
        <v>45017</v>
      </c>
      <c r="B3451" t="s">
        <v>48</v>
      </c>
      <c r="C3451" t="s">
        <v>175</v>
      </c>
      <c r="D3451">
        <v>0</v>
      </c>
      <c r="E3451">
        <v>0</v>
      </c>
      <c r="F3451">
        <v>0</v>
      </c>
    </row>
    <row r="3452" spans="1:6" x14ac:dyDescent="0.25">
      <c r="A3452" s="1">
        <v>45017</v>
      </c>
      <c r="B3452" t="s">
        <v>9</v>
      </c>
      <c r="C3452" t="s">
        <v>396</v>
      </c>
      <c r="D3452" s="2">
        <v>1950883.77</v>
      </c>
      <c r="E3452">
        <v>0</v>
      </c>
      <c r="F3452">
        <v>0</v>
      </c>
    </row>
    <row r="3453" spans="1:6" x14ac:dyDescent="0.25">
      <c r="A3453" s="1">
        <v>45017</v>
      </c>
      <c r="B3453" t="s">
        <v>23</v>
      </c>
      <c r="C3453" t="s">
        <v>439</v>
      </c>
      <c r="D3453" s="2">
        <v>24270.36</v>
      </c>
      <c r="E3453">
        <v>0</v>
      </c>
      <c r="F3453">
        <v>0</v>
      </c>
    </row>
    <row r="3454" spans="1:6" x14ac:dyDescent="0.25">
      <c r="A3454" s="1">
        <v>45017</v>
      </c>
      <c r="B3454" t="s">
        <v>355</v>
      </c>
      <c r="C3454" t="s">
        <v>356</v>
      </c>
      <c r="D3454">
        <v>0</v>
      </c>
      <c r="E3454" s="2">
        <v>44075.5</v>
      </c>
      <c r="F3454" s="2">
        <v>44075.5</v>
      </c>
    </row>
    <row r="3455" spans="1:6" x14ac:dyDescent="0.25">
      <c r="A3455" s="1">
        <v>45017</v>
      </c>
      <c r="B3455" t="s">
        <v>162</v>
      </c>
      <c r="C3455" t="s">
        <v>376</v>
      </c>
      <c r="D3455">
        <v>0</v>
      </c>
      <c r="E3455">
        <v>0</v>
      </c>
      <c r="F3455">
        <v>0</v>
      </c>
    </row>
    <row r="3456" spans="1:6" x14ac:dyDescent="0.25">
      <c r="A3456" s="1">
        <v>45017</v>
      </c>
      <c r="B3456" t="s">
        <v>752</v>
      </c>
      <c r="C3456" t="s">
        <v>753</v>
      </c>
      <c r="D3456" s="2">
        <v>52448038.490000002</v>
      </c>
      <c r="E3456" s="2">
        <v>14075398.220000001</v>
      </c>
      <c r="F3456" s="2">
        <v>12454898.15</v>
      </c>
    </row>
    <row r="3457" spans="1:6" x14ac:dyDescent="0.25">
      <c r="A3457" s="1">
        <v>45017</v>
      </c>
      <c r="B3457" t="s">
        <v>143</v>
      </c>
      <c r="C3457" t="s">
        <v>858</v>
      </c>
      <c r="D3457" s="2">
        <v>377566997.38999999</v>
      </c>
      <c r="E3457" s="2">
        <v>122218096.64</v>
      </c>
      <c r="F3457" s="2">
        <v>120402777.11</v>
      </c>
    </row>
    <row r="3458" spans="1:6" x14ac:dyDescent="0.25">
      <c r="A3458" s="1">
        <v>45017</v>
      </c>
      <c r="B3458" t="s">
        <v>40</v>
      </c>
      <c r="C3458" t="s">
        <v>1031</v>
      </c>
      <c r="D3458" s="2">
        <v>500000</v>
      </c>
      <c r="E3458">
        <v>0</v>
      </c>
      <c r="F3458">
        <v>0</v>
      </c>
    </row>
    <row r="3459" spans="1:6" x14ac:dyDescent="0.25">
      <c r="A3459" s="1">
        <v>45017</v>
      </c>
      <c r="B3459" t="s">
        <v>7</v>
      </c>
      <c r="C3459" t="s">
        <v>124</v>
      </c>
      <c r="D3459">
        <v>0</v>
      </c>
      <c r="E3459" s="2">
        <v>1463549.83</v>
      </c>
      <c r="F3459" s="2">
        <v>1463549.83</v>
      </c>
    </row>
    <row r="3460" spans="1:6" x14ac:dyDescent="0.25">
      <c r="A3460" s="1">
        <v>45017</v>
      </c>
      <c r="B3460" t="s">
        <v>42</v>
      </c>
      <c r="C3460" t="s">
        <v>1207</v>
      </c>
      <c r="D3460" s="2">
        <v>100000000</v>
      </c>
      <c r="E3460">
        <v>0</v>
      </c>
      <c r="F3460">
        <v>0</v>
      </c>
    </row>
    <row r="3461" spans="1:6" x14ac:dyDescent="0.25">
      <c r="A3461" s="1">
        <v>45017</v>
      </c>
      <c r="B3461" t="s">
        <v>383</v>
      </c>
      <c r="C3461" t="s">
        <v>277</v>
      </c>
      <c r="D3461">
        <v>0</v>
      </c>
      <c r="E3461">
        <v>0</v>
      </c>
      <c r="F3461">
        <v>0</v>
      </c>
    </row>
    <row r="3462" spans="1:6" x14ac:dyDescent="0.25">
      <c r="A3462" s="1">
        <v>45017</v>
      </c>
      <c r="B3462" t="s">
        <v>46</v>
      </c>
      <c r="C3462" t="s">
        <v>852</v>
      </c>
      <c r="D3462" s="2">
        <v>547000</v>
      </c>
      <c r="E3462" s="2">
        <v>78003.73</v>
      </c>
      <c r="F3462" s="2">
        <v>90195.69</v>
      </c>
    </row>
    <row r="3463" spans="1:6" x14ac:dyDescent="0.25">
      <c r="A3463" s="1">
        <v>45017</v>
      </c>
      <c r="B3463" t="s">
        <v>23</v>
      </c>
      <c r="C3463" t="s">
        <v>281</v>
      </c>
      <c r="D3463" s="2">
        <v>1712000</v>
      </c>
      <c r="E3463">
        <v>0</v>
      </c>
      <c r="F3463">
        <v>0</v>
      </c>
    </row>
    <row r="3464" spans="1:6" x14ac:dyDescent="0.25">
      <c r="A3464" s="1">
        <v>45017</v>
      </c>
      <c r="B3464" t="s">
        <v>17</v>
      </c>
      <c r="C3464" t="s">
        <v>1025</v>
      </c>
      <c r="D3464">
        <v>0</v>
      </c>
      <c r="E3464">
        <v>0</v>
      </c>
      <c r="F3464">
        <v>0</v>
      </c>
    </row>
    <row r="3465" spans="1:6" x14ac:dyDescent="0.25">
      <c r="A3465" s="1">
        <v>45017</v>
      </c>
      <c r="B3465" t="s">
        <v>13</v>
      </c>
      <c r="C3465" t="s">
        <v>635</v>
      </c>
      <c r="D3465" s="2">
        <v>125866</v>
      </c>
      <c r="E3465" s="2">
        <v>40532.83</v>
      </c>
      <c r="F3465" s="2">
        <v>40751.269999999997</v>
      </c>
    </row>
    <row r="3466" spans="1:6" x14ac:dyDescent="0.25">
      <c r="A3466" s="1">
        <v>45017</v>
      </c>
      <c r="B3466" t="s">
        <v>213</v>
      </c>
      <c r="C3466" t="s">
        <v>533</v>
      </c>
      <c r="D3466">
        <v>0</v>
      </c>
      <c r="E3466">
        <v>0</v>
      </c>
      <c r="F3466">
        <v>0</v>
      </c>
    </row>
    <row r="3467" spans="1:6" x14ac:dyDescent="0.25">
      <c r="A3467" s="1">
        <v>45017</v>
      </c>
      <c r="B3467" t="s">
        <v>402</v>
      </c>
      <c r="C3467" t="s">
        <v>403</v>
      </c>
      <c r="D3467">
        <v>0</v>
      </c>
      <c r="E3467">
        <v>0</v>
      </c>
      <c r="F3467">
        <v>0</v>
      </c>
    </row>
    <row r="3468" spans="1:6" x14ac:dyDescent="0.25">
      <c r="A3468" s="1">
        <v>45017</v>
      </c>
      <c r="B3468" t="s">
        <v>23</v>
      </c>
      <c r="C3468" t="s">
        <v>365</v>
      </c>
      <c r="D3468" s="2">
        <v>3283990.27</v>
      </c>
      <c r="E3468" s="2">
        <v>193044.72</v>
      </c>
      <c r="F3468" s="2">
        <v>195691.79</v>
      </c>
    </row>
    <row r="3469" spans="1:6" x14ac:dyDescent="0.25">
      <c r="A3469" s="1">
        <v>45017</v>
      </c>
      <c r="B3469" t="s">
        <v>1044</v>
      </c>
      <c r="C3469" t="s">
        <v>909</v>
      </c>
      <c r="D3469">
        <v>0</v>
      </c>
      <c r="E3469">
        <v>0</v>
      </c>
      <c r="F3469">
        <v>0</v>
      </c>
    </row>
    <row r="3470" spans="1:6" x14ac:dyDescent="0.25">
      <c r="A3470" s="1">
        <v>45017</v>
      </c>
      <c r="B3470" t="s">
        <v>159</v>
      </c>
      <c r="C3470" t="s">
        <v>34</v>
      </c>
      <c r="D3470" s="2">
        <v>597399</v>
      </c>
      <c r="E3470" s="2">
        <v>389961.45</v>
      </c>
      <c r="F3470" s="2">
        <v>389961.45</v>
      </c>
    </row>
    <row r="3471" spans="1:6" x14ac:dyDescent="0.25">
      <c r="A3471" s="1">
        <v>45017</v>
      </c>
      <c r="B3471" t="s">
        <v>23</v>
      </c>
      <c r="C3471" t="s">
        <v>807</v>
      </c>
      <c r="D3471" s="2">
        <v>280297.65999999997</v>
      </c>
      <c r="E3471" s="2">
        <v>454058.25</v>
      </c>
      <c r="F3471" s="2">
        <v>489392.94</v>
      </c>
    </row>
    <row r="3472" spans="1:6" x14ac:dyDescent="0.25">
      <c r="A3472" s="1">
        <v>45017</v>
      </c>
      <c r="B3472" t="s">
        <v>726</v>
      </c>
      <c r="C3472" t="s">
        <v>837</v>
      </c>
      <c r="D3472" s="2">
        <v>12305078.210000001</v>
      </c>
      <c r="E3472" s="2">
        <v>1951501.97</v>
      </c>
      <c r="F3472" s="2">
        <v>2135949.98</v>
      </c>
    </row>
    <row r="3473" spans="1:6" x14ac:dyDescent="0.25">
      <c r="A3473" s="1">
        <v>45017</v>
      </c>
      <c r="B3473" t="s">
        <v>23</v>
      </c>
      <c r="C3473" t="s">
        <v>874</v>
      </c>
      <c r="D3473" s="2">
        <v>1826106.25</v>
      </c>
      <c r="E3473" s="2">
        <v>398231.91</v>
      </c>
      <c r="F3473" s="2">
        <v>406912.91</v>
      </c>
    </row>
    <row r="3474" spans="1:6" x14ac:dyDescent="0.25">
      <c r="A3474" s="1">
        <v>45017</v>
      </c>
      <c r="B3474" t="s">
        <v>40</v>
      </c>
      <c r="C3474" t="s">
        <v>457</v>
      </c>
      <c r="D3474" s="2">
        <v>25860359.539999999</v>
      </c>
      <c r="E3474" s="2">
        <v>16752366.470000001</v>
      </c>
      <c r="F3474" s="2">
        <v>17179676.469999999</v>
      </c>
    </row>
    <row r="3475" spans="1:6" x14ac:dyDescent="0.25">
      <c r="A3475" s="1">
        <v>45017</v>
      </c>
      <c r="B3475" t="s">
        <v>40</v>
      </c>
      <c r="C3475" t="s">
        <v>591</v>
      </c>
      <c r="D3475" s="2">
        <v>41875521.630000003</v>
      </c>
      <c r="E3475" s="2">
        <v>3271046.86</v>
      </c>
      <c r="F3475" s="2">
        <v>4675162.45</v>
      </c>
    </row>
    <row r="3476" spans="1:6" x14ac:dyDescent="0.25">
      <c r="A3476" s="1">
        <v>45017</v>
      </c>
      <c r="B3476" t="s">
        <v>13</v>
      </c>
      <c r="C3476" t="s">
        <v>14</v>
      </c>
      <c r="D3476">
        <v>0</v>
      </c>
      <c r="E3476" s="2">
        <v>13800544.300000001</v>
      </c>
      <c r="F3476" s="2">
        <v>9993520.3300000001</v>
      </c>
    </row>
    <row r="3477" spans="1:6" x14ac:dyDescent="0.25">
      <c r="A3477" s="1">
        <v>45017</v>
      </c>
      <c r="B3477" t="s">
        <v>37</v>
      </c>
      <c r="C3477" t="s">
        <v>561</v>
      </c>
      <c r="D3477" s="2">
        <v>826358.91</v>
      </c>
      <c r="E3477" s="2">
        <v>86042.61</v>
      </c>
      <c r="F3477" s="2">
        <v>93781.85</v>
      </c>
    </row>
    <row r="3478" spans="1:6" x14ac:dyDescent="0.25">
      <c r="A3478" s="1">
        <v>45017</v>
      </c>
      <c r="B3478" t="s">
        <v>1058</v>
      </c>
      <c r="C3478" t="s">
        <v>1059</v>
      </c>
      <c r="D3478" s="2">
        <v>34954102.700000003</v>
      </c>
      <c r="E3478" s="2">
        <v>10594288.73</v>
      </c>
      <c r="F3478" s="2">
        <v>5355238.8099999996</v>
      </c>
    </row>
    <row r="3479" spans="1:6" x14ac:dyDescent="0.25">
      <c r="A3479" s="1">
        <v>45017</v>
      </c>
      <c r="B3479" t="s">
        <v>21</v>
      </c>
      <c r="C3479" t="s">
        <v>562</v>
      </c>
      <c r="D3479" s="2">
        <v>10833867.34</v>
      </c>
      <c r="E3479" s="2">
        <v>4349104.5199999996</v>
      </c>
      <c r="F3479" s="2">
        <v>4347019.2</v>
      </c>
    </row>
    <row r="3480" spans="1:6" x14ac:dyDescent="0.25">
      <c r="A3480" s="1">
        <v>45017</v>
      </c>
      <c r="B3480" t="s">
        <v>114</v>
      </c>
      <c r="C3480" t="s">
        <v>115</v>
      </c>
      <c r="D3480" s="2">
        <v>19000000</v>
      </c>
      <c r="E3480" s="2">
        <v>19000000</v>
      </c>
      <c r="F3480" s="2">
        <v>19000000</v>
      </c>
    </row>
    <row r="3481" spans="1:6" x14ac:dyDescent="0.25">
      <c r="A3481" s="1">
        <v>45017</v>
      </c>
      <c r="B3481" t="s">
        <v>50</v>
      </c>
      <c r="C3481" t="s">
        <v>287</v>
      </c>
      <c r="D3481">
        <v>254.59</v>
      </c>
      <c r="E3481" s="2">
        <v>1033397.34</v>
      </c>
      <c r="F3481" s="2">
        <v>1034907.64</v>
      </c>
    </row>
    <row r="3482" spans="1:6" x14ac:dyDescent="0.25">
      <c r="A3482" s="1">
        <v>45017</v>
      </c>
      <c r="B3482" t="s">
        <v>42</v>
      </c>
      <c r="C3482" t="s">
        <v>1080</v>
      </c>
      <c r="D3482" s="2">
        <v>30508.74</v>
      </c>
      <c r="E3482">
        <v>0</v>
      </c>
      <c r="F3482">
        <v>0</v>
      </c>
    </row>
    <row r="3483" spans="1:6" x14ac:dyDescent="0.25">
      <c r="A3483" s="1">
        <v>45017</v>
      </c>
      <c r="B3483" t="s">
        <v>101</v>
      </c>
      <c r="C3483" t="s">
        <v>984</v>
      </c>
      <c r="D3483" s="2">
        <v>73011.53</v>
      </c>
      <c r="E3483" s="2">
        <v>780060.74</v>
      </c>
      <c r="F3483" s="2">
        <v>770178.74</v>
      </c>
    </row>
    <row r="3484" spans="1:6" x14ac:dyDescent="0.25">
      <c r="A3484" s="1">
        <v>45017</v>
      </c>
      <c r="B3484" t="s">
        <v>344</v>
      </c>
      <c r="C3484" t="s">
        <v>1148</v>
      </c>
      <c r="D3484" s="2">
        <v>22340.799999999999</v>
      </c>
      <c r="E3484" s="2">
        <v>40441.86</v>
      </c>
      <c r="F3484">
        <v>0</v>
      </c>
    </row>
    <row r="3485" spans="1:6" x14ac:dyDescent="0.25">
      <c r="A3485" s="1">
        <v>45017</v>
      </c>
      <c r="B3485" t="s">
        <v>37</v>
      </c>
      <c r="C3485" t="s">
        <v>784</v>
      </c>
      <c r="D3485" s="2">
        <v>4294536.28</v>
      </c>
      <c r="E3485" s="2">
        <v>2869724.46</v>
      </c>
      <c r="F3485" s="2">
        <v>2583134.73</v>
      </c>
    </row>
    <row r="3486" spans="1:6" x14ac:dyDescent="0.25">
      <c r="A3486" s="1">
        <v>45017</v>
      </c>
      <c r="B3486" t="s">
        <v>13</v>
      </c>
      <c r="C3486" t="s">
        <v>791</v>
      </c>
      <c r="D3486" s="2">
        <v>13289048.779999999</v>
      </c>
      <c r="E3486" s="2">
        <v>63642740591.779999</v>
      </c>
      <c r="F3486" s="2">
        <v>63927039309.059998</v>
      </c>
    </row>
    <row r="3487" spans="1:6" x14ac:dyDescent="0.25">
      <c r="A3487" s="1">
        <v>45017</v>
      </c>
      <c r="B3487" t="s">
        <v>27</v>
      </c>
      <c r="C3487" t="s">
        <v>788</v>
      </c>
      <c r="D3487" s="2">
        <v>29325.94</v>
      </c>
      <c r="E3487" s="2">
        <v>29267.01</v>
      </c>
      <c r="F3487" s="2">
        <v>25047.58</v>
      </c>
    </row>
    <row r="3488" spans="1:6" x14ac:dyDescent="0.25">
      <c r="A3488" s="1">
        <v>45017</v>
      </c>
      <c r="B3488" t="s">
        <v>278</v>
      </c>
      <c r="C3488" t="s">
        <v>688</v>
      </c>
      <c r="D3488" s="2">
        <v>1788000</v>
      </c>
      <c r="E3488" s="2">
        <v>3211514032.1300001</v>
      </c>
      <c r="F3488" s="2">
        <v>3215292190.8800001</v>
      </c>
    </row>
    <row r="3489" spans="1:6" x14ac:dyDescent="0.25">
      <c r="A3489" s="1">
        <v>45017</v>
      </c>
      <c r="B3489" t="s">
        <v>23</v>
      </c>
      <c r="C3489" t="s">
        <v>677</v>
      </c>
      <c r="D3489" s="2">
        <v>120000</v>
      </c>
      <c r="E3489" s="2">
        <v>2207.8000000000002</v>
      </c>
      <c r="F3489" s="2">
        <v>2207.8000000000002</v>
      </c>
    </row>
    <row r="3490" spans="1:6" x14ac:dyDescent="0.25">
      <c r="A3490" s="1">
        <v>45017</v>
      </c>
      <c r="B3490" t="s">
        <v>23</v>
      </c>
      <c r="C3490" t="s">
        <v>117</v>
      </c>
      <c r="D3490" s="2">
        <v>304936.5</v>
      </c>
      <c r="E3490" s="2">
        <v>202200.9</v>
      </c>
      <c r="F3490" s="2">
        <v>196702.2</v>
      </c>
    </row>
    <row r="3491" spans="1:6" x14ac:dyDescent="0.25">
      <c r="A3491" s="1">
        <v>45017</v>
      </c>
      <c r="B3491" t="s">
        <v>422</v>
      </c>
      <c r="C3491" t="s">
        <v>1018</v>
      </c>
      <c r="D3491">
        <v>0</v>
      </c>
      <c r="E3491">
        <v>0</v>
      </c>
      <c r="F3491">
        <v>0</v>
      </c>
    </row>
    <row r="3492" spans="1:6" x14ac:dyDescent="0.25">
      <c r="A3492" s="1">
        <v>45017</v>
      </c>
      <c r="B3492" t="s">
        <v>21</v>
      </c>
      <c r="C3492" t="s">
        <v>595</v>
      </c>
      <c r="D3492">
        <v>0</v>
      </c>
      <c r="E3492">
        <v>0</v>
      </c>
      <c r="F3492">
        <v>0</v>
      </c>
    </row>
    <row r="3493" spans="1:6" x14ac:dyDescent="0.25">
      <c r="A3493" s="1">
        <v>45017</v>
      </c>
      <c r="B3493" t="s">
        <v>278</v>
      </c>
      <c r="C3493" t="s">
        <v>340</v>
      </c>
      <c r="D3493" s="2">
        <v>151183.6</v>
      </c>
      <c r="E3493" s="2">
        <v>190561.56</v>
      </c>
      <c r="F3493" s="2">
        <v>204957.97</v>
      </c>
    </row>
    <row r="3494" spans="1:6" x14ac:dyDescent="0.25">
      <c r="A3494" s="1">
        <v>45017</v>
      </c>
      <c r="B3494" t="s">
        <v>196</v>
      </c>
      <c r="C3494" t="s">
        <v>267</v>
      </c>
      <c r="D3494">
        <v>0</v>
      </c>
      <c r="E3494">
        <v>0</v>
      </c>
      <c r="F3494">
        <v>0</v>
      </c>
    </row>
    <row r="3495" spans="1:6" x14ac:dyDescent="0.25">
      <c r="A3495" s="1">
        <v>45017</v>
      </c>
      <c r="B3495" t="s">
        <v>23</v>
      </c>
      <c r="C3495" t="s">
        <v>708</v>
      </c>
      <c r="D3495" s="2">
        <v>-414674.69</v>
      </c>
      <c r="E3495" s="2">
        <v>63766.58</v>
      </c>
      <c r="F3495" s="2">
        <v>63766.58</v>
      </c>
    </row>
    <row r="3496" spans="1:6" x14ac:dyDescent="0.25">
      <c r="A3496" s="1">
        <v>45017</v>
      </c>
      <c r="B3496" t="s">
        <v>185</v>
      </c>
      <c r="C3496" t="s">
        <v>493</v>
      </c>
      <c r="D3496" s="2">
        <v>16450449.619999999</v>
      </c>
      <c r="E3496" s="2">
        <v>142102949.40000001</v>
      </c>
      <c r="F3496" s="2">
        <v>265167018.94</v>
      </c>
    </row>
    <row r="3497" spans="1:6" x14ac:dyDescent="0.25">
      <c r="A3497" s="1">
        <v>45017</v>
      </c>
      <c r="B3497" t="s">
        <v>105</v>
      </c>
      <c r="C3497" t="s">
        <v>922</v>
      </c>
      <c r="D3497">
        <v>0</v>
      </c>
      <c r="E3497">
        <v>0</v>
      </c>
      <c r="F3497">
        <v>0</v>
      </c>
    </row>
    <row r="3498" spans="1:6" x14ac:dyDescent="0.25">
      <c r="A3498" s="1">
        <v>45017</v>
      </c>
      <c r="B3498" t="s">
        <v>25</v>
      </c>
      <c r="C3498" t="s">
        <v>257</v>
      </c>
      <c r="D3498" s="2">
        <v>88343.37</v>
      </c>
      <c r="E3498">
        <v>958.76</v>
      </c>
      <c r="F3498">
        <v>958.76</v>
      </c>
    </row>
    <row r="3499" spans="1:6" x14ac:dyDescent="0.25">
      <c r="A3499" s="1">
        <v>45017</v>
      </c>
      <c r="B3499" t="s">
        <v>23</v>
      </c>
      <c r="C3499" t="s">
        <v>779</v>
      </c>
      <c r="D3499" s="2">
        <v>657790.68000000005</v>
      </c>
      <c r="E3499" s="2">
        <v>520031.54</v>
      </c>
      <c r="F3499" s="2">
        <v>45966.54</v>
      </c>
    </row>
    <row r="3500" spans="1:6" x14ac:dyDescent="0.25">
      <c r="A3500" s="1">
        <v>45017</v>
      </c>
      <c r="B3500" t="s">
        <v>726</v>
      </c>
      <c r="C3500" t="s">
        <v>763</v>
      </c>
      <c r="D3500" s="2">
        <v>998413.85</v>
      </c>
      <c r="E3500" s="2">
        <v>288769.74</v>
      </c>
      <c r="F3500" s="2">
        <v>602460.88</v>
      </c>
    </row>
    <row r="3501" spans="1:6" x14ac:dyDescent="0.25">
      <c r="A3501" s="1">
        <v>45017</v>
      </c>
      <c r="B3501" t="s">
        <v>648</v>
      </c>
      <c r="C3501" t="s">
        <v>914</v>
      </c>
      <c r="D3501" s="2">
        <v>98087786.359999999</v>
      </c>
      <c r="E3501" s="2">
        <v>82470500.079999998</v>
      </c>
      <c r="F3501" s="2">
        <v>110841334.31999999</v>
      </c>
    </row>
    <row r="3502" spans="1:6" x14ac:dyDescent="0.25">
      <c r="A3502" s="1">
        <v>45017</v>
      </c>
      <c r="B3502" t="s">
        <v>9</v>
      </c>
      <c r="C3502" t="s">
        <v>598</v>
      </c>
      <c r="D3502" s="2">
        <v>5031760.8499999996</v>
      </c>
      <c r="E3502" s="2">
        <v>248234.05</v>
      </c>
      <c r="F3502" s="2">
        <v>201489.47</v>
      </c>
    </row>
    <row r="3503" spans="1:6" x14ac:dyDescent="0.25">
      <c r="A3503" s="1">
        <v>45017</v>
      </c>
      <c r="B3503" t="s">
        <v>344</v>
      </c>
      <c r="C3503" t="s">
        <v>1054</v>
      </c>
      <c r="D3503" s="2">
        <v>230000</v>
      </c>
      <c r="E3503" s="2">
        <v>27081</v>
      </c>
      <c r="F3503" s="2">
        <v>27081</v>
      </c>
    </row>
    <row r="3504" spans="1:6" x14ac:dyDescent="0.25">
      <c r="A3504" s="1">
        <v>45017</v>
      </c>
      <c r="B3504" t="s">
        <v>37</v>
      </c>
      <c r="C3504" t="s">
        <v>492</v>
      </c>
      <c r="D3504">
        <v>0</v>
      </c>
      <c r="E3504">
        <v>0</v>
      </c>
      <c r="F3504">
        <v>0</v>
      </c>
    </row>
    <row r="3505" spans="1:6" x14ac:dyDescent="0.25">
      <c r="A3505" s="1">
        <v>45017</v>
      </c>
      <c r="B3505" t="s">
        <v>40</v>
      </c>
      <c r="C3505" t="s">
        <v>449</v>
      </c>
      <c r="D3505" s="2">
        <v>163978.67000000001</v>
      </c>
      <c r="E3505" s="2">
        <v>51844.23</v>
      </c>
      <c r="F3505" s="2">
        <v>47414.49</v>
      </c>
    </row>
    <row r="3506" spans="1:6" x14ac:dyDescent="0.25">
      <c r="A3506" s="1">
        <v>45017</v>
      </c>
      <c r="B3506" t="s">
        <v>619</v>
      </c>
      <c r="C3506" t="s">
        <v>917</v>
      </c>
      <c r="D3506" s="2">
        <v>13064867.199999999</v>
      </c>
      <c r="E3506" s="2">
        <v>8599515.2799999993</v>
      </c>
      <c r="F3506" s="2">
        <v>7824377.2800000003</v>
      </c>
    </row>
    <row r="3507" spans="1:6" x14ac:dyDescent="0.25">
      <c r="A3507" s="1">
        <v>45017</v>
      </c>
      <c r="B3507" t="s">
        <v>118</v>
      </c>
      <c r="C3507" t="s">
        <v>754</v>
      </c>
      <c r="D3507">
        <v>0</v>
      </c>
      <c r="E3507">
        <v>0</v>
      </c>
      <c r="F3507">
        <v>0</v>
      </c>
    </row>
    <row r="3508" spans="1:6" x14ac:dyDescent="0.25">
      <c r="A3508" s="1">
        <v>45017</v>
      </c>
      <c r="B3508" t="s">
        <v>27</v>
      </c>
      <c r="C3508" t="s">
        <v>902</v>
      </c>
      <c r="D3508" s="2">
        <v>990070.56</v>
      </c>
      <c r="E3508" s="2">
        <v>1661540.87</v>
      </c>
      <c r="F3508" s="2">
        <v>1818649.24</v>
      </c>
    </row>
    <row r="3509" spans="1:6" x14ac:dyDescent="0.25">
      <c r="A3509" s="1">
        <v>45017</v>
      </c>
      <c r="B3509" t="s">
        <v>101</v>
      </c>
      <c r="C3509" t="s">
        <v>827</v>
      </c>
      <c r="D3509">
        <v>0</v>
      </c>
      <c r="E3509">
        <v>0</v>
      </c>
      <c r="F3509">
        <v>0</v>
      </c>
    </row>
    <row r="3510" spans="1:6" x14ac:dyDescent="0.25">
      <c r="A3510" s="1">
        <v>45017</v>
      </c>
      <c r="B3510" t="s">
        <v>23</v>
      </c>
      <c r="C3510" t="s">
        <v>198</v>
      </c>
      <c r="D3510" s="2">
        <v>6730370.5999999996</v>
      </c>
      <c r="E3510" s="2">
        <v>612025.44999999995</v>
      </c>
      <c r="F3510" s="2">
        <v>79361.33</v>
      </c>
    </row>
    <row r="3511" spans="1:6" x14ac:dyDescent="0.25">
      <c r="A3511" s="1">
        <v>45017</v>
      </c>
      <c r="B3511" t="s">
        <v>23</v>
      </c>
      <c r="C3511" t="s">
        <v>370</v>
      </c>
      <c r="D3511" s="2">
        <v>1694357.27</v>
      </c>
      <c r="E3511" s="2">
        <v>61492.77</v>
      </c>
      <c r="F3511" s="2">
        <v>61492.77</v>
      </c>
    </row>
    <row r="3512" spans="1:6" x14ac:dyDescent="0.25">
      <c r="A3512" s="1">
        <v>45017</v>
      </c>
      <c r="B3512" t="s">
        <v>114</v>
      </c>
      <c r="C3512" t="s">
        <v>547</v>
      </c>
      <c r="D3512" s="2">
        <v>695663.29</v>
      </c>
      <c r="E3512" s="2">
        <v>84815.61</v>
      </c>
      <c r="F3512" s="2">
        <v>72615.61</v>
      </c>
    </row>
    <row r="3513" spans="1:6" x14ac:dyDescent="0.25">
      <c r="A3513" s="1">
        <v>45017</v>
      </c>
      <c r="B3513" t="s">
        <v>132</v>
      </c>
      <c r="C3513" t="s">
        <v>469</v>
      </c>
      <c r="D3513" s="2">
        <v>158203865.77000001</v>
      </c>
      <c r="E3513" s="2">
        <v>78883272.730000004</v>
      </c>
      <c r="F3513" s="2">
        <v>63650102.159999996</v>
      </c>
    </row>
    <row r="3514" spans="1:6" x14ac:dyDescent="0.25">
      <c r="A3514" s="1">
        <v>45017</v>
      </c>
      <c r="B3514" t="s">
        <v>162</v>
      </c>
      <c r="C3514" t="s">
        <v>421</v>
      </c>
      <c r="D3514" s="2">
        <v>1339792.1399999999</v>
      </c>
      <c r="E3514" s="2">
        <v>1694494.11</v>
      </c>
      <c r="F3514" s="2">
        <v>1911127.02</v>
      </c>
    </row>
    <row r="3515" spans="1:6" x14ac:dyDescent="0.25">
      <c r="A3515" s="1">
        <v>45017</v>
      </c>
      <c r="B3515" t="s">
        <v>306</v>
      </c>
      <c r="C3515" t="s">
        <v>841</v>
      </c>
      <c r="D3515" s="2">
        <v>5221965.3899999997</v>
      </c>
      <c r="E3515" s="2">
        <v>1464840.99</v>
      </c>
      <c r="F3515" s="2">
        <v>1666218.83</v>
      </c>
    </row>
    <row r="3516" spans="1:6" x14ac:dyDescent="0.25">
      <c r="A3516" s="1">
        <v>45017</v>
      </c>
      <c r="B3516" t="s">
        <v>992</v>
      </c>
      <c r="C3516" t="s">
        <v>993</v>
      </c>
      <c r="D3516">
        <v>0</v>
      </c>
      <c r="E3516">
        <v>0</v>
      </c>
      <c r="F3516">
        <v>0</v>
      </c>
    </row>
    <row r="3517" spans="1:6" x14ac:dyDescent="0.25">
      <c r="A3517" s="1">
        <v>45017</v>
      </c>
      <c r="B3517" t="s">
        <v>118</v>
      </c>
      <c r="C3517" t="s">
        <v>742</v>
      </c>
      <c r="D3517" s="2">
        <v>858016.6</v>
      </c>
      <c r="E3517" s="2">
        <v>1274609.96</v>
      </c>
      <c r="F3517" s="2">
        <v>671637.23</v>
      </c>
    </row>
    <row r="3518" spans="1:6" x14ac:dyDescent="0.25">
      <c r="A3518" s="1">
        <v>45017</v>
      </c>
      <c r="B3518" t="s">
        <v>23</v>
      </c>
      <c r="C3518" t="s">
        <v>665</v>
      </c>
      <c r="D3518" s="2">
        <v>732299.89</v>
      </c>
      <c r="E3518" s="2">
        <v>411013.49</v>
      </c>
      <c r="F3518" s="2">
        <v>409177.14</v>
      </c>
    </row>
    <row r="3519" spans="1:6" x14ac:dyDescent="0.25">
      <c r="A3519" s="1">
        <v>45017</v>
      </c>
      <c r="B3519" t="s">
        <v>154</v>
      </c>
      <c r="C3519" t="s">
        <v>716</v>
      </c>
      <c r="D3519" s="2">
        <v>118088.5</v>
      </c>
      <c r="E3519" s="2">
        <v>371343.17</v>
      </c>
      <c r="F3519" s="2">
        <v>369718.67</v>
      </c>
    </row>
    <row r="3520" spans="1:6" x14ac:dyDescent="0.25">
      <c r="A3520" s="1">
        <v>45017</v>
      </c>
      <c r="B3520" t="s">
        <v>21</v>
      </c>
      <c r="C3520" t="s">
        <v>790</v>
      </c>
      <c r="D3520" s="2">
        <v>48201394.960000001</v>
      </c>
      <c r="E3520" s="2">
        <v>8610685.8499999996</v>
      </c>
      <c r="F3520" s="2">
        <v>8947279.4100000001</v>
      </c>
    </row>
    <row r="3521" spans="1:6" x14ac:dyDescent="0.25">
      <c r="A3521" s="1">
        <v>45017</v>
      </c>
      <c r="B3521" t="s">
        <v>31</v>
      </c>
      <c r="C3521" t="s">
        <v>82</v>
      </c>
      <c r="D3521" s="2">
        <v>-2000</v>
      </c>
      <c r="E3521">
        <v>83.28</v>
      </c>
      <c r="F3521" s="2">
        <v>3883.15</v>
      </c>
    </row>
    <row r="3522" spans="1:6" x14ac:dyDescent="0.25">
      <c r="A3522" s="1">
        <v>45017</v>
      </c>
      <c r="B3522" t="s">
        <v>40</v>
      </c>
      <c r="C3522" t="s">
        <v>802</v>
      </c>
      <c r="D3522" s="2">
        <v>11530975.07</v>
      </c>
      <c r="E3522" s="2">
        <v>106112098.03</v>
      </c>
      <c r="F3522" s="2">
        <v>101930462.43000001</v>
      </c>
    </row>
    <row r="3523" spans="1:6" x14ac:dyDescent="0.25">
      <c r="A3523" s="1">
        <v>45017</v>
      </c>
      <c r="B3523" t="s">
        <v>23</v>
      </c>
      <c r="C3523" t="s">
        <v>896</v>
      </c>
      <c r="D3523" s="2">
        <v>10214070.539999999</v>
      </c>
      <c r="E3523" s="2">
        <v>2405926.81</v>
      </c>
      <c r="F3523" s="2">
        <v>3515072.73</v>
      </c>
    </row>
    <row r="3524" spans="1:6" x14ac:dyDescent="0.25">
      <c r="A3524" s="1">
        <v>45017</v>
      </c>
      <c r="B3524" t="s">
        <v>23</v>
      </c>
      <c r="C3524" t="s">
        <v>715</v>
      </c>
      <c r="D3524" s="2">
        <v>187532.04</v>
      </c>
      <c r="E3524" s="2">
        <v>173904.38</v>
      </c>
      <c r="F3524" s="2">
        <v>75457.990000000005</v>
      </c>
    </row>
    <row r="3525" spans="1:6" x14ac:dyDescent="0.25">
      <c r="A3525" s="1">
        <v>45017</v>
      </c>
      <c r="B3525" t="s">
        <v>398</v>
      </c>
      <c r="C3525" t="s">
        <v>826</v>
      </c>
      <c r="D3525" s="2">
        <v>572891</v>
      </c>
      <c r="E3525" s="2">
        <v>142136.31</v>
      </c>
      <c r="F3525" s="2">
        <v>164844.87</v>
      </c>
    </row>
    <row r="3526" spans="1:6" x14ac:dyDescent="0.25">
      <c r="A3526" s="1">
        <v>45017</v>
      </c>
      <c r="B3526" t="s">
        <v>263</v>
      </c>
      <c r="C3526" t="s">
        <v>824</v>
      </c>
      <c r="D3526" s="2">
        <v>42166919.899999999</v>
      </c>
      <c r="E3526" s="2">
        <v>16279814.42</v>
      </c>
      <c r="F3526" s="2">
        <v>17243716.559999999</v>
      </c>
    </row>
    <row r="3527" spans="1:6" x14ac:dyDescent="0.25">
      <c r="A3527" s="1">
        <v>45017</v>
      </c>
      <c r="B3527" t="s">
        <v>143</v>
      </c>
      <c r="C3527" t="s">
        <v>351</v>
      </c>
      <c r="D3527" s="2">
        <v>1401992824.6700001</v>
      </c>
      <c r="E3527" s="2">
        <v>1404802036.27</v>
      </c>
      <c r="F3527" s="2">
        <v>1404802036.27</v>
      </c>
    </row>
    <row r="3528" spans="1:6" x14ac:dyDescent="0.25">
      <c r="A3528" s="1">
        <v>45017</v>
      </c>
      <c r="B3528" t="s">
        <v>37</v>
      </c>
      <c r="C3528" t="s">
        <v>685</v>
      </c>
      <c r="D3528" s="2">
        <v>3161424.64</v>
      </c>
      <c r="E3528" s="2">
        <v>230000</v>
      </c>
      <c r="F3528">
        <v>0</v>
      </c>
    </row>
    <row r="3529" spans="1:6" x14ac:dyDescent="0.25">
      <c r="A3529" s="1">
        <v>45017</v>
      </c>
      <c r="B3529" t="s">
        <v>29</v>
      </c>
      <c r="C3529" t="s">
        <v>804</v>
      </c>
      <c r="D3529" s="2">
        <v>8443313.6300000008</v>
      </c>
      <c r="E3529" s="2">
        <v>1152058.8700000001</v>
      </c>
      <c r="F3529" s="2">
        <v>1218457.67</v>
      </c>
    </row>
    <row r="3530" spans="1:6" x14ac:dyDescent="0.25">
      <c r="A3530" s="1">
        <v>45017</v>
      </c>
      <c r="B3530" t="s">
        <v>46</v>
      </c>
      <c r="C3530" t="s">
        <v>47</v>
      </c>
      <c r="D3530" s="2">
        <v>1201666.6599999999</v>
      </c>
      <c r="E3530" s="2">
        <v>1201666.6599999999</v>
      </c>
      <c r="F3530" s="2">
        <v>1201666.6599999999</v>
      </c>
    </row>
    <row r="3531" spans="1:6" x14ac:dyDescent="0.25">
      <c r="A3531" s="1">
        <v>45017</v>
      </c>
      <c r="B3531" t="s">
        <v>196</v>
      </c>
      <c r="C3531" t="s">
        <v>806</v>
      </c>
      <c r="D3531">
        <v>0</v>
      </c>
      <c r="E3531">
        <v>0</v>
      </c>
      <c r="F3531">
        <v>0</v>
      </c>
    </row>
    <row r="3532" spans="1:6" x14ac:dyDescent="0.25">
      <c r="A3532" s="1">
        <v>45017</v>
      </c>
      <c r="B3532" t="s">
        <v>726</v>
      </c>
      <c r="C3532" t="s">
        <v>876</v>
      </c>
      <c r="D3532" s="2">
        <v>205339.02</v>
      </c>
      <c r="E3532" s="2">
        <v>66580.05</v>
      </c>
      <c r="F3532" s="2">
        <v>56152.09</v>
      </c>
    </row>
    <row r="3533" spans="1:6" x14ac:dyDescent="0.25">
      <c r="A3533" s="1">
        <v>45017</v>
      </c>
      <c r="B3533" t="s">
        <v>107</v>
      </c>
      <c r="C3533" t="s">
        <v>499</v>
      </c>
      <c r="D3533">
        <v>0</v>
      </c>
      <c r="E3533">
        <v>0</v>
      </c>
      <c r="F3533">
        <v>0</v>
      </c>
    </row>
    <row r="3534" spans="1:6" x14ac:dyDescent="0.25">
      <c r="A3534" s="1">
        <v>45017</v>
      </c>
      <c r="B3534" t="s">
        <v>476</v>
      </c>
      <c r="C3534" t="s">
        <v>904</v>
      </c>
      <c r="D3534" s="2">
        <v>2043014.78</v>
      </c>
      <c r="E3534" s="2">
        <v>1138735.9099999999</v>
      </c>
      <c r="F3534" s="2">
        <v>1131783.52</v>
      </c>
    </row>
    <row r="3535" spans="1:6" x14ac:dyDescent="0.25">
      <c r="A3535" s="1">
        <v>45017</v>
      </c>
      <c r="B3535" t="s">
        <v>15</v>
      </c>
      <c r="C3535" t="s">
        <v>796</v>
      </c>
      <c r="D3535" s="2">
        <v>23124834.02</v>
      </c>
      <c r="E3535" s="2">
        <v>17157952.43</v>
      </c>
      <c r="F3535" s="2">
        <v>18242675.84</v>
      </c>
    </row>
    <row r="3536" spans="1:6" x14ac:dyDescent="0.25">
      <c r="A3536" s="1">
        <v>45017</v>
      </c>
      <c r="B3536" t="s">
        <v>107</v>
      </c>
      <c r="C3536" t="s">
        <v>108</v>
      </c>
      <c r="D3536" s="2">
        <v>43000000</v>
      </c>
      <c r="E3536" s="2">
        <v>2243789.62</v>
      </c>
      <c r="F3536" s="2">
        <v>2243789.62</v>
      </c>
    </row>
    <row r="3537" spans="1:6" x14ac:dyDescent="0.25">
      <c r="A3537" s="1">
        <v>45017</v>
      </c>
      <c r="B3537" t="s">
        <v>11</v>
      </c>
      <c r="C3537" t="s">
        <v>342</v>
      </c>
      <c r="D3537" s="2">
        <v>592009984.90999997</v>
      </c>
      <c r="E3537" s="2">
        <v>575840254.88999999</v>
      </c>
      <c r="F3537" s="2">
        <v>577221433.14999998</v>
      </c>
    </row>
    <row r="3538" spans="1:6" x14ac:dyDescent="0.25">
      <c r="A3538" s="1">
        <v>45017</v>
      </c>
      <c r="B3538" t="s">
        <v>21</v>
      </c>
      <c r="C3538" t="s">
        <v>456</v>
      </c>
      <c r="D3538">
        <v>0</v>
      </c>
      <c r="E3538" s="2">
        <v>27014.1</v>
      </c>
      <c r="F3538" s="2">
        <v>27014.1</v>
      </c>
    </row>
    <row r="3539" spans="1:6" x14ac:dyDescent="0.25">
      <c r="A3539" s="1">
        <v>45017</v>
      </c>
      <c r="B3539" t="s">
        <v>40</v>
      </c>
      <c r="C3539" t="s">
        <v>888</v>
      </c>
      <c r="D3539" s="2">
        <v>14112131.300000001</v>
      </c>
      <c r="E3539" s="2">
        <v>5918191.4500000002</v>
      </c>
      <c r="F3539" s="2">
        <v>5983471.2300000004</v>
      </c>
    </row>
    <row r="3540" spans="1:6" x14ac:dyDescent="0.25">
      <c r="A3540" s="1">
        <v>45017</v>
      </c>
      <c r="B3540" t="s">
        <v>101</v>
      </c>
      <c r="C3540" t="s">
        <v>780</v>
      </c>
      <c r="D3540" s="2">
        <v>9183487.6300000008</v>
      </c>
      <c r="E3540" s="2">
        <v>1535825.08</v>
      </c>
      <c r="F3540" s="2">
        <v>1662790.99</v>
      </c>
    </row>
    <row r="3541" spans="1:6" x14ac:dyDescent="0.25">
      <c r="A3541" s="1">
        <v>45017</v>
      </c>
      <c r="B3541" t="s">
        <v>272</v>
      </c>
      <c r="C3541" t="s">
        <v>537</v>
      </c>
      <c r="D3541" s="2">
        <v>6317.6</v>
      </c>
      <c r="E3541">
        <v>0</v>
      </c>
      <c r="F3541">
        <v>0</v>
      </c>
    </row>
    <row r="3542" spans="1:6" x14ac:dyDescent="0.25">
      <c r="A3542" s="1">
        <v>45017</v>
      </c>
      <c r="B3542" t="s">
        <v>37</v>
      </c>
      <c r="C3542" t="s">
        <v>809</v>
      </c>
      <c r="D3542" s="2">
        <v>810481.02</v>
      </c>
      <c r="E3542" s="2">
        <v>529614.89</v>
      </c>
      <c r="F3542" s="2">
        <v>215609.77</v>
      </c>
    </row>
    <row r="3543" spans="1:6" x14ac:dyDescent="0.25">
      <c r="A3543" s="1">
        <v>45017</v>
      </c>
      <c r="B3543" t="s">
        <v>29</v>
      </c>
      <c r="C3543" t="s">
        <v>1208</v>
      </c>
      <c r="D3543" s="2">
        <v>1000000</v>
      </c>
      <c r="E3543">
        <v>0</v>
      </c>
      <c r="F3543">
        <v>0</v>
      </c>
    </row>
    <row r="3544" spans="1:6" x14ac:dyDescent="0.25">
      <c r="A3544" s="1">
        <v>45017</v>
      </c>
      <c r="B3544" t="s">
        <v>263</v>
      </c>
      <c r="C3544" t="s">
        <v>745</v>
      </c>
      <c r="D3544" s="2">
        <v>1642155.36</v>
      </c>
      <c r="E3544" s="2">
        <v>1060166.8</v>
      </c>
      <c r="F3544" s="2">
        <v>1017421.82</v>
      </c>
    </row>
    <row r="3545" spans="1:6" x14ac:dyDescent="0.25">
      <c r="A3545" s="1">
        <v>45017</v>
      </c>
      <c r="B3545" t="s">
        <v>15</v>
      </c>
      <c r="C3545" t="s">
        <v>205</v>
      </c>
      <c r="D3545" s="2">
        <v>29551298</v>
      </c>
      <c r="E3545" s="2">
        <v>16320586.27</v>
      </c>
      <c r="F3545" s="2">
        <v>8520556.6899999995</v>
      </c>
    </row>
    <row r="3546" spans="1:6" x14ac:dyDescent="0.25">
      <c r="A3546" s="1">
        <v>45017</v>
      </c>
      <c r="B3546" t="s">
        <v>40</v>
      </c>
      <c r="C3546" t="s">
        <v>801</v>
      </c>
      <c r="D3546" s="2">
        <v>3545740.25</v>
      </c>
      <c r="E3546" s="2">
        <v>3472404.67</v>
      </c>
      <c r="F3546" s="2">
        <v>3474484.83</v>
      </c>
    </row>
    <row r="3547" spans="1:6" x14ac:dyDescent="0.25">
      <c r="A3547" s="1">
        <v>45017</v>
      </c>
      <c r="B3547" t="s">
        <v>296</v>
      </c>
      <c r="C3547" t="s">
        <v>470</v>
      </c>
      <c r="D3547" s="2">
        <v>179016.07</v>
      </c>
      <c r="E3547" s="2">
        <v>43715.06</v>
      </c>
      <c r="F3547" s="2">
        <v>19675.060000000001</v>
      </c>
    </row>
    <row r="3548" spans="1:6" x14ac:dyDescent="0.25">
      <c r="A3548" s="1">
        <v>45017</v>
      </c>
      <c r="B3548" t="s">
        <v>105</v>
      </c>
      <c r="C3548" t="s">
        <v>645</v>
      </c>
      <c r="D3548">
        <v>0</v>
      </c>
      <c r="E3548">
        <v>0</v>
      </c>
      <c r="F3548">
        <v>0</v>
      </c>
    </row>
    <row r="3549" spans="1:6" x14ac:dyDescent="0.25">
      <c r="A3549" s="1">
        <v>45017</v>
      </c>
      <c r="B3549" t="s">
        <v>196</v>
      </c>
      <c r="C3549" t="s">
        <v>491</v>
      </c>
      <c r="D3549">
        <v>0</v>
      </c>
      <c r="E3549">
        <v>0</v>
      </c>
      <c r="F3549">
        <v>0</v>
      </c>
    </row>
    <row r="3550" spans="1:6" x14ac:dyDescent="0.25">
      <c r="A3550" s="1">
        <v>45017</v>
      </c>
      <c r="B3550" t="s">
        <v>23</v>
      </c>
      <c r="C3550" t="s">
        <v>580</v>
      </c>
      <c r="D3550" s="2">
        <v>600970</v>
      </c>
      <c r="E3550" s="2">
        <v>35451.620000000003</v>
      </c>
      <c r="F3550" s="2">
        <v>32618.46</v>
      </c>
    </row>
    <row r="3551" spans="1:6" x14ac:dyDescent="0.25">
      <c r="A3551" s="1">
        <v>45017</v>
      </c>
      <c r="B3551" t="s">
        <v>13</v>
      </c>
      <c r="C3551" t="s">
        <v>474</v>
      </c>
      <c r="D3551">
        <v>0</v>
      </c>
      <c r="E3551" s="2">
        <v>633907927.5</v>
      </c>
      <c r="F3551" s="2">
        <v>476510837.56999999</v>
      </c>
    </row>
    <row r="3552" spans="1:6" x14ac:dyDescent="0.25">
      <c r="A3552" s="1">
        <v>45017</v>
      </c>
      <c r="B3552" t="s">
        <v>65</v>
      </c>
      <c r="C3552" t="s">
        <v>883</v>
      </c>
      <c r="D3552" s="2">
        <v>65488167.549999997</v>
      </c>
      <c r="E3552" s="2">
        <v>3895721.22</v>
      </c>
      <c r="F3552" s="2">
        <v>3785708.2</v>
      </c>
    </row>
    <row r="3553" spans="1:6" x14ac:dyDescent="0.25">
      <c r="A3553" s="1">
        <v>45017</v>
      </c>
      <c r="B3553" t="s">
        <v>114</v>
      </c>
      <c r="C3553" t="s">
        <v>690</v>
      </c>
      <c r="D3553" s="2">
        <v>8657293.7400000002</v>
      </c>
      <c r="E3553" s="2">
        <v>19947185.289999999</v>
      </c>
      <c r="F3553" s="2">
        <v>23768616.07</v>
      </c>
    </row>
    <row r="3554" spans="1:6" x14ac:dyDescent="0.25">
      <c r="A3554" s="1">
        <v>45017</v>
      </c>
      <c r="B3554" t="s">
        <v>9</v>
      </c>
      <c r="C3554" t="s">
        <v>881</v>
      </c>
      <c r="D3554" s="2">
        <v>3146789.83</v>
      </c>
      <c r="E3554" s="2">
        <v>940018.05</v>
      </c>
      <c r="F3554" s="2">
        <v>1387518.05</v>
      </c>
    </row>
    <row r="3555" spans="1:6" x14ac:dyDescent="0.25">
      <c r="A3555" s="1">
        <v>45017</v>
      </c>
      <c r="B3555" t="s">
        <v>476</v>
      </c>
      <c r="C3555" t="s">
        <v>853</v>
      </c>
      <c r="D3555" s="2">
        <v>7781113.4699999997</v>
      </c>
      <c r="E3555" s="2">
        <v>3312264.94</v>
      </c>
      <c r="F3555" s="2">
        <v>3184117.46</v>
      </c>
    </row>
    <row r="3556" spans="1:6" x14ac:dyDescent="0.25">
      <c r="A3556" s="1">
        <v>45017</v>
      </c>
      <c r="B3556" t="s">
        <v>68</v>
      </c>
      <c r="C3556" t="s">
        <v>503</v>
      </c>
      <c r="D3556" s="2">
        <v>39660396.049999997</v>
      </c>
      <c r="E3556">
        <v>0</v>
      </c>
      <c r="F3556">
        <v>0</v>
      </c>
    </row>
    <row r="3557" spans="1:6" x14ac:dyDescent="0.25">
      <c r="A3557" s="1">
        <v>45017</v>
      </c>
      <c r="B3557" t="s">
        <v>13</v>
      </c>
      <c r="C3557" t="s">
        <v>711</v>
      </c>
      <c r="D3557" s="2">
        <v>3614457.96</v>
      </c>
      <c r="E3557" s="2">
        <v>2853208.36</v>
      </c>
      <c r="F3557" s="2">
        <v>2814839.96</v>
      </c>
    </row>
    <row r="3558" spans="1:6" x14ac:dyDescent="0.25">
      <c r="A3558" s="1">
        <v>45017</v>
      </c>
      <c r="B3558" t="s">
        <v>422</v>
      </c>
      <c r="C3558" t="s">
        <v>920</v>
      </c>
      <c r="D3558" s="2">
        <v>1842805.8</v>
      </c>
      <c r="E3558">
        <v>0</v>
      </c>
      <c r="F3558">
        <v>0</v>
      </c>
    </row>
    <row r="3559" spans="1:6" x14ac:dyDescent="0.25">
      <c r="A3559" s="1">
        <v>45017</v>
      </c>
      <c r="B3559" t="s">
        <v>40</v>
      </c>
      <c r="C3559" t="s">
        <v>686</v>
      </c>
      <c r="D3559" s="2">
        <v>4277117.63</v>
      </c>
      <c r="E3559" s="2">
        <v>7120858.4500000002</v>
      </c>
      <c r="F3559" s="2">
        <v>7208803.1500000004</v>
      </c>
    </row>
    <row r="3560" spans="1:6" x14ac:dyDescent="0.25">
      <c r="A3560" s="1">
        <v>45017</v>
      </c>
      <c r="B3560" t="s">
        <v>46</v>
      </c>
      <c r="C3560" t="s">
        <v>590</v>
      </c>
      <c r="D3560" s="2">
        <v>100000</v>
      </c>
      <c r="E3560" s="2">
        <v>170324.59</v>
      </c>
      <c r="F3560" s="2">
        <v>170324.59</v>
      </c>
    </row>
    <row r="3561" spans="1:6" x14ac:dyDescent="0.25">
      <c r="A3561" s="1">
        <v>45017</v>
      </c>
      <c r="B3561" t="s">
        <v>42</v>
      </c>
      <c r="C3561" t="s">
        <v>400</v>
      </c>
      <c r="D3561">
        <v>0</v>
      </c>
      <c r="E3561" s="2">
        <v>600000000</v>
      </c>
      <c r="F3561" s="2">
        <v>600000000</v>
      </c>
    </row>
    <row r="3562" spans="1:6" x14ac:dyDescent="0.25">
      <c r="A3562" s="1">
        <v>45017</v>
      </c>
      <c r="B3562" t="s">
        <v>50</v>
      </c>
      <c r="C3562" t="s">
        <v>767</v>
      </c>
      <c r="D3562" s="2">
        <v>508803.8</v>
      </c>
      <c r="E3562" s="2">
        <v>367476.14</v>
      </c>
      <c r="F3562" s="2">
        <v>151995.01999999999</v>
      </c>
    </row>
    <row r="3563" spans="1:6" x14ac:dyDescent="0.25">
      <c r="A3563" s="1">
        <v>45017</v>
      </c>
      <c r="B3563" t="s">
        <v>23</v>
      </c>
      <c r="C3563" t="s">
        <v>681</v>
      </c>
      <c r="D3563" s="2">
        <v>-117798.78</v>
      </c>
      <c r="E3563" s="2">
        <v>17146.66</v>
      </c>
      <c r="F3563" s="2">
        <v>18938.650000000001</v>
      </c>
    </row>
    <row r="3564" spans="1:6" x14ac:dyDescent="0.25">
      <c r="A3564" s="1">
        <v>45017</v>
      </c>
      <c r="B3564" t="s">
        <v>68</v>
      </c>
      <c r="C3564" t="s">
        <v>87</v>
      </c>
      <c r="D3564" s="2">
        <v>418365.22</v>
      </c>
      <c r="E3564" s="2">
        <v>552282.21</v>
      </c>
      <c r="F3564" s="2">
        <v>552282.21</v>
      </c>
    </row>
    <row r="3565" spans="1:6" x14ac:dyDescent="0.25">
      <c r="A3565" s="1">
        <v>45017</v>
      </c>
      <c r="B3565" t="s">
        <v>118</v>
      </c>
      <c r="C3565" t="s">
        <v>298</v>
      </c>
      <c r="D3565">
        <v>0</v>
      </c>
      <c r="E3565">
        <v>-91.2</v>
      </c>
      <c r="F3565">
        <v>522.44000000000005</v>
      </c>
    </row>
    <row r="3566" spans="1:6" x14ac:dyDescent="0.25">
      <c r="A3566" s="1">
        <v>45017</v>
      </c>
      <c r="B3566" t="s">
        <v>92</v>
      </c>
      <c r="C3566" t="s">
        <v>93</v>
      </c>
      <c r="D3566" s="2">
        <v>278446.95</v>
      </c>
      <c r="E3566" s="2">
        <v>108006.52</v>
      </c>
      <c r="F3566" s="2">
        <v>115252.89</v>
      </c>
    </row>
    <row r="3567" spans="1:6" x14ac:dyDescent="0.25">
      <c r="A3567" s="1">
        <v>45017</v>
      </c>
      <c r="B3567" t="s">
        <v>46</v>
      </c>
      <c r="C3567" t="s">
        <v>618</v>
      </c>
      <c r="D3567" s="2">
        <v>396914958.19999999</v>
      </c>
      <c r="E3567" s="2">
        <v>144422315.47</v>
      </c>
      <c r="F3567" s="2">
        <v>147496991.53999999</v>
      </c>
    </row>
    <row r="3568" spans="1:6" x14ac:dyDescent="0.25">
      <c r="A3568" s="1">
        <v>45017</v>
      </c>
      <c r="B3568" t="s">
        <v>27</v>
      </c>
      <c r="C3568" t="s">
        <v>748</v>
      </c>
      <c r="D3568" s="2">
        <v>18700</v>
      </c>
      <c r="E3568" s="2">
        <v>13462.8</v>
      </c>
      <c r="F3568" s="2">
        <v>13462.8</v>
      </c>
    </row>
    <row r="3569" spans="1:6" x14ac:dyDescent="0.25">
      <c r="A3569" s="1">
        <v>45017</v>
      </c>
      <c r="B3569" t="s">
        <v>46</v>
      </c>
      <c r="C3569" t="s">
        <v>295</v>
      </c>
      <c r="D3569" s="2">
        <v>878935.01</v>
      </c>
      <c r="E3569" s="2">
        <v>1136040.94</v>
      </c>
      <c r="F3569" s="2">
        <v>1117676.04</v>
      </c>
    </row>
    <row r="3570" spans="1:6" x14ac:dyDescent="0.25">
      <c r="A3570" s="1">
        <v>45017</v>
      </c>
      <c r="B3570" t="s">
        <v>37</v>
      </c>
      <c r="C3570" t="s">
        <v>384</v>
      </c>
      <c r="D3570" s="2">
        <v>219071.98</v>
      </c>
      <c r="E3570" s="2">
        <v>144007.54999999999</v>
      </c>
      <c r="F3570" s="2">
        <v>139923.4</v>
      </c>
    </row>
    <row r="3571" spans="1:6" x14ac:dyDescent="0.25">
      <c r="A3571" s="1">
        <v>45017</v>
      </c>
      <c r="B3571" t="s">
        <v>490</v>
      </c>
      <c r="C3571" t="s">
        <v>875</v>
      </c>
      <c r="D3571" s="2">
        <v>11307828.07</v>
      </c>
      <c r="E3571" s="2">
        <v>3741892.15</v>
      </c>
      <c r="F3571" s="2">
        <v>3129994.59</v>
      </c>
    </row>
    <row r="3572" spans="1:6" x14ac:dyDescent="0.25">
      <c r="A3572" s="1">
        <v>45017</v>
      </c>
      <c r="B3572" t="s">
        <v>118</v>
      </c>
      <c r="C3572" t="s">
        <v>179</v>
      </c>
      <c r="D3572">
        <v>0</v>
      </c>
      <c r="E3572">
        <v>0</v>
      </c>
      <c r="F3572">
        <v>0</v>
      </c>
    </row>
    <row r="3573" spans="1:6" x14ac:dyDescent="0.25">
      <c r="A3573" s="1">
        <v>45017</v>
      </c>
      <c r="B3573" t="s">
        <v>118</v>
      </c>
      <c r="C3573" t="s">
        <v>62</v>
      </c>
      <c r="D3573" s="2">
        <v>1370783.08</v>
      </c>
      <c r="E3573" s="2">
        <v>807191.76</v>
      </c>
      <c r="F3573" s="2">
        <v>663257.49</v>
      </c>
    </row>
    <row r="3574" spans="1:6" x14ac:dyDescent="0.25">
      <c r="A3574" s="1">
        <v>45017</v>
      </c>
      <c r="B3574" t="s">
        <v>27</v>
      </c>
      <c r="C3574" t="s">
        <v>535</v>
      </c>
      <c r="D3574" s="2">
        <v>7927060.1500000004</v>
      </c>
      <c r="E3574" s="2">
        <v>5698524.4900000002</v>
      </c>
      <c r="F3574" s="2">
        <v>4404566.6100000003</v>
      </c>
    </row>
    <row r="3575" spans="1:6" x14ac:dyDescent="0.25">
      <c r="A3575" s="1">
        <v>45017</v>
      </c>
      <c r="B3575" t="s">
        <v>68</v>
      </c>
      <c r="C3575" t="s">
        <v>810</v>
      </c>
      <c r="D3575" s="2">
        <v>9797826.7200000007</v>
      </c>
      <c r="E3575" s="2">
        <v>1379739.29</v>
      </c>
      <c r="F3575" s="2">
        <v>1377065.12</v>
      </c>
    </row>
    <row r="3576" spans="1:6" x14ac:dyDescent="0.25">
      <c r="A3576" s="1">
        <v>45017</v>
      </c>
      <c r="B3576" t="s">
        <v>17</v>
      </c>
      <c r="C3576" t="s">
        <v>1013</v>
      </c>
      <c r="D3576">
        <v>0</v>
      </c>
      <c r="E3576">
        <v>0</v>
      </c>
      <c r="F3576">
        <v>0</v>
      </c>
    </row>
    <row r="3577" spans="1:6" x14ac:dyDescent="0.25">
      <c r="A3577" s="1">
        <v>45017</v>
      </c>
      <c r="B3577" t="s">
        <v>46</v>
      </c>
      <c r="C3577" t="s">
        <v>584</v>
      </c>
      <c r="D3577" s="2">
        <v>750149.58</v>
      </c>
      <c r="E3577" s="2">
        <v>2378850.29</v>
      </c>
      <c r="F3577" s="2">
        <v>2205154.73</v>
      </c>
    </row>
    <row r="3578" spans="1:6" x14ac:dyDescent="0.25">
      <c r="A3578" s="1">
        <v>45017</v>
      </c>
      <c r="B3578" t="s">
        <v>21</v>
      </c>
      <c r="C3578" t="s">
        <v>757</v>
      </c>
      <c r="D3578" s="2">
        <v>80200000</v>
      </c>
      <c r="E3578" s="2">
        <v>484950</v>
      </c>
      <c r="F3578" s="2">
        <v>484950</v>
      </c>
    </row>
    <row r="3579" spans="1:6" x14ac:dyDescent="0.25">
      <c r="A3579" s="1">
        <v>45017</v>
      </c>
      <c r="B3579" t="s">
        <v>251</v>
      </c>
      <c r="C3579" t="s">
        <v>750</v>
      </c>
      <c r="D3579" s="2">
        <v>116647207.63</v>
      </c>
      <c r="E3579" s="2">
        <v>21904145.039999999</v>
      </c>
      <c r="F3579" s="2">
        <v>22021768.800000001</v>
      </c>
    </row>
    <row r="3580" spans="1:6" x14ac:dyDescent="0.25">
      <c r="A3580" s="1">
        <v>45017</v>
      </c>
      <c r="B3580" t="s">
        <v>114</v>
      </c>
      <c r="C3580" t="s">
        <v>136</v>
      </c>
      <c r="D3580" s="2">
        <v>18776677.5</v>
      </c>
      <c r="E3580" s="2">
        <v>1000299.8</v>
      </c>
      <c r="F3580" s="2">
        <v>999999</v>
      </c>
    </row>
    <row r="3581" spans="1:6" x14ac:dyDescent="0.25">
      <c r="A3581" s="1">
        <v>45017</v>
      </c>
      <c r="B3581" t="s">
        <v>11</v>
      </c>
      <c r="C3581" t="s">
        <v>696</v>
      </c>
      <c r="D3581" s="2">
        <v>19333056.5</v>
      </c>
      <c r="E3581" s="2">
        <v>19389740.550000001</v>
      </c>
      <c r="F3581" s="2">
        <v>18618239.859999999</v>
      </c>
    </row>
    <row r="3582" spans="1:6" x14ac:dyDescent="0.25">
      <c r="A3582" s="1">
        <v>45017</v>
      </c>
      <c r="B3582" t="s">
        <v>21</v>
      </c>
      <c r="C3582" t="s">
        <v>526</v>
      </c>
      <c r="D3582" s="2">
        <v>11071417.699999999</v>
      </c>
      <c r="E3582">
        <v>0</v>
      </c>
      <c r="F3582">
        <v>802.06</v>
      </c>
    </row>
    <row r="3583" spans="1:6" x14ac:dyDescent="0.25">
      <c r="A3583" s="1">
        <v>45017</v>
      </c>
      <c r="B3583" t="s">
        <v>306</v>
      </c>
      <c r="C3583" t="s">
        <v>814</v>
      </c>
      <c r="D3583" s="2">
        <v>301188.25</v>
      </c>
      <c r="E3583" s="2">
        <v>943514.09</v>
      </c>
      <c r="F3583" s="2">
        <v>951201.81</v>
      </c>
    </row>
    <row r="3584" spans="1:6" x14ac:dyDescent="0.25">
      <c r="A3584" s="1">
        <v>45017</v>
      </c>
      <c r="B3584" t="s">
        <v>23</v>
      </c>
      <c r="C3584" t="s">
        <v>800</v>
      </c>
      <c r="D3584" s="2">
        <v>6316566.9900000002</v>
      </c>
      <c r="E3584" s="2">
        <v>602050.48</v>
      </c>
      <c r="F3584" s="2">
        <v>604193.30000000005</v>
      </c>
    </row>
    <row r="3585" spans="1:6" x14ac:dyDescent="0.25">
      <c r="A3585" s="1">
        <v>45017</v>
      </c>
      <c r="B3585" t="s">
        <v>25</v>
      </c>
      <c r="C3585" t="s">
        <v>703</v>
      </c>
      <c r="D3585" s="2">
        <v>118212.95</v>
      </c>
      <c r="E3585" s="2">
        <v>80982.66</v>
      </c>
      <c r="F3585" s="2">
        <v>80982.66</v>
      </c>
    </row>
    <row r="3586" spans="1:6" x14ac:dyDescent="0.25">
      <c r="A3586" s="1">
        <v>45017</v>
      </c>
      <c r="B3586" t="s">
        <v>23</v>
      </c>
      <c r="C3586" t="s">
        <v>633</v>
      </c>
      <c r="D3586" s="2">
        <v>9415370.8399999999</v>
      </c>
      <c r="E3586" s="2">
        <v>101188.06</v>
      </c>
      <c r="F3586" s="2">
        <v>77260.899999999994</v>
      </c>
    </row>
    <row r="3587" spans="1:6" x14ac:dyDescent="0.25">
      <c r="A3587" s="1">
        <v>45017</v>
      </c>
      <c r="B3587" t="s">
        <v>107</v>
      </c>
      <c r="C3587" t="s">
        <v>506</v>
      </c>
      <c r="D3587">
        <v>0</v>
      </c>
      <c r="E3587">
        <v>0</v>
      </c>
      <c r="F3587">
        <v>0</v>
      </c>
    </row>
    <row r="3588" spans="1:6" x14ac:dyDescent="0.25">
      <c r="A3588" s="1">
        <v>45017</v>
      </c>
      <c r="B3588" t="s">
        <v>648</v>
      </c>
      <c r="C3588" t="s">
        <v>765</v>
      </c>
      <c r="D3588" s="2">
        <v>689168.06</v>
      </c>
      <c r="E3588" s="2">
        <v>272949.03999999998</v>
      </c>
      <c r="F3588" s="2">
        <v>307504.08</v>
      </c>
    </row>
    <row r="3589" spans="1:6" x14ac:dyDescent="0.25">
      <c r="A3589" s="1">
        <v>45017</v>
      </c>
      <c r="B3589" t="s">
        <v>25</v>
      </c>
      <c r="C3589" t="s">
        <v>319</v>
      </c>
      <c r="D3589" s="2">
        <v>348547.96</v>
      </c>
      <c r="E3589" s="2">
        <v>209454.83</v>
      </c>
      <c r="F3589" s="2">
        <v>97692.56</v>
      </c>
    </row>
    <row r="3590" spans="1:6" x14ac:dyDescent="0.25">
      <c r="A3590" s="1">
        <v>45017</v>
      </c>
      <c r="B3590" t="s">
        <v>40</v>
      </c>
      <c r="C3590" t="s">
        <v>772</v>
      </c>
      <c r="D3590" s="2">
        <v>2865057.03</v>
      </c>
      <c r="E3590" s="2">
        <v>182594.04</v>
      </c>
      <c r="F3590" s="2">
        <v>203263.38</v>
      </c>
    </row>
    <row r="3591" spans="1:6" x14ac:dyDescent="0.25">
      <c r="A3591" s="1">
        <v>45017</v>
      </c>
      <c r="B3591" t="s">
        <v>118</v>
      </c>
      <c r="C3591" t="s">
        <v>730</v>
      </c>
      <c r="D3591">
        <v>0</v>
      </c>
      <c r="E3591">
        <v>0</v>
      </c>
      <c r="F3591">
        <v>0</v>
      </c>
    </row>
    <row r="3592" spans="1:6" x14ac:dyDescent="0.25">
      <c r="A3592" s="1">
        <v>45017</v>
      </c>
      <c r="B3592" t="s">
        <v>40</v>
      </c>
      <c r="C3592" t="s">
        <v>311</v>
      </c>
      <c r="D3592">
        <v>0</v>
      </c>
      <c r="E3592" s="2">
        <v>2274520.0299999998</v>
      </c>
      <c r="F3592" s="2">
        <v>2059628.4</v>
      </c>
    </row>
    <row r="3593" spans="1:6" x14ac:dyDescent="0.25">
      <c r="A3593" s="1">
        <v>45017</v>
      </c>
      <c r="B3593" t="s">
        <v>29</v>
      </c>
      <c r="C3593" t="s">
        <v>653</v>
      </c>
      <c r="D3593">
        <v>0</v>
      </c>
      <c r="E3593">
        <v>0</v>
      </c>
      <c r="F3593">
        <v>0</v>
      </c>
    </row>
    <row r="3594" spans="1:6" x14ac:dyDescent="0.25">
      <c r="A3594" s="1">
        <v>45017</v>
      </c>
      <c r="B3594" t="s">
        <v>35</v>
      </c>
      <c r="C3594" t="s">
        <v>293</v>
      </c>
      <c r="D3594" s="2">
        <v>48625883.560000002</v>
      </c>
      <c r="E3594" s="2">
        <v>1067768.71</v>
      </c>
      <c r="F3594" s="2">
        <v>1066156.5</v>
      </c>
    </row>
    <row r="3595" spans="1:6" x14ac:dyDescent="0.25">
      <c r="A3595" s="1">
        <v>45017</v>
      </c>
      <c r="B3595" t="s">
        <v>92</v>
      </c>
      <c r="C3595" t="s">
        <v>1130</v>
      </c>
      <c r="D3595">
        <v>147.52000000000001</v>
      </c>
      <c r="E3595">
        <v>131.55000000000001</v>
      </c>
      <c r="F3595">
        <v>131.55000000000001</v>
      </c>
    </row>
    <row r="3596" spans="1:6" x14ac:dyDescent="0.25">
      <c r="A3596" s="1">
        <v>45017</v>
      </c>
      <c r="B3596" t="s">
        <v>50</v>
      </c>
      <c r="C3596" t="s">
        <v>520</v>
      </c>
      <c r="D3596">
        <v>0</v>
      </c>
      <c r="E3596">
        <v>0</v>
      </c>
      <c r="F3596">
        <v>0</v>
      </c>
    </row>
    <row r="3597" spans="1:6" x14ac:dyDescent="0.25">
      <c r="A3597" s="1">
        <v>45017</v>
      </c>
      <c r="B3597" t="s">
        <v>42</v>
      </c>
      <c r="C3597" t="s">
        <v>1209</v>
      </c>
      <c r="D3597" s="2">
        <v>2365391.54</v>
      </c>
      <c r="E3597" s="2">
        <v>2365391.54</v>
      </c>
      <c r="F3597" s="2">
        <v>2365391.54</v>
      </c>
    </row>
    <row r="3598" spans="1:6" x14ac:dyDescent="0.25">
      <c r="A3598" s="1">
        <v>45017</v>
      </c>
      <c r="B3598" t="s">
        <v>90</v>
      </c>
      <c r="C3598" t="s">
        <v>91</v>
      </c>
      <c r="D3598">
        <v>0</v>
      </c>
      <c r="E3598">
        <v>0</v>
      </c>
      <c r="F3598">
        <v>0</v>
      </c>
    </row>
    <row r="3599" spans="1:6" x14ac:dyDescent="0.25">
      <c r="A3599" s="1">
        <v>45017</v>
      </c>
      <c r="B3599" t="s">
        <v>92</v>
      </c>
      <c r="C3599" t="s">
        <v>903</v>
      </c>
      <c r="D3599" s="2">
        <v>3445248.3</v>
      </c>
      <c r="E3599" s="2">
        <v>3202114.2</v>
      </c>
      <c r="F3599" s="2">
        <v>3226018.67</v>
      </c>
    </row>
    <row r="3600" spans="1:6" x14ac:dyDescent="0.25">
      <c r="A3600" s="1">
        <v>45017</v>
      </c>
      <c r="B3600" t="s">
        <v>9</v>
      </c>
      <c r="C3600" t="s">
        <v>663</v>
      </c>
      <c r="D3600" s="2">
        <v>30451342.91</v>
      </c>
      <c r="E3600" s="2">
        <v>7386115.04</v>
      </c>
      <c r="F3600" s="2">
        <v>6870561.5199999996</v>
      </c>
    </row>
    <row r="3601" spans="1:6" x14ac:dyDescent="0.25">
      <c r="A3601" s="1">
        <v>45017</v>
      </c>
      <c r="B3601" t="s">
        <v>769</v>
      </c>
      <c r="C3601" t="s">
        <v>770</v>
      </c>
      <c r="D3601" s="2">
        <v>312420338.95999998</v>
      </c>
      <c r="E3601" s="2">
        <v>31652788.489999998</v>
      </c>
      <c r="F3601" s="2">
        <v>33293662.859999999</v>
      </c>
    </row>
    <row r="3602" spans="1:6" x14ac:dyDescent="0.25">
      <c r="A3602" s="1">
        <v>45017</v>
      </c>
      <c r="B3602" t="s">
        <v>63</v>
      </c>
      <c r="C3602" t="s">
        <v>714</v>
      </c>
      <c r="D3602" s="2">
        <v>17587748.859999999</v>
      </c>
      <c r="E3602" s="2">
        <v>3436942.62</v>
      </c>
      <c r="F3602" s="2">
        <v>3380163.86</v>
      </c>
    </row>
    <row r="3603" spans="1:6" x14ac:dyDescent="0.25">
      <c r="A3603" s="1">
        <v>45017</v>
      </c>
      <c r="B3603" t="s">
        <v>23</v>
      </c>
      <c r="C3603" t="s">
        <v>1012</v>
      </c>
      <c r="D3603" s="2">
        <v>-8432000</v>
      </c>
      <c r="E3603">
        <v>0</v>
      </c>
      <c r="F3603">
        <v>0</v>
      </c>
    </row>
    <row r="3604" spans="1:6" x14ac:dyDescent="0.25">
      <c r="A3604" s="1">
        <v>45017</v>
      </c>
      <c r="B3604" t="s">
        <v>216</v>
      </c>
      <c r="C3604" t="s">
        <v>756</v>
      </c>
      <c r="D3604">
        <v>0</v>
      </c>
      <c r="E3604">
        <v>0</v>
      </c>
      <c r="F3604">
        <v>0</v>
      </c>
    </row>
    <row r="3605" spans="1:6" x14ac:dyDescent="0.25">
      <c r="A3605" s="1">
        <v>45017</v>
      </c>
      <c r="B3605" t="s">
        <v>23</v>
      </c>
      <c r="C3605" t="s">
        <v>496</v>
      </c>
      <c r="D3605" s="2">
        <v>162251840.56</v>
      </c>
      <c r="E3605" s="2">
        <v>319442.53999999998</v>
      </c>
      <c r="F3605" s="2">
        <v>337880.8</v>
      </c>
    </row>
    <row r="3606" spans="1:6" x14ac:dyDescent="0.25">
      <c r="A3606" s="1">
        <v>45017</v>
      </c>
      <c r="B3606" t="s">
        <v>114</v>
      </c>
      <c r="C3606" t="s">
        <v>628</v>
      </c>
      <c r="D3606" s="2">
        <v>5400292.79</v>
      </c>
      <c r="E3606" s="2">
        <v>943517.02</v>
      </c>
      <c r="F3606" s="2">
        <v>405521.42</v>
      </c>
    </row>
    <row r="3607" spans="1:6" x14ac:dyDescent="0.25">
      <c r="A3607" s="1">
        <v>45017</v>
      </c>
      <c r="B3607" t="s">
        <v>216</v>
      </c>
      <c r="C3607" t="s">
        <v>781</v>
      </c>
      <c r="D3607" s="2">
        <v>2000</v>
      </c>
      <c r="E3607" s="2">
        <v>30443.96</v>
      </c>
      <c r="F3607">
        <v>0</v>
      </c>
    </row>
    <row r="3608" spans="1:6" x14ac:dyDescent="0.25">
      <c r="A3608" s="1">
        <v>45017</v>
      </c>
      <c r="B3608" t="s">
        <v>31</v>
      </c>
      <c r="C3608" t="s">
        <v>925</v>
      </c>
      <c r="D3608" s="2">
        <v>347752.04</v>
      </c>
      <c r="E3608" s="2">
        <v>113628.23</v>
      </c>
      <c r="F3608" s="2">
        <v>108564.48</v>
      </c>
    </row>
    <row r="3609" spans="1:6" x14ac:dyDescent="0.25">
      <c r="A3609" s="1">
        <v>45017</v>
      </c>
      <c r="B3609" t="s">
        <v>132</v>
      </c>
      <c r="C3609" t="s">
        <v>543</v>
      </c>
      <c r="D3609" s="2">
        <v>6286123810.7700005</v>
      </c>
      <c r="E3609" s="2">
        <v>6174778839.6099997</v>
      </c>
      <c r="F3609" s="2">
        <v>6147750797.9300003</v>
      </c>
    </row>
    <row r="3610" spans="1:6" x14ac:dyDescent="0.25">
      <c r="A3610" s="1">
        <v>45017</v>
      </c>
      <c r="B3610" t="s">
        <v>107</v>
      </c>
      <c r="C3610" t="s">
        <v>262</v>
      </c>
      <c r="D3610" s="2">
        <v>11692784.189999999</v>
      </c>
      <c r="E3610" s="2">
        <v>2178694.85</v>
      </c>
      <c r="F3610" s="2">
        <v>924237.25</v>
      </c>
    </row>
    <row r="3611" spans="1:6" x14ac:dyDescent="0.25">
      <c r="A3611" s="1">
        <v>45017</v>
      </c>
      <c r="B3611" t="s">
        <v>278</v>
      </c>
      <c r="C3611" t="s">
        <v>626</v>
      </c>
      <c r="D3611" s="2">
        <v>1458130.2</v>
      </c>
      <c r="E3611" s="2">
        <v>3951322513.4899998</v>
      </c>
      <c r="F3611" s="2">
        <v>3981746645.4899998</v>
      </c>
    </row>
    <row r="3612" spans="1:6" x14ac:dyDescent="0.25">
      <c r="A3612" s="1">
        <v>45017</v>
      </c>
      <c r="B3612" t="s">
        <v>101</v>
      </c>
      <c r="C3612" t="s">
        <v>861</v>
      </c>
      <c r="D3612" s="2">
        <v>33034064.539999999</v>
      </c>
      <c r="E3612" s="2">
        <v>6135970.5700000003</v>
      </c>
      <c r="F3612" s="2">
        <v>4359541.26</v>
      </c>
    </row>
    <row r="3613" spans="1:6" x14ac:dyDescent="0.25">
      <c r="A3613" s="1">
        <v>45017</v>
      </c>
      <c r="B3613" t="s">
        <v>37</v>
      </c>
      <c r="C3613" t="s">
        <v>583</v>
      </c>
      <c r="D3613" s="2">
        <v>-2739</v>
      </c>
      <c r="E3613">
        <v>0</v>
      </c>
      <c r="F3613">
        <v>0</v>
      </c>
    </row>
    <row r="3614" spans="1:6" x14ac:dyDescent="0.25">
      <c r="A3614" s="1">
        <v>45017</v>
      </c>
      <c r="B3614" t="s">
        <v>23</v>
      </c>
      <c r="C3614" t="s">
        <v>203</v>
      </c>
      <c r="D3614">
        <v>0</v>
      </c>
      <c r="E3614">
        <v>0</v>
      </c>
      <c r="F3614">
        <v>0</v>
      </c>
    </row>
    <row r="3615" spans="1:6" x14ac:dyDescent="0.25">
      <c r="A3615" s="1">
        <v>45017</v>
      </c>
      <c r="B3615" t="s">
        <v>27</v>
      </c>
      <c r="C3615" t="s">
        <v>713</v>
      </c>
      <c r="D3615">
        <v>0</v>
      </c>
      <c r="E3615">
        <v>0</v>
      </c>
      <c r="F3615">
        <v>0</v>
      </c>
    </row>
    <row r="3616" spans="1:6" x14ac:dyDescent="0.25">
      <c r="A3616" s="1">
        <v>45017</v>
      </c>
      <c r="B3616" t="s">
        <v>50</v>
      </c>
      <c r="C3616" t="s">
        <v>530</v>
      </c>
      <c r="D3616" s="2">
        <v>263457.51</v>
      </c>
      <c r="E3616" s="2">
        <v>204003.32</v>
      </c>
      <c r="F3616" s="2">
        <v>246274.41</v>
      </c>
    </row>
    <row r="3617" spans="1:6" x14ac:dyDescent="0.25">
      <c r="A3617" s="1">
        <v>45017</v>
      </c>
      <c r="B3617" t="s">
        <v>40</v>
      </c>
      <c r="C3617" t="s">
        <v>729</v>
      </c>
      <c r="D3617" s="2">
        <v>168245685.19999999</v>
      </c>
      <c r="E3617" s="2">
        <v>51138191.090000004</v>
      </c>
      <c r="F3617" s="2">
        <v>57386184.200000003</v>
      </c>
    </row>
    <row r="3618" spans="1:6" x14ac:dyDescent="0.25">
      <c r="A3618" s="1">
        <v>45017</v>
      </c>
      <c r="B3618" t="s">
        <v>48</v>
      </c>
      <c r="C3618" t="s">
        <v>472</v>
      </c>
      <c r="D3618" s="2">
        <v>3798664.94</v>
      </c>
      <c r="E3618" s="2">
        <v>3080292.1</v>
      </c>
      <c r="F3618" s="2">
        <v>3071360.42</v>
      </c>
    </row>
    <row r="3619" spans="1:6" x14ac:dyDescent="0.25">
      <c r="A3619" s="1">
        <v>45017</v>
      </c>
      <c r="B3619" t="s">
        <v>50</v>
      </c>
      <c r="C3619" t="s">
        <v>793</v>
      </c>
      <c r="D3619" s="2">
        <v>13864506.99</v>
      </c>
      <c r="E3619" s="2">
        <v>2815507.54</v>
      </c>
      <c r="F3619" s="2">
        <v>2922286.67</v>
      </c>
    </row>
    <row r="3620" spans="1:6" x14ac:dyDescent="0.25">
      <c r="A3620" s="1">
        <v>45017</v>
      </c>
      <c r="B3620" t="s">
        <v>114</v>
      </c>
      <c r="C3620" t="s">
        <v>1085</v>
      </c>
      <c r="D3620">
        <v>0</v>
      </c>
      <c r="E3620">
        <v>0</v>
      </c>
      <c r="F3620">
        <v>0</v>
      </c>
    </row>
    <row r="3621" spans="1:6" x14ac:dyDescent="0.25">
      <c r="A3621" s="1">
        <v>45017</v>
      </c>
      <c r="B3621" t="s">
        <v>490</v>
      </c>
      <c r="C3621" t="s">
        <v>542</v>
      </c>
      <c r="D3621" s="2">
        <v>3691307</v>
      </c>
      <c r="E3621" s="2">
        <v>1923442.56</v>
      </c>
      <c r="F3621" s="2">
        <v>2124525</v>
      </c>
    </row>
    <row r="3622" spans="1:6" x14ac:dyDescent="0.25">
      <c r="A3622" s="1">
        <v>45017</v>
      </c>
      <c r="B3622" t="s">
        <v>92</v>
      </c>
      <c r="C3622" t="s">
        <v>860</v>
      </c>
      <c r="D3622" s="2">
        <v>10651944.08</v>
      </c>
      <c r="E3622" s="2">
        <v>3819420.5</v>
      </c>
      <c r="F3622" s="2">
        <v>3823340.63</v>
      </c>
    </row>
    <row r="3623" spans="1:6" x14ac:dyDescent="0.25">
      <c r="A3623" s="1">
        <v>45017</v>
      </c>
      <c r="B3623" t="s">
        <v>25</v>
      </c>
      <c r="C3623" t="s">
        <v>724</v>
      </c>
      <c r="D3623" s="2">
        <v>121547.27</v>
      </c>
      <c r="E3623" s="2">
        <v>109043.12</v>
      </c>
      <c r="F3623" s="2">
        <v>72874.149999999994</v>
      </c>
    </row>
    <row r="3624" spans="1:6" x14ac:dyDescent="0.25">
      <c r="A3624" s="1">
        <v>45017</v>
      </c>
      <c r="B3624" t="s">
        <v>101</v>
      </c>
      <c r="C3624" t="s">
        <v>536</v>
      </c>
      <c r="D3624" s="2">
        <v>45002.9</v>
      </c>
      <c r="E3624" s="2">
        <v>308261.26</v>
      </c>
      <c r="F3624" s="2">
        <v>308261.26</v>
      </c>
    </row>
    <row r="3625" spans="1:6" x14ac:dyDescent="0.25">
      <c r="A3625" s="1">
        <v>45017</v>
      </c>
      <c r="B3625" t="s">
        <v>15</v>
      </c>
      <c r="C3625" t="s">
        <v>948</v>
      </c>
      <c r="D3625">
        <v>0</v>
      </c>
      <c r="E3625" s="2">
        <v>4429634.5</v>
      </c>
      <c r="F3625" s="2">
        <v>6273.5</v>
      </c>
    </row>
    <row r="3626" spans="1:6" x14ac:dyDescent="0.25">
      <c r="A3626" s="1">
        <v>45017</v>
      </c>
      <c r="B3626" t="s">
        <v>726</v>
      </c>
      <c r="C3626" t="s">
        <v>871</v>
      </c>
      <c r="D3626" s="2">
        <v>-30492.38</v>
      </c>
      <c r="E3626" s="2">
        <v>254178.81</v>
      </c>
      <c r="F3626" s="2">
        <v>491351.28</v>
      </c>
    </row>
    <row r="3627" spans="1:6" x14ac:dyDescent="0.25">
      <c r="A3627" s="1">
        <v>45017</v>
      </c>
      <c r="B3627" t="s">
        <v>545</v>
      </c>
      <c r="C3627" t="s">
        <v>738</v>
      </c>
      <c r="D3627" s="2">
        <v>3341</v>
      </c>
      <c r="E3627" s="2">
        <v>4173</v>
      </c>
      <c r="F3627" s="2">
        <v>3400</v>
      </c>
    </row>
    <row r="3628" spans="1:6" x14ac:dyDescent="0.25">
      <c r="A3628" s="1">
        <v>45017</v>
      </c>
      <c r="B3628" t="s">
        <v>21</v>
      </c>
      <c r="C3628" t="s">
        <v>173</v>
      </c>
      <c r="D3628">
        <v>0</v>
      </c>
      <c r="E3628" s="2">
        <v>162556.17000000001</v>
      </c>
      <c r="F3628" s="2">
        <v>163109.44</v>
      </c>
    </row>
    <row r="3629" spans="1:6" x14ac:dyDescent="0.25">
      <c r="A3629" s="1">
        <v>45017</v>
      </c>
      <c r="B3629" t="s">
        <v>23</v>
      </c>
      <c r="C3629" t="s">
        <v>637</v>
      </c>
      <c r="D3629" s="2">
        <v>8318278.0700000003</v>
      </c>
      <c r="E3629" s="2">
        <v>829338.45</v>
      </c>
      <c r="F3629" s="2">
        <v>367814.86</v>
      </c>
    </row>
    <row r="3630" spans="1:6" x14ac:dyDescent="0.25">
      <c r="A3630" s="1">
        <v>45017</v>
      </c>
      <c r="B3630" t="s">
        <v>23</v>
      </c>
      <c r="C3630" t="s">
        <v>759</v>
      </c>
      <c r="D3630" s="2">
        <v>3482477.36</v>
      </c>
      <c r="E3630" s="2">
        <v>115167.32</v>
      </c>
      <c r="F3630" s="2">
        <v>131074.26</v>
      </c>
    </row>
    <row r="3631" spans="1:6" x14ac:dyDescent="0.25">
      <c r="A3631" s="1">
        <v>45017</v>
      </c>
      <c r="B3631" t="s">
        <v>154</v>
      </c>
      <c r="C3631" t="s">
        <v>155</v>
      </c>
      <c r="D3631" s="2">
        <v>92789.99</v>
      </c>
      <c r="E3631" s="2">
        <v>74025.25</v>
      </c>
      <c r="F3631" s="2">
        <v>74025.25</v>
      </c>
    </row>
    <row r="3632" spans="1:6" x14ac:dyDescent="0.25">
      <c r="A3632" s="1">
        <v>45017</v>
      </c>
      <c r="B3632" t="s">
        <v>682</v>
      </c>
      <c r="C3632" t="s">
        <v>683</v>
      </c>
      <c r="D3632" s="2">
        <v>313446.89</v>
      </c>
      <c r="E3632" s="2">
        <v>533363.98</v>
      </c>
      <c r="F3632" s="2">
        <v>533116.03</v>
      </c>
    </row>
    <row r="3633" spans="1:6" x14ac:dyDescent="0.25">
      <c r="A3633" s="1">
        <v>45017</v>
      </c>
      <c r="B3633" t="s">
        <v>118</v>
      </c>
      <c r="C3633" t="s">
        <v>508</v>
      </c>
      <c r="D3633">
        <v>0</v>
      </c>
      <c r="E3633">
        <v>0</v>
      </c>
      <c r="F3633">
        <v>0</v>
      </c>
    </row>
    <row r="3634" spans="1:6" x14ac:dyDescent="0.25">
      <c r="A3634" s="1">
        <v>45017</v>
      </c>
      <c r="B3634" t="s">
        <v>40</v>
      </c>
      <c r="C3634" t="s">
        <v>923</v>
      </c>
      <c r="D3634" s="2">
        <v>4808072.72</v>
      </c>
      <c r="E3634" s="2">
        <v>1454605.52</v>
      </c>
      <c r="F3634" s="2">
        <v>1206092.18</v>
      </c>
    </row>
    <row r="3635" spans="1:6" x14ac:dyDescent="0.25">
      <c r="A3635" s="1">
        <v>45017</v>
      </c>
      <c r="B3635" t="s">
        <v>92</v>
      </c>
      <c r="C3635" t="s">
        <v>819</v>
      </c>
      <c r="D3635" s="2">
        <v>865459.54</v>
      </c>
      <c r="E3635" s="2">
        <v>570800.46</v>
      </c>
      <c r="F3635" s="2">
        <v>570800.46</v>
      </c>
    </row>
    <row r="3636" spans="1:6" x14ac:dyDescent="0.25">
      <c r="A3636" s="1">
        <v>45017</v>
      </c>
      <c r="B3636" t="s">
        <v>42</v>
      </c>
      <c r="C3636" t="s">
        <v>894</v>
      </c>
      <c r="D3636" s="2">
        <v>6662848.6900000004</v>
      </c>
      <c r="E3636" s="2">
        <v>76183564.420000002</v>
      </c>
      <c r="F3636" s="2">
        <v>76356908.049999997</v>
      </c>
    </row>
    <row r="3637" spans="1:6" x14ac:dyDescent="0.25">
      <c r="A3637" s="1">
        <v>45017</v>
      </c>
      <c r="B3637" t="s">
        <v>816</v>
      </c>
      <c r="C3637" t="s">
        <v>870</v>
      </c>
      <c r="D3637" s="2">
        <v>5927408.6200000001</v>
      </c>
      <c r="E3637" s="2">
        <v>2922876.36</v>
      </c>
      <c r="F3637" s="2">
        <v>2964679.21</v>
      </c>
    </row>
    <row r="3638" spans="1:6" x14ac:dyDescent="0.25">
      <c r="A3638" s="1">
        <v>45017</v>
      </c>
      <c r="B3638" t="s">
        <v>23</v>
      </c>
      <c r="C3638" t="s">
        <v>867</v>
      </c>
      <c r="D3638" s="2">
        <v>12383271.279999999</v>
      </c>
      <c r="E3638" s="2">
        <v>841759.91</v>
      </c>
      <c r="F3638" s="2">
        <v>881203.77</v>
      </c>
    </row>
    <row r="3639" spans="1:6" x14ac:dyDescent="0.25">
      <c r="A3639" s="1">
        <v>45017</v>
      </c>
      <c r="B3639" t="s">
        <v>79</v>
      </c>
      <c r="C3639" t="s">
        <v>1210</v>
      </c>
      <c r="D3639">
        <v>0</v>
      </c>
      <c r="E3639">
        <v>0</v>
      </c>
      <c r="F3639">
        <v>0</v>
      </c>
    </row>
    <row r="3640" spans="1:6" x14ac:dyDescent="0.25">
      <c r="A3640" s="1">
        <v>45017</v>
      </c>
      <c r="B3640" t="s">
        <v>40</v>
      </c>
      <c r="C3640" t="s">
        <v>718</v>
      </c>
      <c r="D3640" s="2">
        <v>11267521.699999999</v>
      </c>
      <c r="E3640" s="2">
        <v>2770448.81</v>
      </c>
      <c r="F3640" s="2">
        <v>832885.81</v>
      </c>
    </row>
    <row r="3641" spans="1:6" x14ac:dyDescent="0.25">
      <c r="A3641" s="1">
        <v>45017</v>
      </c>
      <c r="B3641" t="s">
        <v>107</v>
      </c>
      <c r="C3641" t="s">
        <v>501</v>
      </c>
      <c r="D3641" s="2">
        <v>2397422821.1399999</v>
      </c>
      <c r="E3641" s="2">
        <v>473798881.18000001</v>
      </c>
      <c r="F3641" s="2">
        <v>247309990.06999999</v>
      </c>
    </row>
    <row r="3642" spans="1:6" x14ac:dyDescent="0.25">
      <c r="A3642" s="1">
        <v>45017</v>
      </c>
      <c r="B3642" t="s">
        <v>107</v>
      </c>
      <c r="C3642" t="s">
        <v>197</v>
      </c>
      <c r="D3642" s="2">
        <v>18363144.690000001</v>
      </c>
      <c r="E3642" s="2">
        <v>29164817.829999998</v>
      </c>
      <c r="F3642" s="2">
        <v>23564827.760000002</v>
      </c>
    </row>
    <row r="3643" spans="1:6" x14ac:dyDescent="0.25">
      <c r="A3643" s="1">
        <v>45017</v>
      </c>
      <c r="B3643" t="s">
        <v>773</v>
      </c>
      <c r="C3643" t="s">
        <v>774</v>
      </c>
      <c r="D3643" s="2">
        <v>79585184.680000007</v>
      </c>
      <c r="E3643" s="2">
        <v>79436688.180000007</v>
      </c>
      <c r="F3643" s="2">
        <v>79409044.879999995</v>
      </c>
    </row>
    <row r="3644" spans="1:6" x14ac:dyDescent="0.25">
      <c r="A3644" s="1">
        <v>45017</v>
      </c>
      <c r="B3644" t="s">
        <v>65</v>
      </c>
      <c r="C3644" t="s">
        <v>201</v>
      </c>
      <c r="D3644" s="2">
        <v>121113.38</v>
      </c>
      <c r="E3644" s="2">
        <v>336409.64</v>
      </c>
      <c r="F3644" s="2">
        <v>327763.56</v>
      </c>
    </row>
    <row r="3645" spans="1:6" x14ac:dyDescent="0.25">
      <c r="A3645" s="1">
        <v>45017</v>
      </c>
      <c r="B3645" t="s">
        <v>619</v>
      </c>
      <c r="C3645" t="s">
        <v>823</v>
      </c>
      <c r="D3645" s="2">
        <v>1452560.17</v>
      </c>
      <c r="E3645" s="2">
        <v>354175.85</v>
      </c>
      <c r="F3645" s="2">
        <v>340249.82</v>
      </c>
    </row>
    <row r="3646" spans="1:6" x14ac:dyDescent="0.25">
      <c r="A3646" s="1">
        <v>45017</v>
      </c>
      <c r="B3646" t="s">
        <v>107</v>
      </c>
      <c r="C3646" t="s">
        <v>890</v>
      </c>
      <c r="D3646" s="2">
        <v>161214536.28</v>
      </c>
      <c r="E3646" s="2">
        <v>49697926.390000001</v>
      </c>
      <c r="F3646" s="2">
        <v>29151611.609999999</v>
      </c>
    </row>
    <row r="3647" spans="1:6" x14ac:dyDescent="0.25">
      <c r="A3647" s="1">
        <v>45017</v>
      </c>
      <c r="B3647" t="s">
        <v>42</v>
      </c>
      <c r="C3647" t="s">
        <v>670</v>
      </c>
      <c r="D3647">
        <v>0</v>
      </c>
      <c r="E3647" s="2">
        <v>692947.41</v>
      </c>
      <c r="F3647" s="2">
        <v>292796.98</v>
      </c>
    </row>
    <row r="3648" spans="1:6" x14ac:dyDescent="0.25">
      <c r="A3648" s="1">
        <v>45017</v>
      </c>
      <c r="B3648" t="s">
        <v>196</v>
      </c>
      <c r="C3648" t="s">
        <v>890</v>
      </c>
      <c r="D3648">
        <v>0</v>
      </c>
      <c r="E3648">
        <v>0</v>
      </c>
      <c r="F3648">
        <v>0</v>
      </c>
    </row>
    <row r="3649" spans="1:6" x14ac:dyDescent="0.25">
      <c r="A3649" s="1">
        <v>45017</v>
      </c>
      <c r="B3649" t="s">
        <v>50</v>
      </c>
      <c r="C3649" t="s">
        <v>323</v>
      </c>
      <c r="D3649" s="2">
        <v>20000</v>
      </c>
      <c r="E3649" s="2">
        <v>3782.6</v>
      </c>
      <c r="F3649" s="2">
        <v>2110.3000000000002</v>
      </c>
    </row>
    <row r="3650" spans="1:6" x14ac:dyDescent="0.25">
      <c r="A3650" s="1">
        <v>45017</v>
      </c>
      <c r="B3650" t="s">
        <v>398</v>
      </c>
      <c r="C3650" t="s">
        <v>498</v>
      </c>
      <c r="D3650" s="2">
        <v>746440.23</v>
      </c>
      <c r="E3650" s="2">
        <v>236573.83</v>
      </c>
      <c r="F3650" s="2">
        <v>236573.83</v>
      </c>
    </row>
    <row r="3651" spans="1:6" x14ac:dyDescent="0.25">
      <c r="A3651" s="1">
        <v>45017</v>
      </c>
      <c r="B3651" t="s">
        <v>35</v>
      </c>
      <c r="C3651" t="s">
        <v>632</v>
      </c>
      <c r="D3651" s="2">
        <v>417956.23</v>
      </c>
      <c r="E3651" s="2">
        <v>281203.78999999998</v>
      </c>
      <c r="F3651" s="2">
        <v>226496.89</v>
      </c>
    </row>
    <row r="3652" spans="1:6" x14ac:dyDescent="0.25">
      <c r="A3652" s="1">
        <v>45017</v>
      </c>
      <c r="B3652" t="s">
        <v>23</v>
      </c>
      <c r="C3652" t="s">
        <v>905</v>
      </c>
      <c r="D3652" s="2">
        <v>918163.44</v>
      </c>
      <c r="E3652" s="2">
        <v>356448.14</v>
      </c>
      <c r="F3652" s="2">
        <v>323538.21999999997</v>
      </c>
    </row>
    <row r="3653" spans="1:6" x14ac:dyDescent="0.25">
      <c r="A3653" s="1">
        <v>45017</v>
      </c>
      <c r="B3653" t="s">
        <v>23</v>
      </c>
      <c r="C3653" t="s">
        <v>575</v>
      </c>
      <c r="D3653" s="2">
        <v>61565927.890000001</v>
      </c>
      <c r="E3653" s="2">
        <v>20271443.02</v>
      </c>
      <c r="F3653" s="2">
        <v>21146673.109999999</v>
      </c>
    </row>
    <row r="3654" spans="1:6" x14ac:dyDescent="0.25">
      <c r="A3654" s="1">
        <v>45017</v>
      </c>
      <c r="B3654" t="s">
        <v>37</v>
      </c>
      <c r="C3654" t="s">
        <v>721</v>
      </c>
      <c r="D3654" s="2">
        <v>55140.02</v>
      </c>
      <c r="E3654">
        <v>266.44</v>
      </c>
      <c r="F3654">
        <v>266.44</v>
      </c>
    </row>
    <row r="3655" spans="1:6" x14ac:dyDescent="0.25">
      <c r="A3655" s="1">
        <v>45017</v>
      </c>
      <c r="B3655" t="s">
        <v>344</v>
      </c>
      <c r="C3655" t="s">
        <v>1211</v>
      </c>
      <c r="D3655">
        <v>0</v>
      </c>
      <c r="E3655">
        <v>0</v>
      </c>
      <c r="F3655">
        <v>0</v>
      </c>
    </row>
    <row r="3656" spans="1:6" x14ac:dyDescent="0.25">
      <c r="A3656" s="1">
        <v>45017</v>
      </c>
      <c r="B3656" t="s">
        <v>40</v>
      </c>
      <c r="C3656" t="s">
        <v>766</v>
      </c>
      <c r="D3656" s="2">
        <v>8181729.0700000003</v>
      </c>
      <c r="E3656" s="2">
        <v>551193.28</v>
      </c>
      <c r="F3656" s="2">
        <v>548806.73</v>
      </c>
    </row>
    <row r="3657" spans="1:6" x14ac:dyDescent="0.25">
      <c r="A3657" s="1">
        <v>45017</v>
      </c>
      <c r="B3657" t="s">
        <v>48</v>
      </c>
      <c r="C3657" t="s">
        <v>818</v>
      </c>
      <c r="D3657" s="2">
        <v>1797243.9</v>
      </c>
      <c r="E3657" s="2">
        <v>1735901.61</v>
      </c>
      <c r="F3657" s="2">
        <v>1912140.62</v>
      </c>
    </row>
    <row r="3658" spans="1:6" x14ac:dyDescent="0.25">
      <c r="A3658" s="1">
        <v>45017</v>
      </c>
      <c r="B3658" t="s">
        <v>23</v>
      </c>
      <c r="C3658" t="s">
        <v>869</v>
      </c>
      <c r="D3658" s="2">
        <v>1062020.79</v>
      </c>
      <c r="E3658" s="2">
        <v>178982.35</v>
      </c>
      <c r="F3658" s="2">
        <v>176242.67</v>
      </c>
    </row>
    <row r="3659" spans="1:6" x14ac:dyDescent="0.25">
      <c r="A3659" s="1">
        <v>45017</v>
      </c>
      <c r="B3659" t="s">
        <v>816</v>
      </c>
      <c r="C3659" t="s">
        <v>817</v>
      </c>
      <c r="D3659" s="2">
        <v>371846176.00999999</v>
      </c>
      <c r="E3659" s="2">
        <v>85260994.599999994</v>
      </c>
      <c r="F3659" s="2">
        <v>83238926.200000003</v>
      </c>
    </row>
    <row r="3660" spans="1:6" x14ac:dyDescent="0.25">
      <c r="A3660" s="1">
        <v>45017</v>
      </c>
      <c r="B3660" t="s">
        <v>143</v>
      </c>
      <c r="C3660" t="s">
        <v>517</v>
      </c>
      <c r="D3660" s="2">
        <v>8199000</v>
      </c>
      <c r="E3660" s="2">
        <v>12417000</v>
      </c>
      <c r="F3660" s="2">
        <v>12417000</v>
      </c>
    </row>
    <row r="3661" spans="1:6" x14ac:dyDescent="0.25">
      <c r="A3661" s="1">
        <v>45017</v>
      </c>
      <c r="B3661" t="s">
        <v>92</v>
      </c>
      <c r="C3661" t="s">
        <v>488</v>
      </c>
      <c r="D3661" s="2">
        <v>301932.98</v>
      </c>
      <c r="E3661" s="2">
        <v>82532.479999999996</v>
      </c>
      <c r="F3661" s="2">
        <v>82532.479999999996</v>
      </c>
    </row>
    <row r="3662" spans="1:6" x14ac:dyDescent="0.25">
      <c r="A3662" s="1">
        <v>45017</v>
      </c>
      <c r="B3662" t="s">
        <v>90</v>
      </c>
      <c r="C3662" t="s">
        <v>428</v>
      </c>
      <c r="D3662" s="2">
        <v>31621083.129999999</v>
      </c>
      <c r="E3662" s="2">
        <v>30873383.129999999</v>
      </c>
      <c r="F3662" s="2">
        <v>30770008.129999999</v>
      </c>
    </row>
    <row r="3663" spans="1:6" x14ac:dyDescent="0.25">
      <c r="A3663" s="1">
        <v>45017</v>
      </c>
      <c r="B3663" t="s">
        <v>23</v>
      </c>
      <c r="C3663" t="s">
        <v>845</v>
      </c>
      <c r="D3663" s="2">
        <v>456003.4</v>
      </c>
      <c r="E3663" s="2">
        <v>519244.75</v>
      </c>
      <c r="F3663" s="2">
        <v>543488.84</v>
      </c>
    </row>
    <row r="3664" spans="1:6" x14ac:dyDescent="0.25">
      <c r="A3664" s="1">
        <v>45017</v>
      </c>
      <c r="B3664" t="s">
        <v>143</v>
      </c>
      <c r="C3664" t="s">
        <v>144</v>
      </c>
      <c r="D3664" s="2">
        <v>2105000</v>
      </c>
      <c r="E3664" s="2">
        <v>2105000</v>
      </c>
      <c r="F3664" s="2">
        <v>2105000</v>
      </c>
    </row>
    <row r="3665" spans="1:6" x14ac:dyDescent="0.25">
      <c r="A3665" s="1">
        <v>45017</v>
      </c>
      <c r="B3665" t="s">
        <v>107</v>
      </c>
      <c r="C3665" t="s">
        <v>921</v>
      </c>
      <c r="D3665" s="2">
        <v>72388502.989999995</v>
      </c>
      <c r="E3665" s="2">
        <v>73220316.689999998</v>
      </c>
      <c r="F3665" s="2">
        <v>66327875.670000002</v>
      </c>
    </row>
    <row r="3666" spans="1:6" x14ac:dyDescent="0.25">
      <c r="A3666" s="1">
        <v>45017</v>
      </c>
      <c r="B3666" t="s">
        <v>114</v>
      </c>
      <c r="C3666" t="s">
        <v>829</v>
      </c>
      <c r="D3666" s="2">
        <v>24859435.210000001</v>
      </c>
      <c r="E3666" s="2">
        <v>19235552.539999999</v>
      </c>
      <c r="F3666" s="2">
        <v>11756406.939999999</v>
      </c>
    </row>
    <row r="3667" spans="1:6" x14ac:dyDescent="0.25">
      <c r="A3667" s="1">
        <v>45017</v>
      </c>
      <c r="B3667" t="s">
        <v>40</v>
      </c>
      <c r="C3667" t="s">
        <v>1123</v>
      </c>
      <c r="D3667" s="2">
        <v>1617524.61</v>
      </c>
      <c r="E3667">
        <v>0</v>
      </c>
      <c r="F3667">
        <v>0</v>
      </c>
    </row>
    <row r="3668" spans="1:6" x14ac:dyDescent="0.25">
      <c r="A3668" s="1">
        <v>45017</v>
      </c>
      <c r="B3668" t="s">
        <v>23</v>
      </c>
      <c r="C3668" t="s">
        <v>901</v>
      </c>
      <c r="D3668" s="2">
        <v>10310272.390000001</v>
      </c>
      <c r="E3668" s="2">
        <v>2747555.44</v>
      </c>
      <c r="F3668" s="2">
        <v>2349794.5099999998</v>
      </c>
    </row>
    <row r="3669" spans="1:6" x14ac:dyDescent="0.25">
      <c r="A3669" s="1">
        <v>45017</v>
      </c>
      <c r="B3669" t="s">
        <v>40</v>
      </c>
      <c r="C3669" t="s">
        <v>919</v>
      </c>
      <c r="D3669" s="2">
        <v>1309354193.45</v>
      </c>
      <c r="E3669" s="2">
        <v>5681804578.79</v>
      </c>
      <c r="F3669" s="2">
        <v>5619569525.29</v>
      </c>
    </row>
    <row r="3670" spans="1:6" x14ac:dyDescent="0.25">
      <c r="A3670" s="1">
        <v>45017</v>
      </c>
      <c r="B3670" t="s">
        <v>44</v>
      </c>
      <c r="C3670" t="s">
        <v>684</v>
      </c>
      <c r="D3670" s="2">
        <v>157568.26</v>
      </c>
      <c r="E3670" s="2">
        <v>418374.52</v>
      </c>
      <c r="F3670" s="2">
        <v>461550.08000000002</v>
      </c>
    </row>
    <row r="3671" spans="1:6" x14ac:dyDescent="0.25">
      <c r="A3671" s="1">
        <v>45017</v>
      </c>
      <c r="B3671" t="s">
        <v>114</v>
      </c>
      <c r="C3671" t="s">
        <v>913</v>
      </c>
      <c r="D3671" s="2">
        <v>103867264.73999999</v>
      </c>
      <c r="E3671" s="2">
        <v>18582979.059999999</v>
      </c>
      <c r="F3671" s="2">
        <v>15578393.699999999</v>
      </c>
    </row>
    <row r="3672" spans="1:6" x14ac:dyDescent="0.25">
      <c r="A3672" s="1">
        <v>45017</v>
      </c>
      <c r="B3672" t="s">
        <v>50</v>
      </c>
      <c r="C3672" t="s">
        <v>574</v>
      </c>
      <c r="D3672" s="2">
        <v>14851958.65</v>
      </c>
      <c r="E3672" s="2">
        <v>2463731.6800000002</v>
      </c>
      <c r="F3672" s="2">
        <v>2399894.13</v>
      </c>
    </row>
    <row r="3673" spans="1:6" x14ac:dyDescent="0.25">
      <c r="A3673" s="1">
        <v>45017</v>
      </c>
      <c r="B3673" t="s">
        <v>40</v>
      </c>
      <c r="C3673" t="s">
        <v>487</v>
      </c>
      <c r="D3673" s="2">
        <v>602378832.72000003</v>
      </c>
      <c r="E3673" s="2">
        <v>2486297886.1199999</v>
      </c>
      <c r="F3673" s="2">
        <v>2635300491.4899998</v>
      </c>
    </row>
    <row r="3674" spans="1:6" x14ac:dyDescent="0.25">
      <c r="A3674" s="1">
        <v>45017</v>
      </c>
      <c r="B3674" t="s">
        <v>422</v>
      </c>
      <c r="C3674" t="s">
        <v>671</v>
      </c>
      <c r="D3674" s="2">
        <v>18125602.050000001</v>
      </c>
      <c r="E3674" s="2">
        <v>3094343.76</v>
      </c>
      <c r="F3674" s="2">
        <v>3092343.76</v>
      </c>
    </row>
    <row r="3675" spans="1:6" x14ac:dyDescent="0.25">
      <c r="A3675" s="1">
        <v>45017</v>
      </c>
      <c r="B3675" t="s">
        <v>23</v>
      </c>
      <c r="C3675" t="s">
        <v>761</v>
      </c>
      <c r="D3675" s="2">
        <v>256554842.66</v>
      </c>
      <c r="E3675" s="2">
        <v>28913913.640000001</v>
      </c>
      <c r="F3675" s="2">
        <v>25829425.02</v>
      </c>
    </row>
    <row r="3676" spans="1:6" x14ac:dyDescent="0.25">
      <c r="A3676" s="1">
        <v>45017</v>
      </c>
      <c r="B3676" t="s">
        <v>196</v>
      </c>
      <c r="C3676" t="s">
        <v>999</v>
      </c>
      <c r="D3676">
        <v>0</v>
      </c>
      <c r="E3676">
        <v>0</v>
      </c>
      <c r="F3676">
        <v>0</v>
      </c>
    </row>
    <row r="3677" spans="1:6" x14ac:dyDescent="0.25">
      <c r="A3677" s="1">
        <v>45017</v>
      </c>
      <c r="B3677" t="s">
        <v>398</v>
      </c>
      <c r="C3677" t="s">
        <v>1046</v>
      </c>
      <c r="D3677" s="2">
        <v>14318751.800000001</v>
      </c>
      <c r="E3677" s="2">
        <v>11300.17</v>
      </c>
      <c r="F3677" s="2">
        <v>11300.17</v>
      </c>
    </row>
    <row r="3678" spans="1:6" x14ac:dyDescent="0.25">
      <c r="A3678" s="1">
        <v>45017</v>
      </c>
      <c r="B3678" t="s">
        <v>216</v>
      </c>
      <c r="C3678" t="s">
        <v>638</v>
      </c>
      <c r="D3678" s="2">
        <v>300000</v>
      </c>
      <c r="E3678">
        <v>0</v>
      </c>
      <c r="F3678">
        <v>0</v>
      </c>
    </row>
    <row r="3679" spans="1:6" x14ac:dyDescent="0.25">
      <c r="A3679" s="1">
        <v>45017</v>
      </c>
      <c r="B3679" t="s">
        <v>25</v>
      </c>
      <c r="C3679" t="s">
        <v>865</v>
      </c>
      <c r="D3679" s="2">
        <v>551720.43999999994</v>
      </c>
      <c r="E3679" s="2">
        <v>509796.53</v>
      </c>
      <c r="F3679" s="2">
        <v>459644.71</v>
      </c>
    </row>
    <row r="3680" spans="1:6" x14ac:dyDescent="0.25">
      <c r="A3680" s="1">
        <v>45017</v>
      </c>
      <c r="B3680" t="s">
        <v>50</v>
      </c>
      <c r="C3680" t="s">
        <v>1014</v>
      </c>
      <c r="D3680">
        <v>0</v>
      </c>
      <c r="E3680">
        <v>0</v>
      </c>
      <c r="F3680">
        <v>0</v>
      </c>
    </row>
    <row r="3681" spans="1:6" x14ac:dyDescent="0.25">
      <c r="A3681" s="1">
        <v>45017</v>
      </c>
      <c r="B3681" t="s">
        <v>31</v>
      </c>
      <c r="C3681" t="s">
        <v>833</v>
      </c>
      <c r="D3681" s="2">
        <v>-5000</v>
      </c>
      <c r="E3681">
        <v>0</v>
      </c>
      <c r="F3681" s="2">
        <v>11374.91</v>
      </c>
    </row>
    <row r="3682" spans="1:6" x14ac:dyDescent="0.25">
      <c r="A3682" s="1">
        <v>45017</v>
      </c>
      <c r="B3682" t="s">
        <v>23</v>
      </c>
      <c r="C3682" t="s">
        <v>1020</v>
      </c>
      <c r="D3682" s="2">
        <v>2065233.9</v>
      </c>
      <c r="E3682" s="2">
        <v>206483.74</v>
      </c>
      <c r="F3682" s="2">
        <v>24490.99</v>
      </c>
    </row>
    <row r="3683" spans="1:6" x14ac:dyDescent="0.25">
      <c r="A3683" s="1">
        <v>45017</v>
      </c>
      <c r="B3683" t="s">
        <v>288</v>
      </c>
      <c r="C3683" t="s">
        <v>390</v>
      </c>
      <c r="D3683" s="2">
        <v>16162</v>
      </c>
      <c r="E3683" s="2">
        <v>16173.18</v>
      </c>
      <c r="F3683" s="2">
        <v>123998.81</v>
      </c>
    </row>
    <row r="3684" spans="1:6" x14ac:dyDescent="0.25">
      <c r="A3684" s="1">
        <v>45017</v>
      </c>
      <c r="B3684" t="s">
        <v>37</v>
      </c>
      <c r="C3684" t="s">
        <v>884</v>
      </c>
      <c r="D3684" s="2">
        <v>428159.95</v>
      </c>
      <c r="E3684" s="2">
        <v>339222.89</v>
      </c>
      <c r="F3684" s="2">
        <v>373466.65</v>
      </c>
    </row>
    <row r="3685" spans="1:6" x14ac:dyDescent="0.25">
      <c r="A3685" s="1">
        <v>45017</v>
      </c>
      <c r="B3685" t="s">
        <v>206</v>
      </c>
      <c r="C3685" t="s">
        <v>878</v>
      </c>
      <c r="D3685" s="2">
        <v>11922503.51</v>
      </c>
      <c r="E3685" s="2">
        <v>3774427.95</v>
      </c>
      <c r="F3685" s="2">
        <v>3842404.73</v>
      </c>
    </row>
    <row r="3686" spans="1:6" x14ac:dyDescent="0.25">
      <c r="A3686" s="1">
        <v>45017</v>
      </c>
      <c r="B3686" t="s">
        <v>40</v>
      </c>
      <c r="C3686" t="s">
        <v>805</v>
      </c>
      <c r="D3686" s="2">
        <v>1162094425.72</v>
      </c>
      <c r="E3686" s="2">
        <v>95298255.709999993</v>
      </c>
      <c r="F3686" s="2">
        <v>95298255.709999993</v>
      </c>
    </row>
    <row r="3687" spans="1:6" x14ac:dyDescent="0.25">
      <c r="A3687" s="1">
        <v>45017</v>
      </c>
      <c r="B3687" t="s">
        <v>23</v>
      </c>
      <c r="C3687" t="s">
        <v>610</v>
      </c>
      <c r="D3687" s="2">
        <v>210035092.03</v>
      </c>
      <c r="E3687" s="2">
        <v>27598837.649999999</v>
      </c>
      <c r="F3687" s="2">
        <v>1998502.15</v>
      </c>
    </row>
    <row r="3688" spans="1:6" x14ac:dyDescent="0.25">
      <c r="A3688" s="1">
        <v>45017</v>
      </c>
      <c r="B3688" t="s">
        <v>40</v>
      </c>
      <c r="C3688" t="s">
        <v>599</v>
      </c>
      <c r="D3688" s="2">
        <v>185126372.81999999</v>
      </c>
      <c r="E3688" s="2">
        <v>80103485.040000007</v>
      </c>
      <c r="F3688" s="2">
        <v>82233005.430000007</v>
      </c>
    </row>
    <row r="3689" spans="1:6" x14ac:dyDescent="0.25">
      <c r="A3689" s="1">
        <v>45017</v>
      </c>
      <c r="B3689" t="s">
        <v>726</v>
      </c>
      <c r="C3689" t="s">
        <v>727</v>
      </c>
      <c r="D3689" s="2">
        <v>3425739.61</v>
      </c>
      <c r="E3689" s="2">
        <v>706484.76</v>
      </c>
      <c r="F3689" s="2">
        <v>864039.16</v>
      </c>
    </row>
    <row r="3690" spans="1:6" x14ac:dyDescent="0.25">
      <c r="A3690" s="1">
        <v>45017</v>
      </c>
      <c r="B3690" t="s">
        <v>37</v>
      </c>
      <c r="C3690" t="s">
        <v>851</v>
      </c>
      <c r="D3690" s="2">
        <v>11506476.01</v>
      </c>
      <c r="E3690" s="2">
        <v>9026202.3000000007</v>
      </c>
      <c r="F3690" s="2">
        <v>8743104.3399999999</v>
      </c>
    </row>
    <row r="3691" spans="1:6" x14ac:dyDescent="0.25">
      <c r="A3691" s="1">
        <v>45017</v>
      </c>
      <c r="B3691" t="s">
        <v>23</v>
      </c>
      <c r="C3691" t="s">
        <v>482</v>
      </c>
      <c r="D3691" s="2">
        <v>3167.23</v>
      </c>
      <c r="E3691" s="2">
        <v>215588.77</v>
      </c>
      <c r="F3691" s="2">
        <v>219485.98</v>
      </c>
    </row>
    <row r="3692" spans="1:6" x14ac:dyDescent="0.25">
      <c r="A3692" s="1">
        <v>45017</v>
      </c>
      <c r="B3692" t="s">
        <v>40</v>
      </c>
      <c r="C3692" t="s">
        <v>825</v>
      </c>
      <c r="D3692" s="2">
        <v>40383360.369999997</v>
      </c>
      <c r="E3692" s="2">
        <v>24477853.199999999</v>
      </c>
      <c r="F3692" s="2">
        <v>13225475.619999999</v>
      </c>
    </row>
    <row r="3693" spans="1:6" x14ac:dyDescent="0.25">
      <c r="A3693" s="1">
        <v>45017</v>
      </c>
      <c r="B3693" t="s">
        <v>92</v>
      </c>
      <c r="C3693" t="s">
        <v>701</v>
      </c>
      <c r="D3693" s="2">
        <v>27120893.120000001</v>
      </c>
      <c r="E3693" s="2">
        <v>6247162.2599999998</v>
      </c>
      <c r="F3693" s="2">
        <v>6434174.0700000003</v>
      </c>
    </row>
    <row r="3694" spans="1:6" x14ac:dyDescent="0.25">
      <c r="A3694" s="1">
        <v>45017</v>
      </c>
      <c r="B3694" t="s">
        <v>21</v>
      </c>
      <c r="C3694" t="s">
        <v>775</v>
      </c>
      <c r="D3694" s="2">
        <v>2997810</v>
      </c>
      <c r="E3694">
        <v>0</v>
      </c>
      <c r="F3694">
        <v>0</v>
      </c>
    </row>
    <row r="3695" spans="1:6" x14ac:dyDescent="0.25">
      <c r="A3695" s="1">
        <v>45017</v>
      </c>
      <c r="B3695" t="s">
        <v>40</v>
      </c>
      <c r="C3695" t="s">
        <v>907</v>
      </c>
      <c r="D3695" s="2">
        <v>442485.69</v>
      </c>
      <c r="E3695" s="2">
        <v>237168.92</v>
      </c>
      <c r="F3695" s="2">
        <v>234029.58</v>
      </c>
    </row>
    <row r="3696" spans="1:6" x14ac:dyDescent="0.25">
      <c r="A3696" s="1">
        <v>45017</v>
      </c>
      <c r="B3696" t="s">
        <v>518</v>
      </c>
      <c r="C3696" t="s">
        <v>519</v>
      </c>
      <c r="D3696" s="2">
        <v>640391.5</v>
      </c>
      <c r="E3696" s="2">
        <v>643017.73</v>
      </c>
      <c r="F3696" s="2">
        <v>36730.97</v>
      </c>
    </row>
    <row r="3697" spans="1:6" x14ac:dyDescent="0.25">
      <c r="A3697" s="1">
        <v>45017</v>
      </c>
      <c r="B3697" t="s">
        <v>23</v>
      </c>
      <c r="C3697" t="s">
        <v>56</v>
      </c>
      <c r="D3697" s="2">
        <v>8551618.8000000007</v>
      </c>
      <c r="E3697" s="2">
        <v>3387512.18</v>
      </c>
      <c r="F3697" s="2">
        <v>3135396.03</v>
      </c>
    </row>
    <row r="3698" spans="1:6" x14ac:dyDescent="0.25">
      <c r="A3698" s="1">
        <v>45017</v>
      </c>
      <c r="B3698" t="s">
        <v>164</v>
      </c>
      <c r="C3698" t="s">
        <v>840</v>
      </c>
      <c r="D3698">
        <v>0</v>
      </c>
      <c r="E3698">
        <v>0</v>
      </c>
      <c r="F3698">
        <v>0</v>
      </c>
    </row>
    <row r="3699" spans="1:6" x14ac:dyDescent="0.25">
      <c r="A3699" s="1">
        <v>45017</v>
      </c>
      <c r="B3699" t="s">
        <v>40</v>
      </c>
      <c r="C3699" t="s">
        <v>706</v>
      </c>
      <c r="D3699" s="2">
        <v>3206000</v>
      </c>
      <c r="E3699" s="2">
        <v>263013.51</v>
      </c>
      <c r="F3699" s="2">
        <v>50104.86</v>
      </c>
    </row>
    <row r="3700" spans="1:6" x14ac:dyDescent="0.25">
      <c r="A3700" s="1">
        <v>45017</v>
      </c>
      <c r="B3700" t="s">
        <v>107</v>
      </c>
      <c r="C3700" t="s">
        <v>615</v>
      </c>
      <c r="D3700" s="2">
        <v>17122753.890000001</v>
      </c>
      <c r="E3700" s="2">
        <v>18531855.719999999</v>
      </c>
      <c r="F3700" s="2">
        <v>18222245.789999999</v>
      </c>
    </row>
    <row r="3701" spans="1:6" x14ac:dyDescent="0.25">
      <c r="A3701" s="1">
        <v>45017</v>
      </c>
      <c r="B3701" t="s">
        <v>40</v>
      </c>
      <c r="C3701" t="s">
        <v>604</v>
      </c>
      <c r="D3701" s="2">
        <v>22577197.460000001</v>
      </c>
      <c r="E3701" s="2">
        <v>79710374.209999993</v>
      </c>
      <c r="F3701" s="2">
        <v>80829937.959999993</v>
      </c>
    </row>
    <row r="3702" spans="1:6" x14ac:dyDescent="0.25">
      <c r="A3702" s="1">
        <v>45017</v>
      </c>
      <c r="B3702" t="s">
        <v>40</v>
      </c>
      <c r="C3702" t="s">
        <v>749</v>
      </c>
      <c r="D3702" s="2">
        <v>341047592.75</v>
      </c>
      <c r="E3702" s="2">
        <v>1162044949.54</v>
      </c>
      <c r="F3702" s="2">
        <v>1161343506.6199999</v>
      </c>
    </row>
    <row r="3703" spans="1:6" x14ac:dyDescent="0.25">
      <c r="A3703" s="1">
        <v>45017</v>
      </c>
      <c r="B3703" t="s">
        <v>92</v>
      </c>
      <c r="C3703" t="s">
        <v>909</v>
      </c>
      <c r="D3703" s="2">
        <v>364280641.94</v>
      </c>
      <c r="E3703" s="2">
        <v>73967922.489999995</v>
      </c>
      <c r="F3703" s="2">
        <v>73543879.959999993</v>
      </c>
    </row>
    <row r="3704" spans="1:6" x14ac:dyDescent="0.25">
      <c r="A3704" s="1">
        <v>45017</v>
      </c>
      <c r="B3704" t="s">
        <v>13</v>
      </c>
      <c r="C3704" t="s">
        <v>868</v>
      </c>
      <c r="D3704" s="2">
        <v>3652637.61</v>
      </c>
      <c r="E3704" s="2">
        <v>80290.75</v>
      </c>
      <c r="F3704" s="2">
        <v>102863.85</v>
      </c>
    </row>
    <row r="3705" spans="1:6" x14ac:dyDescent="0.25">
      <c r="A3705" s="1">
        <v>45017</v>
      </c>
      <c r="B3705" t="s">
        <v>23</v>
      </c>
      <c r="C3705" t="s">
        <v>864</v>
      </c>
      <c r="D3705" s="2">
        <v>1312559.72</v>
      </c>
      <c r="E3705" s="2">
        <v>1247418.94</v>
      </c>
      <c r="F3705" s="2">
        <v>854343.34</v>
      </c>
    </row>
    <row r="3706" spans="1:6" x14ac:dyDescent="0.25">
      <c r="A3706" s="1">
        <v>45017</v>
      </c>
      <c r="B3706" t="s">
        <v>842</v>
      </c>
      <c r="C3706" t="s">
        <v>843</v>
      </c>
      <c r="D3706" s="2">
        <v>49110309.609999999</v>
      </c>
      <c r="E3706" s="2">
        <v>6787166.8399999999</v>
      </c>
      <c r="F3706" s="2">
        <v>7450350.2800000003</v>
      </c>
    </row>
    <row r="3707" spans="1:6" x14ac:dyDescent="0.25">
      <c r="A3707" s="1">
        <v>45017</v>
      </c>
      <c r="B3707" t="s">
        <v>23</v>
      </c>
      <c r="C3707" t="s">
        <v>889</v>
      </c>
      <c r="D3707" s="2">
        <v>1922105.42</v>
      </c>
      <c r="E3707" s="2">
        <v>1411009.51</v>
      </c>
      <c r="F3707" s="2">
        <v>1152643.6000000001</v>
      </c>
    </row>
    <row r="3708" spans="1:6" x14ac:dyDescent="0.25">
      <c r="A3708" s="1">
        <v>45017</v>
      </c>
      <c r="B3708" t="s">
        <v>21</v>
      </c>
      <c r="C3708" t="s">
        <v>470</v>
      </c>
      <c r="D3708" s="2">
        <v>1334825610.1700001</v>
      </c>
      <c r="E3708" s="2">
        <v>243733944.22</v>
      </c>
      <c r="F3708" s="2">
        <v>230058346.00999999</v>
      </c>
    </row>
    <row r="3709" spans="1:6" x14ac:dyDescent="0.25">
      <c r="A3709" s="1">
        <v>45017</v>
      </c>
      <c r="B3709" t="s">
        <v>37</v>
      </c>
      <c r="C3709" t="s">
        <v>840</v>
      </c>
      <c r="D3709" s="2">
        <v>3800</v>
      </c>
      <c r="E3709" s="2">
        <v>7403.69</v>
      </c>
      <c r="F3709" s="2">
        <v>7261.26</v>
      </c>
    </row>
    <row r="3710" spans="1:6" x14ac:dyDescent="0.25">
      <c r="A3710" s="1">
        <v>45017</v>
      </c>
      <c r="B3710" t="s">
        <v>118</v>
      </c>
      <c r="C3710" t="s">
        <v>885</v>
      </c>
      <c r="D3710" s="2">
        <v>9326046.1799999997</v>
      </c>
      <c r="E3710" s="2">
        <v>3945.1</v>
      </c>
      <c r="F3710">
        <v>0</v>
      </c>
    </row>
    <row r="3711" spans="1:6" x14ac:dyDescent="0.25">
      <c r="A3711" s="1">
        <v>45017</v>
      </c>
      <c r="B3711" t="s">
        <v>40</v>
      </c>
      <c r="C3711" t="s">
        <v>910</v>
      </c>
      <c r="D3711" s="2">
        <v>2419403907.7800002</v>
      </c>
      <c r="E3711" s="2">
        <v>7491914578.25</v>
      </c>
      <c r="F3711" s="2">
        <v>7132988209.5</v>
      </c>
    </row>
    <row r="3712" spans="1:6" x14ac:dyDescent="0.25">
      <c r="A3712" s="1">
        <v>45017</v>
      </c>
      <c r="B3712" t="s">
        <v>40</v>
      </c>
      <c r="C3712" t="s">
        <v>78</v>
      </c>
      <c r="D3712" s="2">
        <v>5049060.72</v>
      </c>
      <c r="E3712" s="2">
        <v>2477742.9300000002</v>
      </c>
      <c r="F3712" s="2">
        <v>2125580.73</v>
      </c>
    </row>
    <row r="3713" spans="1:6" x14ac:dyDescent="0.25">
      <c r="A3713" s="1">
        <v>45017</v>
      </c>
      <c r="B3713" t="s">
        <v>23</v>
      </c>
      <c r="C3713" t="s">
        <v>74</v>
      </c>
      <c r="D3713">
        <v>0</v>
      </c>
      <c r="E3713">
        <v>0</v>
      </c>
      <c r="F3713">
        <v>0</v>
      </c>
    </row>
    <row r="3714" spans="1:6" x14ac:dyDescent="0.25">
      <c r="A3714" s="1">
        <v>45017</v>
      </c>
      <c r="B3714" t="s">
        <v>545</v>
      </c>
      <c r="C3714" t="s">
        <v>362</v>
      </c>
      <c r="D3714" s="2">
        <v>28374286.789999999</v>
      </c>
      <c r="E3714" s="2">
        <v>13661780.710000001</v>
      </c>
      <c r="F3714" s="2">
        <v>12581591.15</v>
      </c>
    </row>
    <row r="3715" spans="1:6" x14ac:dyDescent="0.25">
      <c r="A3715" s="1">
        <v>45017</v>
      </c>
      <c r="B3715" t="s">
        <v>101</v>
      </c>
      <c r="C3715" t="s">
        <v>786</v>
      </c>
      <c r="D3715" s="2">
        <v>5841358.04</v>
      </c>
      <c r="E3715" s="2">
        <v>719568.79</v>
      </c>
      <c r="F3715" s="2">
        <v>503135.5</v>
      </c>
    </row>
    <row r="3716" spans="1:6" x14ac:dyDescent="0.25">
      <c r="A3716" s="1">
        <v>45017</v>
      </c>
      <c r="B3716" t="s">
        <v>23</v>
      </c>
      <c r="C3716" t="s">
        <v>886</v>
      </c>
      <c r="D3716" s="2">
        <v>24374176.84</v>
      </c>
      <c r="E3716" s="2">
        <v>4951920.1900000004</v>
      </c>
      <c r="F3716" s="2">
        <v>3695601.03</v>
      </c>
    </row>
    <row r="3717" spans="1:6" x14ac:dyDescent="0.25">
      <c r="A3717" s="1">
        <v>45017</v>
      </c>
      <c r="B3717" t="s">
        <v>101</v>
      </c>
      <c r="C3717" t="s">
        <v>203</v>
      </c>
      <c r="D3717">
        <v>0</v>
      </c>
      <c r="E3717">
        <v>0</v>
      </c>
      <c r="F3717">
        <v>0</v>
      </c>
    </row>
    <row r="3718" spans="1:6" x14ac:dyDescent="0.25">
      <c r="A3718" s="1">
        <v>45017</v>
      </c>
      <c r="B3718" t="s">
        <v>40</v>
      </c>
      <c r="C3718" t="s">
        <v>898</v>
      </c>
      <c r="D3718" s="2">
        <v>103265644.84999999</v>
      </c>
      <c r="E3718" s="2">
        <v>47100143.030000001</v>
      </c>
      <c r="F3718" s="2">
        <v>46537218.170000002</v>
      </c>
    </row>
    <row r="3719" spans="1:6" x14ac:dyDescent="0.25">
      <c r="A3719" s="1">
        <v>45017</v>
      </c>
      <c r="B3719" t="s">
        <v>216</v>
      </c>
      <c r="C3719" t="s">
        <v>887</v>
      </c>
      <c r="D3719" s="2">
        <v>3597605.66</v>
      </c>
      <c r="E3719" s="2">
        <v>1068178.02</v>
      </c>
      <c r="F3719" s="2">
        <v>633347.06999999995</v>
      </c>
    </row>
    <row r="3720" spans="1:6" x14ac:dyDescent="0.25">
      <c r="A3720" s="1">
        <v>45017</v>
      </c>
      <c r="B3720" t="s">
        <v>490</v>
      </c>
      <c r="C3720" t="s">
        <v>267</v>
      </c>
      <c r="D3720" s="2">
        <v>10540704.24</v>
      </c>
      <c r="E3720" s="2">
        <v>492255333.66000003</v>
      </c>
      <c r="F3720" s="2">
        <v>492102071.48000002</v>
      </c>
    </row>
    <row r="3721" spans="1:6" x14ac:dyDescent="0.25">
      <c r="A3721" s="1">
        <v>45017</v>
      </c>
      <c r="B3721" t="s">
        <v>23</v>
      </c>
      <c r="C3721" t="s">
        <v>776</v>
      </c>
      <c r="D3721" s="2">
        <v>91582229.099999994</v>
      </c>
      <c r="E3721" s="2">
        <v>19782160.510000002</v>
      </c>
      <c r="F3721" s="2">
        <v>22130815.210000001</v>
      </c>
    </row>
    <row r="3722" spans="1:6" x14ac:dyDescent="0.25">
      <c r="A3722" s="1">
        <v>45017</v>
      </c>
      <c r="B3722" t="s">
        <v>25</v>
      </c>
      <c r="C3722" t="s">
        <v>138</v>
      </c>
      <c r="D3722" s="2">
        <v>33342.6</v>
      </c>
      <c r="E3722" s="2">
        <v>4908.67</v>
      </c>
      <c r="F3722" s="2">
        <v>5680.41</v>
      </c>
    </row>
    <row r="3723" spans="1:6" x14ac:dyDescent="0.25">
      <c r="A3723" s="1">
        <v>45017</v>
      </c>
      <c r="B3723" t="s">
        <v>15</v>
      </c>
      <c r="C3723" t="s">
        <v>697</v>
      </c>
      <c r="D3723" s="2">
        <v>42392082.93</v>
      </c>
      <c r="E3723" s="2">
        <v>30952949.789999999</v>
      </c>
      <c r="F3723" s="2">
        <v>28065278.469999999</v>
      </c>
    </row>
    <row r="3724" spans="1:6" x14ac:dyDescent="0.25">
      <c r="A3724" s="1">
        <v>45017</v>
      </c>
      <c r="B3724" t="s">
        <v>23</v>
      </c>
      <c r="C3724" t="s">
        <v>915</v>
      </c>
      <c r="D3724" s="2">
        <v>274057407.75</v>
      </c>
      <c r="E3724" s="2">
        <v>25104453.120000001</v>
      </c>
      <c r="F3724" s="2">
        <v>24339985.559999999</v>
      </c>
    </row>
    <row r="3725" spans="1:6" x14ac:dyDescent="0.25">
      <c r="A3725" s="1">
        <v>45017</v>
      </c>
      <c r="B3725" t="s">
        <v>37</v>
      </c>
      <c r="C3725" t="s">
        <v>570</v>
      </c>
      <c r="D3725" s="2">
        <v>41806.74</v>
      </c>
      <c r="E3725" s="2">
        <v>18753.59</v>
      </c>
      <c r="F3725" s="2">
        <v>13794.56</v>
      </c>
    </row>
    <row r="3726" spans="1:6" x14ac:dyDescent="0.25">
      <c r="A3726" s="1">
        <v>45017</v>
      </c>
      <c r="B3726" t="s">
        <v>44</v>
      </c>
      <c r="C3726" t="s">
        <v>828</v>
      </c>
      <c r="D3726" s="2">
        <v>2277767.92</v>
      </c>
      <c r="E3726" s="2">
        <v>882590.79</v>
      </c>
      <c r="F3726" s="2">
        <v>883918.19</v>
      </c>
    </row>
    <row r="3727" spans="1:6" x14ac:dyDescent="0.25">
      <c r="A3727" s="1">
        <v>45017</v>
      </c>
      <c r="B3727" t="s">
        <v>216</v>
      </c>
      <c r="C3727" t="s">
        <v>468</v>
      </c>
      <c r="D3727" s="2">
        <v>458419870.89999998</v>
      </c>
      <c r="E3727" s="2">
        <v>113771987.98999999</v>
      </c>
      <c r="F3727" s="2">
        <v>106018231.62</v>
      </c>
    </row>
    <row r="3728" spans="1:6" x14ac:dyDescent="0.25">
      <c r="A3728" s="1">
        <v>45017</v>
      </c>
      <c r="B3728" t="s">
        <v>107</v>
      </c>
      <c r="C3728" t="s">
        <v>926</v>
      </c>
      <c r="D3728" s="2">
        <v>47655955.009999998</v>
      </c>
      <c r="E3728" s="2">
        <v>26471240.460000001</v>
      </c>
      <c r="F3728" s="2">
        <v>25259354.620000001</v>
      </c>
    </row>
    <row r="3729" spans="1:6" x14ac:dyDescent="0.25">
      <c r="A3729" s="1">
        <v>45017</v>
      </c>
      <c r="B3729" t="s">
        <v>37</v>
      </c>
      <c r="C3729" t="s">
        <v>38</v>
      </c>
      <c r="D3729" s="2">
        <v>484087639.25999999</v>
      </c>
      <c r="E3729" s="2">
        <v>226967714.69</v>
      </c>
      <c r="F3729" s="2">
        <v>226967714.69</v>
      </c>
    </row>
    <row r="3730" spans="1:6" x14ac:dyDescent="0.25">
      <c r="A3730" s="1">
        <v>45017</v>
      </c>
      <c r="B3730" t="s">
        <v>272</v>
      </c>
      <c r="C3730" t="s">
        <v>544</v>
      </c>
      <c r="D3730" s="2">
        <v>20696979.960000001</v>
      </c>
      <c r="E3730" s="2">
        <v>4746838.9000000004</v>
      </c>
      <c r="F3730" s="2">
        <v>4901867.72</v>
      </c>
    </row>
    <row r="3731" spans="1:6" x14ac:dyDescent="0.25">
      <c r="A3731" s="1">
        <v>45017</v>
      </c>
      <c r="B3731" t="s">
        <v>216</v>
      </c>
      <c r="C3731" t="s">
        <v>563</v>
      </c>
      <c r="D3731" s="2">
        <v>124463817.88</v>
      </c>
      <c r="E3731" s="2">
        <v>29465828.98</v>
      </c>
      <c r="F3731" s="2">
        <v>24225490.359999999</v>
      </c>
    </row>
    <row r="3732" spans="1:6" x14ac:dyDescent="0.25">
      <c r="A3732" s="1">
        <v>45017</v>
      </c>
      <c r="B3732" t="s">
        <v>234</v>
      </c>
      <c r="C3732" t="s">
        <v>646</v>
      </c>
      <c r="D3732" s="2">
        <v>1454647.97</v>
      </c>
      <c r="E3732" s="2">
        <v>1039526.49</v>
      </c>
      <c r="F3732" s="2">
        <v>1033167.48</v>
      </c>
    </row>
    <row r="3733" spans="1:6" x14ac:dyDescent="0.25">
      <c r="A3733" s="1">
        <v>45017</v>
      </c>
      <c r="B3733" t="s">
        <v>44</v>
      </c>
      <c r="C3733" t="s">
        <v>838</v>
      </c>
      <c r="D3733" s="2">
        <v>32506821.329999998</v>
      </c>
      <c r="E3733" s="2">
        <v>5961593</v>
      </c>
      <c r="F3733" s="2">
        <v>6684061</v>
      </c>
    </row>
    <row r="3734" spans="1:6" x14ac:dyDescent="0.25">
      <c r="A3734" s="1">
        <v>45017</v>
      </c>
      <c r="B3734" t="s">
        <v>196</v>
      </c>
      <c r="C3734" t="s">
        <v>563</v>
      </c>
      <c r="D3734">
        <v>0</v>
      </c>
      <c r="E3734">
        <v>0</v>
      </c>
      <c r="F3734">
        <v>0</v>
      </c>
    </row>
    <row r="3735" spans="1:6" x14ac:dyDescent="0.25">
      <c r="A3735" s="1">
        <v>45017</v>
      </c>
      <c r="B3735" t="s">
        <v>216</v>
      </c>
      <c r="C3735" t="s">
        <v>806</v>
      </c>
      <c r="D3735" s="2">
        <v>7547636.3700000001</v>
      </c>
      <c r="E3735" s="2">
        <v>3778189.59</v>
      </c>
      <c r="F3735" s="2">
        <v>1927243.69</v>
      </c>
    </row>
    <row r="3736" spans="1:6" x14ac:dyDescent="0.25">
      <c r="A3736" s="1">
        <v>45017</v>
      </c>
      <c r="B3736" t="s">
        <v>545</v>
      </c>
      <c r="C3736" t="s">
        <v>908</v>
      </c>
      <c r="D3736" s="2">
        <v>-1574</v>
      </c>
      <c r="E3736" s="2">
        <v>2727.44</v>
      </c>
      <c r="F3736" s="2">
        <v>2687.44</v>
      </c>
    </row>
    <row r="3737" spans="1:6" x14ac:dyDescent="0.25">
      <c r="A3737" s="1">
        <v>45017</v>
      </c>
      <c r="B3737" t="s">
        <v>40</v>
      </c>
      <c r="C3737" t="s">
        <v>836</v>
      </c>
      <c r="D3737" s="2">
        <v>2677462.0099999998</v>
      </c>
      <c r="E3737" s="2">
        <v>1376766.77</v>
      </c>
      <c r="F3737" s="2">
        <v>1345533.97</v>
      </c>
    </row>
    <row r="3738" spans="1:6" x14ac:dyDescent="0.25">
      <c r="A3738" s="1">
        <v>45017</v>
      </c>
      <c r="B3738" t="s">
        <v>107</v>
      </c>
      <c r="C3738" t="s">
        <v>912</v>
      </c>
      <c r="D3738" s="2">
        <v>292263799.38</v>
      </c>
      <c r="E3738" s="2">
        <v>83697479.5</v>
      </c>
      <c r="F3738" s="2">
        <v>64834290.200000003</v>
      </c>
    </row>
    <row r="3739" spans="1:6" x14ac:dyDescent="0.25">
      <c r="A3739" s="1">
        <v>45017</v>
      </c>
      <c r="B3739" t="s">
        <v>490</v>
      </c>
      <c r="C3739" t="s">
        <v>880</v>
      </c>
      <c r="D3739" s="2">
        <v>1195359.99</v>
      </c>
      <c r="E3739" s="2">
        <v>1265176.81</v>
      </c>
      <c r="F3739" s="2">
        <v>1081833.97</v>
      </c>
    </row>
    <row r="3740" spans="1:6" x14ac:dyDescent="0.25">
      <c r="A3740" s="1">
        <v>45017</v>
      </c>
      <c r="B3740" t="s">
        <v>40</v>
      </c>
      <c r="C3740" t="s">
        <v>924</v>
      </c>
      <c r="D3740" s="2">
        <v>302239660.5</v>
      </c>
      <c r="E3740" s="2">
        <v>690439639.51999998</v>
      </c>
      <c r="F3740" s="2">
        <v>656067645.83000004</v>
      </c>
    </row>
    <row r="3741" spans="1:6" x14ac:dyDescent="0.25">
      <c r="A3741" s="1">
        <v>45017</v>
      </c>
      <c r="B3741" t="s">
        <v>101</v>
      </c>
      <c r="C3741" t="s">
        <v>102</v>
      </c>
      <c r="D3741" s="2">
        <v>-2162.04</v>
      </c>
      <c r="E3741">
        <v>0</v>
      </c>
      <c r="F3741">
        <v>0</v>
      </c>
    </row>
    <row r="3742" spans="1:6" x14ac:dyDescent="0.25">
      <c r="A3742" s="1">
        <v>45017</v>
      </c>
      <c r="B3742" t="s">
        <v>40</v>
      </c>
      <c r="C3742" t="s">
        <v>95</v>
      </c>
      <c r="D3742" s="2">
        <v>2266724220.7399998</v>
      </c>
      <c r="E3742" s="2">
        <v>582766114.41999996</v>
      </c>
      <c r="F3742" s="2">
        <v>574924303.88</v>
      </c>
    </row>
    <row r="3743" spans="1:6" x14ac:dyDescent="0.25">
      <c r="A3743" s="1">
        <v>45017</v>
      </c>
      <c r="B3743" t="s">
        <v>23</v>
      </c>
      <c r="C3743" t="s">
        <v>916</v>
      </c>
      <c r="D3743" s="2">
        <v>20813478.370000001</v>
      </c>
      <c r="E3743" s="2">
        <v>27390405.329999998</v>
      </c>
      <c r="F3743" s="2">
        <v>30061770.809999999</v>
      </c>
    </row>
    <row r="3744" spans="1:6" x14ac:dyDescent="0.25">
      <c r="A3744" s="1">
        <v>45017</v>
      </c>
      <c r="B3744" t="s">
        <v>278</v>
      </c>
      <c r="C3744" t="s">
        <v>572</v>
      </c>
      <c r="D3744" s="2">
        <v>50932862</v>
      </c>
      <c r="E3744">
        <v>0</v>
      </c>
      <c r="F3744">
        <v>0</v>
      </c>
    </row>
    <row r="3745" spans="1:6" x14ac:dyDescent="0.25">
      <c r="A3745" s="1">
        <v>45017</v>
      </c>
      <c r="B3745" t="s">
        <v>107</v>
      </c>
      <c r="C3745" t="s">
        <v>897</v>
      </c>
      <c r="D3745" s="2">
        <v>831364665.48000002</v>
      </c>
      <c r="E3745" s="2">
        <v>310070352.57999998</v>
      </c>
      <c r="F3745" s="2">
        <v>290403382.22000003</v>
      </c>
    </row>
    <row r="3746" spans="1:6" x14ac:dyDescent="0.25">
      <c r="A3746" s="1">
        <v>45017</v>
      </c>
      <c r="B3746" t="s">
        <v>40</v>
      </c>
      <c r="C3746" t="s">
        <v>388</v>
      </c>
      <c r="D3746">
        <v>0</v>
      </c>
      <c r="E3746" s="2">
        <v>34197.870000000003</v>
      </c>
      <c r="F3746" s="2">
        <v>34197.870000000003</v>
      </c>
    </row>
    <row r="3747" spans="1:6" x14ac:dyDescent="0.25">
      <c r="A3747" s="1">
        <v>45017</v>
      </c>
      <c r="B3747" t="s">
        <v>40</v>
      </c>
      <c r="C3747" t="s">
        <v>177</v>
      </c>
      <c r="D3747" s="2">
        <v>396417998.17000002</v>
      </c>
      <c r="E3747" s="2">
        <v>401320595.38</v>
      </c>
      <c r="F3747" s="2">
        <v>409666098.97000003</v>
      </c>
    </row>
    <row r="3748" spans="1:6" x14ac:dyDescent="0.25">
      <c r="A3748" s="1">
        <v>45047</v>
      </c>
      <c r="B3748" t="s">
        <v>196</v>
      </c>
      <c r="C3748" t="s">
        <v>491</v>
      </c>
      <c r="D3748">
        <v>0</v>
      </c>
      <c r="E3748">
        <v>0</v>
      </c>
      <c r="F3748">
        <v>0</v>
      </c>
    </row>
    <row r="3749" spans="1:6" x14ac:dyDescent="0.25">
      <c r="A3749" s="1">
        <v>45047</v>
      </c>
      <c r="B3749" t="s">
        <v>1212</v>
      </c>
      <c r="C3749" t="s">
        <v>378</v>
      </c>
      <c r="D3749">
        <v>0</v>
      </c>
      <c r="E3749">
        <v>0</v>
      </c>
      <c r="F3749">
        <v>0</v>
      </c>
    </row>
    <row r="3750" spans="1:6" x14ac:dyDescent="0.25">
      <c r="A3750" s="1">
        <v>45047</v>
      </c>
      <c r="B3750" t="s">
        <v>225</v>
      </c>
      <c r="C3750" t="s">
        <v>226</v>
      </c>
      <c r="D3750">
        <v>0</v>
      </c>
      <c r="E3750">
        <v>0</v>
      </c>
      <c r="F3750">
        <v>0</v>
      </c>
    </row>
    <row r="3751" spans="1:6" x14ac:dyDescent="0.25">
      <c r="A3751" s="1">
        <v>45047</v>
      </c>
      <c r="B3751" t="s">
        <v>476</v>
      </c>
      <c r="C3751" t="s">
        <v>950</v>
      </c>
      <c r="D3751">
        <v>0</v>
      </c>
      <c r="E3751">
        <v>0</v>
      </c>
      <c r="F3751">
        <v>0</v>
      </c>
    </row>
    <row r="3752" spans="1:6" x14ac:dyDescent="0.25">
      <c r="A3752" s="1">
        <v>45047</v>
      </c>
      <c r="B3752" t="s">
        <v>17</v>
      </c>
      <c r="C3752" t="s">
        <v>877</v>
      </c>
      <c r="D3752" s="2">
        <v>538547.05000000005</v>
      </c>
      <c r="E3752" s="2">
        <v>538547.05000000005</v>
      </c>
      <c r="F3752" s="2">
        <v>538547.05000000005</v>
      </c>
    </row>
    <row r="3753" spans="1:6" x14ac:dyDescent="0.25">
      <c r="A3753" s="1">
        <v>45047</v>
      </c>
      <c r="B3753" t="s">
        <v>48</v>
      </c>
      <c r="C3753" t="s">
        <v>1178</v>
      </c>
      <c r="D3753">
        <v>0</v>
      </c>
      <c r="E3753">
        <v>0</v>
      </c>
      <c r="F3753">
        <v>0</v>
      </c>
    </row>
    <row r="3754" spans="1:6" x14ac:dyDescent="0.25">
      <c r="A3754" s="1">
        <v>45047</v>
      </c>
      <c r="B3754" t="s">
        <v>40</v>
      </c>
      <c r="C3754" t="s">
        <v>215</v>
      </c>
      <c r="D3754">
        <v>0</v>
      </c>
      <c r="E3754">
        <v>0</v>
      </c>
      <c r="F3754">
        <v>0</v>
      </c>
    </row>
    <row r="3755" spans="1:6" x14ac:dyDescent="0.25">
      <c r="A3755" s="1">
        <v>45047</v>
      </c>
      <c r="B3755" t="s">
        <v>187</v>
      </c>
      <c r="C3755" t="s">
        <v>188</v>
      </c>
      <c r="D3755">
        <v>0</v>
      </c>
      <c r="E3755" s="2">
        <v>227312.5</v>
      </c>
      <c r="F3755" s="2">
        <v>227312.5</v>
      </c>
    </row>
    <row r="3756" spans="1:6" x14ac:dyDescent="0.25">
      <c r="A3756" s="1">
        <v>45047</v>
      </c>
      <c r="B3756" t="s">
        <v>225</v>
      </c>
      <c r="C3756" t="s">
        <v>315</v>
      </c>
      <c r="D3756">
        <v>0</v>
      </c>
      <c r="E3756">
        <v>0</v>
      </c>
      <c r="F3756">
        <v>0</v>
      </c>
    </row>
    <row r="3757" spans="1:6" x14ac:dyDescent="0.25">
      <c r="A3757" s="1">
        <v>45047</v>
      </c>
      <c r="B3757" t="s">
        <v>1213</v>
      </c>
      <c r="C3757" t="s">
        <v>658</v>
      </c>
      <c r="D3757">
        <v>0</v>
      </c>
      <c r="E3757">
        <v>0</v>
      </c>
      <c r="F3757">
        <v>0</v>
      </c>
    </row>
    <row r="3758" spans="1:6" x14ac:dyDescent="0.25">
      <c r="A3758" s="1">
        <v>45047</v>
      </c>
      <c r="B3758" t="s">
        <v>98</v>
      </c>
      <c r="C3758" t="s">
        <v>899</v>
      </c>
      <c r="D3758">
        <v>0</v>
      </c>
      <c r="E3758">
        <v>0</v>
      </c>
      <c r="F3758">
        <v>0</v>
      </c>
    </row>
    <row r="3759" spans="1:6" x14ac:dyDescent="0.25">
      <c r="A3759" s="1">
        <v>45047</v>
      </c>
      <c r="B3759" t="s">
        <v>50</v>
      </c>
      <c r="C3759" t="s">
        <v>1014</v>
      </c>
      <c r="D3759">
        <v>0</v>
      </c>
      <c r="E3759">
        <v>0</v>
      </c>
      <c r="F3759">
        <v>0</v>
      </c>
    </row>
    <row r="3760" spans="1:6" x14ac:dyDescent="0.25">
      <c r="A3760" s="1">
        <v>45047</v>
      </c>
      <c r="B3760" t="s">
        <v>21</v>
      </c>
      <c r="C3760" t="s">
        <v>122</v>
      </c>
      <c r="D3760">
        <v>0</v>
      </c>
      <c r="E3760">
        <v>0</v>
      </c>
      <c r="F3760">
        <v>0</v>
      </c>
    </row>
    <row r="3761" spans="1:6" x14ac:dyDescent="0.25">
      <c r="A3761" s="1">
        <v>45047</v>
      </c>
      <c r="B3761" t="s">
        <v>318</v>
      </c>
      <c r="C3761" t="s">
        <v>703</v>
      </c>
      <c r="D3761">
        <v>0</v>
      </c>
      <c r="E3761">
        <v>0</v>
      </c>
      <c r="F3761">
        <v>0</v>
      </c>
    </row>
    <row r="3762" spans="1:6" x14ac:dyDescent="0.25">
      <c r="A3762" s="1">
        <v>45047</v>
      </c>
      <c r="B3762" t="s">
        <v>458</v>
      </c>
      <c r="C3762" t="s">
        <v>798</v>
      </c>
      <c r="D3762">
        <v>0</v>
      </c>
      <c r="E3762">
        <v>0</v>
      </c>
      <c r="F3762">
        <v>0</v>
      </c>
    </row>
    <row r="3763" spans="1:6" x14ac:dyDescent="0.25">
      <c r="A3763" s="1">
        <v>45047</v>
      </c>
      <c r="B3763" t="s">
        <v>37</v>
      </c>
      <c r="C3763" t="s">
        <v>1214</v>
      </c>
      <c r="D3763" s="2">
        <v>468040642</v>
      </c>
      <c r="E3763" s="2">
        <v>156013547</v>
      </c>
      <c r="F3763" s="2">
        <v>156013547</v>
      </c>
    </row>
    <row r="3764" spans="1:6" x14ac:dyDescent="0.25">
      <c r="A3764" s="1">
        <v>45047</v>
      </c>
      <c r="B3764" t="s">
        <v>27</v>
      </c>
      <c r="C3764" t="s">
        <v>983</v>
      </c>
      <c r="D3764">
        <v>0</v>
      </c>
      <c r="E3764">
        <v>0</v>
      </c>
      <c r="F3764">
        <v>0</v>
      </c>
    </row>
    <row r="3765" spans="1:6" x14ac:dyDescent="0.25">
      <c r="A3765" s="1">
        <v>45047</v>
      </c>
      <c r="B3765" t="s">
        <v>98</v>
      </c>
      <c r="C3765" t="s">
        <v>415</v>
      </c>
      <c r="D3765">
        <v>0</v>
      </c>
      <c r="E3765">
        <v>0</v>
      </c>
      <c r="F3765">
        <v>0</v>
      </c>
    </row>
    <row r="3766" spans="1:6" x14ac:dyDescent="0.25">
      <c r="A3766" s="1">
        <v>45047</v>
      </c>
      <c r="B3766" t="s">
        <v>344</v>
      </c>
      <c r="C3766" t="s">
        <v>672</v>
      </c>
      <c r="D3766">
        <v>0</v>
      </c>
      <c r="E3766">
        <v>0</v>
      </c>
      <c r="F3766">
        <v>0</v>
      </c>
    </row>
    <row r="3767" spans="1:6" x14ac:dyDescent="0.25">
      <c r="A3767" s="1">
        <v>45047</v>
      </c>
      <c r="B3767" t="s">
        <v>21</v>
      </c>
      <c r="C3767" t="s">
        <v>451</v>
      </c>
      <c r="D3767">
        <v>0</v>
      </c>
      <c r="E3767">
        <v>0</v>
      </c>
      <c r="F3767">
        <v>0</v>
      </c>
    </row>
    <row r="3768" spans="1:6" x14ac:dyDescent="0.25">
      <c r="A3768" s="1">
        <v>45047</v>
      </c>
      <c r="B3768" t="s">
        <v>23</v>
      </c>
      <c r="C3768" t="s">
        <v>1088</v>
      </c>
      <c r="D3768">
        <v>0</v>
      </c>
      <c r="E3768" s="2">
        <v>638179.35</v>
      </c>
      <c r="F3768" s="2">
        <v>611371.30000000005</v>
      </c>
    </row>
    <row r="3769" spans="1:6" x14ac:dyDescent="0.25">
      <c r="A3769" s="1">
        <v>45047</v>
      </c>
      <c r="B3769" t="s">
        <v>44</v>
      </c>
      <c r="C3769" t="s">
        <v>240</v>
      </c>
      <c r="D3769" s="2">
        <v>175424.68</v>
      </c>
      <c r="E3769" s="2">
        <v>474149.48</v>
      </c>
      <c r="F3769" s="2">
        <v>435703.53</v>
      </c>
    </row>
    <row r="3770" spans="1:6" x14ac:dyDescent="0.25">
      <c r="A3770" s="1">
        <v>45047</v>
      </c>
      <c r="B3770" t="s">
        <v>196</v>
      </c>
      <c r="C3770" t="s">
        <v>615</v>
      </c>
      <c r="D3770">
        <v>0</v>
      </c>
      <c r="E3770">
        <v>0</v>
      </c>
      <c r="F3770">
        <v>0</v>
      </c>
    </row>
    <row r="3771" spans="1:6" x14ac:dyDescent="0.25">
      <c r="A3771" s="1">
        <v>45047</v>
      </c>
      <c r="B3771" t="s">
        <v>48</v>
      </c>
      <c r="C3771" t="s">
        <v>1215</v>
      </c>
      <c r="D3771">
        <v>0</v>
      </c>
      <c r="E3771">
        <v>0</v>
      </c>
      <c r="F3771">
        <v>0</v>
      </c>
    </row>
    <row r="3772" spans="1:6" x14ac:dyDescent="0.25">
      <c r="A3772" s="1">
        <v>45047</v>
      </c>
      <c r="B3772" t="s">
        <v>42</v>
      </c>
      <c r="C3772" t="s">
        <v>166</v>
      </c>
      <c r="D3772" s="2">
        <v>23246293.550000001</v>
      </c>
      <c r="E3772" s="2">
        <v>23246293.550000001</v>
      </c>
      <c r="F3772" s="2">
        <v>23246293.550000001</v>
      </c>
    </row>
    <row r="3773" spans="1:6" x14ac:dyDescent="0.25">
      <c r="A3773" s="1">
        <v>45047</v>
      </c>
      <c r="B3773" t="s">
        <v>114</v>
      </c>
      <c r="C3773" t="s">
        <v>1216</v>
      </c>
      <c r="D3773">
        <v>0</v>
      </c>
      <c r="E3773">
        <v>0</v>
      </c>
      <c r="F3773">
        <v>0</v>
      </c>
    </row>
    <row r="3774" spans="1:6" x14ac:dyDescent="0.25">
      <c r="A3774" s="1">
        <v>45047</v>
      </c>
      <c r="B3774" t="s">
        <v>23</v>
      </c>
      <c r="C3774" t="s">
        <v>1015</v>
      </c>
      <c r="D3774" s="2">
        <v>29557.54</v>
      </c>
      <c r="E3774">
        <v>0</v>
      </c>
      <c r="F3774">
        <v>0</v>
      </c>
    </row>
    <row r="3775" spans="1:6" x14ac:dyDescent="0.25">
      <c r="A3775" s="1">
        <v>45047</v>
      </c>
      <c r="B3775" t="s">
        <v>98</v>
      </c>
      <c r="C3775" t="s">
        <v>960</v>
      </c>
      <c r="D3775">
        <v>0</v>
      </c>
      <c r="E3775">
        <v>0</v>
      </c>
      <c r="F3775">
        <v>0</v>
      </c>
    </row>
    <row r="3776" spans="1:6" x14ac:dyDescent="0.25">
      <c r="A3776" s="1">
        <v>45047</v>
      </c>
      <c r="B3776" t="s">
        <v>103</v>
      </c>
      <c r="C3776" t="s">
        <v>104</v>
      </c>
      <c r="D3776" s="2">
        <v>40000000</v>
      </c>
      <c r="E3776" s="2">
        <v>120000000</v>
      </c>
      <c r="F3776" s="2">
        <v>120000000</v>
      </c>
    </row>
    <row r="3777" spans="1:6" x14ac:dyDescent="0.25">
      <c r="A3777" s="1">
        <v>45047</v>
      </c>
      <c r="B3777" t="s">
        <v>19</v>
      </c>
      <c r="C3777" t="s">
        <v>397</v>
      </c>
      <c r="D3777" s="2">
        <v>90500</v>
      </c>
      <c r="E3777" s="2">
        <v>342497.34</v>
      </c>
      <c r="F3777" s="2">
        <v>330344.8</v>
      </c>
    </row>
    <row r="3778" spans="1:6" x14ac:dyDescent="0.25">
      <c r="A3778" s="1">
        <v>45047</v>
      </c>
      <c r="B3778" t="s">
        <v>11</v>
      </c>
      <c r="C3778" t="s">
        <v>116</v>
      </c>
      <c r="D3778" s="2">
        <v>3149035203</v>
      </c>
      <c r="E3778" s="2">
        <v>11886062278.379999</v>
      </c>
      <c r="F3778" s="2">
        <v>11886062278.379999</v>
      </c>
    </row>
    <row r="3779" spans="1:6" x14ac:dyDescent="0.25">
      <c r="A3779" s="1">
        <v>45047</v>
      </c>
      <c r="B3779" t="s">
        <v>296</v>
      </c>
      <c r="C3779" t="s">
        <v>1024</v>
      </c>
      <c r="D3779" s="2">
        <v>91806894.840000004</v>
      </c>
      <c r="E3779" s="2">
        <v>27950524.170000002</v>
      </c>
      <c r="F3779" s="2">
        <v>27950524.170000002</v>
      </c>
    </row>
    <row r="3780" spans="1:6" x14ac:dyDescent="0.25">
      <c r="A3780" s="1">
        <v>45047</v>
      </c>
      <c r="B3780" t="s">
        <v>92</v>
      </c>
      <c r="C3780" t="s">
        <v>981</v>
      </c>
      <c r="D3780">
        <v>0</v>
      </c>
      <c r="E3780" s="2">
        <v>215212</v>
      </c>
      <c r="F3780" s="2">
        <v>215212</v>
      </c>
    </row>
    <row r="3781" spans="1:6" x14ac:dyDescent="0.25">
      <c r="A3781" s="1">
        <v>45047</v>
      </c>
      <c r="B3781" t="s">
        <v>37</v>
      </c>
      <c r="C3781" t="s">
        <v>504</v>
      </c>
      <c r="D3781">
        <v>0</v>
      </c>
      <c r="E3781" s="2">
        <v>603652.03</v>
      </c>
      <c r="F3781" s="2">
        <v>603652.03</v>
      </c>
    </row>
    <row r="3782" spans="1:6" x14ac:dyDescent="0.25">
      <c r="A3782" s="1">
        <v>45047</v>
      </c>
      <c r="B3782" t="s">
        <v>50</v>
      </c>
      <c r="C3782" t="s">
        <v>1048</v>
      </c>
      <c r="D3782" s="2">
        <v>3034120.39</v>
      </c>
      <c r="E3782">
        <v>0</v>
      </c>
      <c r="F3782">
        <v>0</v>
      </c>
    </row>
    <row r="3783" spans="1:6" x14ac:dyDescent="0.25">
      <c r="A3783" s="1">
        <v>45047</v>
      </c>
      <c r="B3783" t="s">
        <v>21</v>
      </c>
      <c r="C3783" t="s">
        <v>967</v>
      </c>
      <c r="D3783">
        <v>0</v>
      </c>
      <c r="E3783">
        <v>0</v>
      </c>
      <c r="F3783">
        <v>0</v>
      </c>
    </row>
    <row r="3784" spans="1:6" x14ac:dyDescent="0.25">
      <c r="A3784" s="1">
        <v>45047</v>
      </c>
      <c r="B3784" t="s">
        <v>120</v>
      </c>
      <c r="C3784" t="s">
        <v>121</v>
      </c>
      <c r="D3784">
        <v>0</v>
      </c>
      <c r="E3784" s="2">
        <v>28939.97</v>
      </c>
      <c r="F3784" s="2">
        <v>28939.97</v>
      </c>
    </row>
    <row r="3785" spans="1:6" x14ac:dyDescent="0.25">
      <c r="A3785" s="1">
        <v>45047</v>
      </c>
      <c r="B3785" t="s">
        <v>17</v>
      </c>
      <c r="C3785" t="s">
        <v>1051</v>
      </c>
      <c r="D3785" s="2">
        <v>502388.09</v>
      </c>
      <c r="E3785" s="2">
        <v>502388.09</v>
      </c>
      <c r="F3785">
        <v>0</v>
      </c>
    </row>
    <row r="3786" spans="1:6" x14ac:dyDescent="0.25">
      <c r="A3786" s="1">
        <v>45047</v>
      </c>
      <c r="B3786" t="s">
        <v>44</v>
      </c>
      <c r="C3786" t="s">
        <v>386</v>
      </c>
      <c r="D3786">
        <v>0</v>
      </c>
      <c r="E3786" s="2">
        <v>71577.73</v>
      </c>
      <c r="F3786" s="2">
        <v>69562.91</v>
      </c>
    </row>
    <row r="3787" spans="1:6" x14ac:dyDescent="0.25">
      <c r="A3787" s="1">
        <v>45047</v>
      </c>
      <c r="B3787" t="s">
        <v>81</v>
      </c>
      <c r="C3787" t="s">
        <v>656</v>
      </c>
      <c r="D3787">
        <v>0</v>
      </c>
      <c r="E3787">
        <v>0</v>
      </c>
      <c r="F3787">
        <v>0</v>
      </c>
    </row>
    <row r="3788" spans="1:6" x14ac:dyDescent="0.25">
      <c r="A3788" s="1">
        <v>45047</v>
      </c>
      <c r="B3788" t="s">
        <v>53</v>
      </c>
      <c r="C3788" t="s">
        <v>382</v>
      </c>
      <c r="D3788" s="2">
        <v>109850064</v>
      </c>
      <c r="E3788" s="2">
        <v>414630079.50999999</v>
      </c>
      <c r="F3788" s="2">
        <v>414630079.50999999</v>
      </c>
    </row>
    <row r="3789" spans="1:6" x14ac:dyDescent="0.25">
      <c r="A3789" s="1">
        <v>45047</v>
      </c>
      <c r="B3789" t="s">
        <v>75</v>
      </c>
      <c r="C3789" t="s">
        <v>1217</v>
      </c>
      <c r="D3789">
        <v>0</v>
      </c>
      <c r="E3789">
        <v>0</v>
      </c>
      <c r="F3789">
        <v>0</v>
      </c>
    </row>
    <row r="3790" spans="1:6" x14ac:dyDescent="0.25">
      <c r="A3790" s="1">
        <v>45047</v>
      </c>
      <c r="B3790" t="s">
        <v>44</v>
      </c>
      <c r="C3790" t="s">
        <v>1115</v>
      </c>
      <c r="D3790" s="2">
        <v>111307.98</v>
      </c>
      <c r="E3790" s="2">
        <v>41980.75</v>
      </c>
      <c r="F3790" s="2">
        <v>37598.21</v>
      </c>
    </row>
    <row r="3791" spans="1:6" x14ac:dyDescent="0.25">
      <c r="A3791" s="1">
        <v>45047</v>
      </c>
      <c r="B3791" t="s">
        <v>199</v>
      </c>
      <c r="C3791" t="s">
        <v>200</v>
      </c>
      <c r="D3791">
        <v>0</v>
      </c>
      <c r="E3791">
        <v>142</v>
      </c>
      <c r="F3791">
        <v>142</v>
      </c>
    </row>
    <row r="3792" spans="1:6" x14ac:dyDescent="0.25">
      <c r="A3792" s="1">
        <v>45047</v>
      </c>
      <c r="B3792" t="s">
        <v>29</v>
      </c>
      <c r="C3792" t="s">
        <v>60</v>
      </c>
      <c r="D3792" s="2">
        <v>170000</v>
      </c>
      <c r="E3792" s="2">
        <v>268008.55</v>
      </c>
      <c r="F3792" s="2">
        <v>268008.55</v>
      </c>
    </row>
    <row r="3793" spans="1:6" x14ac:dyDescent="0.25">
      <c r="A3793" s="1">
        <v>45047</v>
      </c>
      <c r="B3793" t="s">
        <v>21</v>
      </c>
      <c r="C3793" t="s">
        <v>970</v>
      </c>
      <c r="D3793" s="2">
        <v>2000000</v>
      </c>
      <c r="E3793">
        <v>0</v>
      </c>
      <c r="F3793">
        <v>0</v>
      </c>
    </row>
    <row r="3794" spans="1:6" x14ac:dyDescent="0.25">
      <c r="A3794" s="1">
        <v>45047</v>
      </c>
      <c r="B3794" t="s">
        <v>50</v>
      </c>
      <c r="C3794" t="s">
        <v>438</v>
      </c>
      <c r="D3794" s="2">
        <v>3772482.28</v>
      </c>
      <c r="E3794">
        <v>94.8</v>
      </c>
      <c r="F3794" s="2">
        <v>3717.79</v>
      </c>
    </row>
    <row r="3795" spans="1:6" x14ac:dyDescent="0.25">
      <c r="A3795" s="1">
        <v>45047</v>
      </c>
      <c r="B3795" t="s">
        <v>23</v>
      </c>
      <c r="C3795" t="s">
        <v>657</v>
      </c>
      <c r="D3795">
        <v>0</v>
      </c>
      <c r="E3795">
        <v>0</v>
      </c>
      <c r="F3795">
        <v>0</v>
      </c>
    </row>
    <row r="3796" spans="1:6" x14ac:dyDescent="0.25">
      <c r="A3796" s="1">
        <v>45047</v>
      </c>
      <c r="B3796" t="s">
        <v>661</v>
      </c>
      <c r="C3796" t="s">
        <v>95</v>
      </c>
      <c r="D3796">
        <v>0</v>
      </c>
      <c r="E3796">
        <v>0</v>
      </c>
      <c r="F3796">
        <v>0</v>
      </c>
    </row>
    <row r="3797" spans="1:6" x14ac:dyDescent="0.25">
      <c r="A3797" s="1">
        <v>45047</v>
      </c>
      <c r="B3797" t="s">
        <v>19</v>
      </c>
      <c r="C3797" t="s">
        <v>328</v>
      </c>
      <c r="D3797" s="2">
        <v>16015670.050000001</v>
      </c>
      <c r="E3797" s="2">
        <v>1663480.36</v>
      </c>
      <c r="F3797" s="2">
        <v>1617368.52</v>
      </c>
    </row>
    <row r="3798" spans="1:6" x14ac:dyDescent="0.25">
      <c r="A3798" s="1">
        <v>45047</v>
      </c>
      <c r="B3798" t="s">
        <v>196</v>
      </c>
      <c r="C3798" t="s">
        <v>506</v>
      </c>
      <c r="D3798">
        <v>0</v>
      </c>
      <c r="E3798">
        <v>0</v>
      </c>
      <c r="F3798">
        <v>0</v>
      </c>
    </row>
    <row r="3799" spans="1:6" x14ac:dyDescent="0.25">
      <c r="A3799" s="1">
        <v>45047</v>
      </c>
      <c r="B3799" t="s">
        <v>196</v>
      </c>
      <c r="C3799" t="s">
        <v>612</v>
      </c>
      <c r="D3799">
        <v>0</v>
      </c>
      <c r="E3799">
        <v>0</v>
      </c>
      <c r="F3799">
        <v>0</v>
      </c>
    </row>
    <row r="3800" spans="1:6" x14ac:dyDescent="0.25">
      <c r="A3800" s="1">
        <v>45047</v>
      </c>
      <c r="B3800" t="s">
        <v>355</v>
      </c>
      <c r="C3800" t="s">
        <v>356</v>
      </c>
      <c r="D3800" s="2">
        <v>19645167.329999998</v>
      </c>
      <c r="E3800" s="2">
        <v>1083896.6399999999</v>
      </c>
      <c r="F3800" s="2">
        <v>1066708.96</v>
      </c>
    </row>
    <row r="3801" spans="1:6" x14ac:dyDescent="0.25">
      <c r="A3801" s="1">
        <v>45047</v>
      </c>
      <c r="B3801" t="s">
        <v>98</v>
      </c>
      <c r="C3801" t="s">
        <v>190</v>
      </c>
      <c r="D3801">
        <v>0</v>
      </c>
      <c r="E3801">
        <v>0</v>
      </c>
      <c r="F3801">
        <v>0</v>
      </c>
    </row>
    <row r="3802" spans="1:6" x14ac:dyDescent="0.25">
      <c r="A3802" s="1">
        <v>45047</v>
      </c>
      <c r="B3802" t="s">
        <v>21</v>
      </c>
      <c r="C3802" t="s">
        <v>1181</v>
      </c>
      <c r="D3802">
        <v>0</v>
      </c>
      <c r="E3802">
        <v>0</v>
      </c>
      <c r="F3802">
        <v>0</v>
      </c>
    </row>
    <row r="3803" spans="1:6" x14ac:dyDescent="0.25">
      <c r="A3803" s="1">
        <v>45047</v>
      </c>
      <c r="B3803" t="s">
        <v>11</v>
      </c>
      <c r="C3803" t="s">
        <v>778</v>
      </c>
      <c r="D3803" s="2">
        <v>86152665</v>
      </c>
      <c r="E3803" s="2">
        <v>86017925.329999998</v>
      </c>
      <c r="F3803" s="2">
        <v>85971138.909999996</v>
      </c>
    </row>
    <row r="3804" spans="1:6" x14ac:dyDescent="0.25">
      <c r="A3804" s="1">
        <v>45047</v>
      </c>
      <c r="B3804" t="s">
        <v>682</v>
      </c>
      <c r="C3804" t="s">
        <v>741</v>
      </c>
      <c r="D3804">
        <v>0</v>
      </c>
      <c r="E3804">
        <v>0</v>
      </c>
      <c r="F3804">
        <v>0</v>
      </c>
    </row>
    <row r="3805" spans="1:6" x14ac:dyDescent="0.25">
      <c r="A3805" s="1">
        <v>45047</v>
      </c>
      <c r="B3805" t="s">
        <v>272</v>
      </c>
      <c r="C3805" t="s">
        <v>537</v>
      </c>
      <c r="D3805" s="2">
        <v>10000</v>
      </c>
      <c r="E3805" s="2">
        <v>8826.74</v>
      </c>
      <c r="F3805" s="2">
        <v>8826.74</v>
      </c>
    </row>
    <row r="3806" spans="1:6" x14ac:dyDescent="0.25">
      <c r="A3806" s="1">
        <v>45047</v>
      </c>
      <c r="B3806" t="s">
        <v>21</v>
      </c>
      <c r="C3806" t="s">
        <v>526</v>
      </c>
      <c r="D3806" s="2">
        <v>10088135.49</v>
      </c>
      <c r="E3806" s="2">
        <v>2812592.85</v>
      </c>
      <c r="F3806" s="2">
        <v>9745.69</v>
      </c>
    </row>
    <row r="3807" spans="1:6" x14ac:dyDescent="0.25">
      <c r="A3807" s="1">
        <v>45047</v>
      </c>
      <c r="B3807" t="s">
        <v>21</v>
      </c>
      <c r="C3807" t="s">
        <v>431</v>
      </c>
      <c r="D3807" s="2">
        <v>500000</v>
      </c>
      <c r="E3807" s="2">
        <v>1689678.02</v>
      </c>
      <c r="F3807" s="2">
        <v>1689678.02</v>
      </c>
    </row>
    <row r="3808" spans="1:6" x14ac:dyDescent="0.25">
      <c r="A3808" s="1">
        <v>45047</v>
      </c>
      <c r="B3808" t="s">
        <v>309</v>
      </c>
      <c r="C3808" t="s">
        <v>645</v>
      </c>
      <c r="D3808">
        <v>0</v>
      </c>
      <c r="E3808">
        <v>0</v>
      </c>
      <c r="F3808">
        <v>0</v>
      </c>
    </row>
    <row r="3809" spans="1:6" x14ac:dyDescent="0.25">
      <c r="A3809" s="1">
        <v>45047</v>
      </c>
      <c r="B3809" t="s">
        <v>81</v>
      </c>
      <c r="C3809" t="s">
        <v>358</v>
      </c>
      <c r="D3809">
        <v>0</v>
      </c>
      <c r="E3809">
        <v>0</v>
      </c>
      <c r="F3809">
        <v>0</v>
      </c>
    </row>
    <row r="3810" spans="1:6" x14ac:dyDescent="0.25">
      <c r="A3810" s="1">
        <v>45047</v>
      </c>
      <c r="B3810" t="s">
        <v>9</v>
      </c>
      <c r="C3810" t="s">
        <v>667</v>
      </c>
      <c r="D3810" s="2">
        <v>63528</v>
      </c>
      <c r="E3810" s="2">
        <v>55125.2</v>
      </c>
      <c r="F3810" s="2">
        <v>44140.2</v>
      </c>
    </row>
    <row r="3811" spans="1:6" x14ac:dyDescent="0.25">
      <c r="A3811" s="1">
        <v>45047</v>
      </c>
      <c r="B3811" t="s">
        <v>402</v>
      </c>
      <c r="C3811" t="s">
        <v>1096</v>
      </c>
      <c r="D3811">
        <v>0</v>
      </c>
      <c r="E3811">
        <v>0</v>
      </c>
      <c r="F3811">
        <v>0</v>
      </c>
    </row>
    <row r="3812" spans="1:6" x14ac:dyDescent="0.25">
      <c r="A3812" s="1">
        <v>45047</v>
      </c>
      <c r="B3812" t="s">
        <v>458</v>
      </c>
      <c r="C3812" t="s">
        <v>30</v>
      </c>
      <c r="D3812">
        <v>0</v>
      </c>
      <c r="E3812">
        <v>0</v>
      </c>
      <c r="F3812">
        <v>0</v>
      </c>
    </row>
    <row r="3813" spans="1:6" x14ac:dyDescent="0.25">
      <c r="A3813" s="1">
        <v>45047</v>
      </c>
      <c r="B3813" t="s">
        <v>272</v>
      </c>
      <c r="C3813" t="s">
        <v>273</v>
      </c>
      <c r="D3813" s="2">
        <v>164676.94</v>
      </c>
      <c r="E3813" s="2">
        <v>128661.7</v>
      </c>
      <c r="F3813" s="2">
        <v>122061.7</v>
      </c>
    </row>
    <row r="3814" spans="1:6" x14ac:dyDescent="0.25">
      <c r="A3814" s="1">
        <v>45047</v>
      </c>
      <c r="B3814" t="s">
        <v>37</v>
      </c>
      <c r="C3814" t="s">
        <v>88</v>
      </c>
      <c r="D3814">
        <v>0</v>
      </c>
      <c r="E3814">
        <v>0</v>
      </c>
      <c r="F3814">
        <v>0</v>
      </c>
    </row>
    <row r="3815" spans="1:6" x14ac:dyDescent="0.25">
      <c r="A3815" s="1">
        <v>45047</v>
      </c>
      <c r="B3815" t="s">
        <v>98</v>
      </c>
      <c r="C3815" t="s">
        <v>1218</v>
      </c>
      <c r="D3815">
        <v>0</v>
      </c>
      <c r="E3815">
        <v>0</v>
      </c>
      <c r="F3815">
        <v>0</v>
      </c>
    </row>
    <row r="3816" spans="1:6" x14ac:dyDescent="0.25">
      <c r="A3816" s="1">
        <v>45047</v>
      </c>
      <c r="B3816" t="s">
        <v>21</v>
      </c>
      <c r="C3816" t="s">
        <v>958</v>
      </c>
      <c r="D3816">
        <v>0</v>
      </c>
      <c r="E3816" s="2">
        <v>13590.85</v>
      </c>
      <c r="F3816">
        <v>0</v>
      </c>
    </row>
    <row r="3817" spans="1:6" x14ac:dyDescent="0.25">
      <c r="A3817" s="1">
        <v>45047</v>
      </c>
      <c r="B3817" t="s">
        <v>278</v>
      </c>
      <c r="C3817" t="s">
        <v>481</v>
      </c>
      <c r="D3817" s="2">
        <v>185399005.40000001</v>
      </c>
      <c r="E3817" s="2">
        <v>113875847.7</v>
      </c>
      <c r="F3817" s="2">
        <v>113875847.7</v>
      </c>
    </row>
    <row r="3818" spans="1:6" x14ac:dyDescent="0.25">
      <c r="A3818" s="1">
        <v>45047</v>
      </c>
      <c r="B3818" t="s">
        <v>288</v>
      </c>
      <c r="C3818" t="s">
        <v>521</v>
      </c>
      <c r="D3818">
        <v>0</v>
      </c>
      <c r="E3818">
        <v>0</v>
      </c>
      <c r="F3818">
        <v>0</v>
      </c>
    </row>
    <row r="3819" spans="1:6" x14ac:dyDescent="0.25">
      <c r="A3819" s="1">
        <v>45047</v>
      </c>
      <c r="B3819" t="s">
        <v>648</v>
      </c>
      <c r="C3819" t="s">
        <v>1219</v>
      </c>
      <c r="D3819" s="2">
        <v>54076531.729999997</v>
      </c>
      <c r="E3819">
        <v>0</v>
      </c>
      <c r="F3819">
        <v>0</v>
      </c>
    </row>
    <row r="3820" spans="1:6" x14ac:dyDescent="0.25">
      <c r="A3820" s="1">
        <v>45047</v>
      </c>
      <c r="B3820" t="s">
        <v>682</v>
      </c>
      <c r="C3820" t="s">
        <v>866</v>
      </c>
      <c r="D3820" s="2">
        <v>155802.76</v>
      </c>
      <c r="E3820" s="2">
        <v>35042.400000000001</v>
      </c>
      <c r="F3820" s="2">
        <v>35042.400000000001</v>
      </c>
    </row>
    <row r="3821" spans="1:6" x14ac:dyDescent="0.25">
      <c r="A3821" s="1">
        <v>45047</v>
      </c>
      <c r="B3821" t="s">
        <v>185</v>
      </c>
      <c r="C3821" t="s">
        <v>863</v>
      </c>
      <c r="D3821" s="2">
        <v>18083649.25</v>
      </c>
      <c r="E3821" s="2">
        <v>40245748.960000001</v>
      </c>
      <c r="F3821" s="2">
        <v>39358662.210000001</v>
      </c>
    </row>
    <row r="3822" spans="1:6" x14ac:dyDescent="0.25">
      <c r="A3822" s="1">
        <v>45047</v>
      </c>
      <c r="B3822" t="s">
        <v>23</v>
      </c>
      <c r="C3822" t="s">
        <v>117</v>
      </c>
      <c r="D3822" s="2">
        <v>234541.91</v>
      </c>
      <c r="E3822" s="2">
        <v>460650.38</v>
      </c>
      <c r="F3822" s="2">
        <v>328048.34999999998</v>
      </c>
    </row>
    <row r="3823" spans="1:6" x14ac:dyDescent="0.25">
      <c r="A3823" s="1">
        <v>45047</v>
      </c>
      <c r="B3823" t="s">
        <v>132</v>
      </c>
      <c r="C3823" t="s">
        <v>589</v>
      </c>
      <c r="D3823">
        <v>0</v>
      </c>
      <c r="E3823">
        <v>0</v>
      </c>
      <c r="F3823">
        <v>0</v>
      </c>
    </row>
    <row r="3824" spans="1:6" x14ac:dyDescent="0.25">
      <c r="A3824" s="1">
        <v>45047</v>
      </c>
      <c r="B3824" t="s">
        <v>234</v>
      </c>
      <c r="C3824" t="s">
        <v>771</v>
      </c>
      <c r="D3824" s="2">
        <v>13297179.07</v>
      </c>
      <c r="E3824">
        <v>0</v>
      </c>
      <c r="F3824">
        <v>0</v>
      </c>
    </row>
    <row r="3825" spans="1:6" x14ac:dyDescent="0.25">
      <c r="A3825" s="1">
        <v>45047</v>
      </c>
      <c r="B3825" t="s">
        <v>23</v>
      </c>
      <c r="C3825" t="s">
        <v>1220</v>
      </c>
      <c r="D3825" s="2">
        <v>1546729</v>
      </c>
      <c r="E3825">
        <v>0</v>
      </c>
      <c r="F3825">
        <v>0</v>
      </c>
    </row>
    <row r="3826" spans="1:6" x14ac:dyDescent="0.25">
      <c r="A3826" s="1">
        <v>45047</v>
      </c>
      <c r="B3826" t="s">
        <v>100</v>
      </c>
      <c r="C3826" t="s">
        <v>72</v>
      </c>
      <c r="D3826">
        <v>0</v>
      </c>
      <c r="E3826">
        <v>0</v>
      </c>
      <c r="F3826">
        <v>0</v>
      </c>
    </row>
    <row r="3827" spans="1:6" x14ac:dyDescent="0.25">
      <c r="A3827" s="1">
        <v>45047</v>
      </c>
      <c r="B3827" t="s">
        <v>21</v>
      </c>
      <c r="C3827" t="s">
        <v>1026</v>
      </c>
      <c r="D3827">
        <v>0</v>
      </c>
      <c r="E3827">
        <v>0</v>
      </c>
      <c r="F3827">
        <v>0</v>
      </c>
    </row>
    <row r="3828" spans="1:6" x14ac:dyDescent="0.25">
      <c r="A3828" s="1">
        <v>45047</v>
      </c>
      <c r="B3828" t="s">
        <v>50</v>
      </c>
      <c r="C3828" t="s">
        <v>1221</v>
      </c>
      <c r="D3828">
        <v>0</v>
      </c>
      <c r="E3828">
        <v>0</v>
      </c>
      <c r="F3828">
        <v>0</v>
      </c>
    </row>
    <row r="3829" spans="1:6" x14ac:dyDescent="0.25">
      <c r="A3829" s="1">
        <v>45047</v>
      </c>
      <c r="B3829" t="s">
        <v>40</v>
      </c>
      <c r="C3829" t="s">
        <v>815</v>
      </c>
      <c r="D3829" s="2">
        <v>85979.65</v>
      </c>
      <c r="E3829" s="2">
        <v>49296.78</v>
      </c>
      <c r="F3829" s="2">
        <v>49296.78</v>
      </c>
    </row>
    <row r="3830" spans="1:6" x14ac:dyDescent="0.25">
      <c r="A3830" s="1">
        <v>45047</v>
      </c>
      <c r="B3830" t="s">
        <v>19</v>
      </c>
      <c r="C3830" t="s">
        <v>733</v>
      </c>
      <c r="D3830">
        <v>0</v>
      </c>
      <c r="E3830" s="2">
        <v>1456.06</v>
      </c>
      <c r="F3830" s="2">
        <v>1588.85</v>
      </c>
    </row>
    <row r="3831" spans="1:6" x14ac:dyDescent="0.25">
      <c r="A3831" s="1">
        <v>45047</v>
      </c>
      <c r="B3831" t="s">
        <v>46</v>
      </c>
      <c r="C3831" t="s">
        <v>47</v>
      </c>
      <c r="D3831" s="2">
        <v>1201666.6599999999</v>
      </c>
      <c r="E3831" s="2">
        <v>1201666.6599999999</v>
      </c>
      <c r="F3831" s="2">
        <v>1201666.6599999999</v>
      </c>
    </row>
    <row r="3832" spans="1:6" x14ac:dyDescent="0.25">
      <c r="A3832" s="1">
        <v>45047</v>
      </c>
      <c r="B3832" t="s">
        <v>132</v>
      </c>
      <c r="C3832" t="s">
        <v>1184</v>
      </c>
      <c r="D3832">
        <v>0</v>
      </c>
      <c r="E3832" s="2">
        <v>132859</v>
      </c>
      <c r="F3832" s="2">
        <v>159241.10999999999</v>
      </c>
    </row>
    <row r="3833" spans="1:6" x14ac:dyDescent="0.25">
      <c r="A3833" s="1">
        <v>45047</v>
      </c>
      <c r="B3833" t="s">
        <v>98</v>
      </c>
      <c r="C3833" t="s">
        <v>1000</v>
      </c>
      <c r="D3833">
        <v>0</v>
      </c>
      <c r="E3833">
        <v>0</v>
      </c>
      <c r="F3833">
        <v>0</v>
      </c>
    </row>
    <row r="3834" spans="1:6" x14ac:dyDescent="0.25">
      <c r="A3834" s="1">
        <v>45047</v>
      </c>
      <c r="B3834" t="s">
        <v>21</v>
      </c>
      <c r="C3834" t="s">
        <v>202</v>
      </c>
      <c r="D3834" s="2">
        <v>15092595.210000001</v>
      </c>
      <c r="E3834">
        <v>0</v>
      </c>
      <c r="F3834">
        <v>0</v>
      </c>
    </row>
    <row r="3835" spans="1:6" x14ac:dyDescent="0.25">
      <c r="A3835" s="1">
        <v>45047</v>
      </c>
      <c r="B3835" t="s">
        <v>79</v>
      </c>
      <c r="C3835" t="s">
        <v>80</v>
      </c>
      <c r="D3835">
        <v>0</v>
      </c>
      <c r="E3835">
        <v>0</v>
      </c>
      <c r="F3835">
        <v>0</v>
      </c>
    </row>
    <row r="3836" spans="1:6" x14ac:dyDescent="0.25">
      <c r="A3836" s="1">
        <v>45047</v>
      </c>
      <c r="B3836" t="s">
        <v>90</v>
      </c>
      <c r="C3836" t="s">
        <v>158</v>
      </c>
      <c r="D3836" s="2">
        <v>110000</v>
      </c>
      <c r="E3836" s="2">
        <v>2346.91</v>
      </c>
      <c r="F3836" s="2">
        <v>3369.92</v>
      </c>
    </row>
    <row r="3837" spans="1:6" x14ac:dyDescent="0.25">
      <c r="A3837" s="1">
        <v>45047</v>
      </c>
      <c r="B3837" t="s">
        <v>46</v>
      </c>
      <c r="C3837" t="s">
        <v>241</v>
      </c>
      <c r="D3837" s="2">
        <v>5767235.3899999997</v>
      </c>
      <c r="E3837" s="2">
        <v>5098483.99</v>
      </c>
      <c r="F3837" s="2">
        <v>5070667.6100000003</v>
      </c>
    </row>
    <row r="3838" spans="1:6" x14ac:dyDescent="0.25">
      <c r="A3838" s="1">
        <v>45047</v>
      </c>
      <c r="B3838" t="s">
        <v>21</v>
      </c>
      <c r="C3838" t="s">
        <v>1222</v>
      </c>
      <c r="D3838" s="2">
        <v>1024549</v>
      </c>
      <c r="E3838">
        <v>0</v>
      </c>
      <c r="F3838">
        <v>0</v>
      </c>
    </row>
    <row r="3839" spans="1:6" x14ac:dyDescent="0.25">
      <c r="A3839" s="1">
        <v>45047</v>
      </c>
      <c r="B3839" t="s">
        <v>821</v>
      </c>
      <c r="C3839" t="s">
        <v>965</v>
      </c>
      <c r="D3839">
        <v>0</v>
      </c>
      <c r="E3839">
        <v>0</v>
      </c>
      <c r="F3839">
        <v>0</v>
      </c>
    </row>
    <row r="3840" spans="1:6" x14ac:dyDescent="0.25">
      <c r="A3840" s="1">
        <v>45047</v>
      </c>
      <c r="B3840" t="s">
        <v>17</v>
      </c>
      <c r="C3840" t="s">
        <v>18</v>
      </c>
      <c r="D3840" s="2">
        <v>21759971.829999998</v>
      </c>
      <c r="E3840" s="2">
        <v>21759971.829999998</v>
      </c>
      <c r="F3840" s="2">
        <v>21759971.829999998</v>
      </c>
    </row>
    <row r="3841" spans="1:6" x14ac:dyDescent="0.25">
      <c r="A3841" s="1">
        <v>45047</v>
      </c>
      <c r="B3841" t="s">
        <v>50</v>
      </c>
      <c r="C3841" t="s">
        <v>1010</v>
      </c>
      <c r="D3841" s="2">
        <v>400000</v>
      </c>
      <c r="E3841">
        <v>0</v>
      </c>
      <c r="F3841">
        <v>0</v>
      </c>
    </row>
    <row r="3842" spans="1:6" x14ac:dyDescent="0.25">
      <c r="A3842" s="1">
        <v>45047</v>
      </c>
      <c r="B3842" t="s">
        <v>162</v>
      </c>
      <c r="C3842" t="s">
        <v>178</v>
      </c>
      <c r="D3842" s="2">
        <v>110220327.48999999</v>
      </c>
      <c r="E3842" s="2">
        <v>110245818.73999999</v>
      </c>
      <c r="F3842" s="2">
        <v>110245818.73999999</v>
      </c>
    </row>
    <row r="3843" spans="1:6" x14ac:dyDescent="0.25">
      <c r="A3843" s="1">
        <v>45047</v>
      </c>
      <c r="B3843" t="s">
        <v>40</v>
      </c>
      <c r="C3843" t="s">
        <v>455</v>
      </c>
      <c r="D3843" s="2">
        <v>2000000</v>
      </c>
      <c r="E3843" s="2">
        <v>1800000</v>
      </c>
      <c r="F3843" s="2">
        <v>1800000</v>
      </c>
    </row>
    <row r="3844" spans="1:6" x14ac:dyDescent="0.25">
      <c r="A3844" s="1">
        <v>45047</v>
      </c>
      <c r="B3844" t="s">
        <v>405</v>
      </c>
      <c r="C3844" t="s">
        <v>72</v>
      </c>
      <c r="D3844">
        <v>0</v>
      </c>
      <c r="E3844">
        <v>0</v>
      </c>
      <c r="F3844">
        <v>0</v>
      </c>
    </row>
    <row r="3845" spans="1:6" x14ac:dyDescent="0.25">
      <c r="A3845" s="1">
        <v>45047</v>
      </c>
      <c r="B3845" t="s">
        <v>40</v>
      </c>
      <c r="C3845" t="s">
        <v>931</v>
      </c>
      <c r="D3845">
        <v>0</v>
      </c>
      <c r="E3845" s="2">
        <v>101648.7</v>
      </c>
      <c r="F3845" s="2">
        <v>95579.49</v>
      </c>
    </row>
    <row r="3846" spans="1:6" x14ac:dyDescent="0.25">
      <c r="A3846" s="1">
        <v>45047</v>
      </c>
      <c r="B3846" t="s">
        <v>31</v>
      </c>
      <c r="C3846" t="s">
        <v>925</v>
      </c>
      <c r="D3846" s="2">
        <v>120000</v>
      </c>
      <c r="E3846" s="2">
        <v>81561.77</v>
      </c>
      <c r="F3846" s="2">
        <v>86625.52</v>
      </c>
    </row>
    <row r="3847" spans="1:6" x14ac:dyDescent="0.25">
      <c r="A3847" s="1">
        <v>45047</v>
      </c>
      <c r="B3847" t="s">
        <v>405</v>
      </c>
      <c r="C3847" t="s">
        <v>839</v>
      </c>
      <c r="D3847">
        <v>0</v>
      </c>
      <c r="E3847">
        <v>0</v>
      </c>
      <c r="F3847">
        <v>0</v>
      </c>
    </row>
    <row r="3848" spans="1:6" x14ac:dyDescent="0.25">
      <c r="A3848" s="1">
        <v>45047</v>
      </c>
      <c r="B3848" t="s">
        <v>50</v>
      </c>
      <c r="C3848" t="s">
        <v>287</v>
      </c>
      <c r="D3848" s="2">
        <v>20797.96</v>
      </c>
      <c r="E3848" s="2">
        <v>20375.79</v>
      </c>
      <c r="F3848" s="2">
        <v>11125.19</v>
      </c>
    </row>
    <row r="3849" spans="1:6" x14ac:dyDescent="0.25">
      <c r="A3849" s="1">
        <v>45047</v>
      </c>
      <c r="B3849" t="s">
        <v>1223</v>
      </c>
      <c r="C3849" t="s">
        <v>770</v>
      </c>
      <c r="D3849">
        <v>0</v>
      </c>
      <c r="E3849">
        <v>0</v>
      </c>
      <c r="F3849">
        <v>0</v>
      </c>
    </row>
    <row r="3850" spans="1:6" x14ac:dyDescent="0.25">
      <c r="A3850" s="1">
        <v>45047</v>
      </c>
      <c r="B3850" t="s">
        <v>107</v>
      </c>
      <c r="C3850" t="s">
        <v>239</v>
      </c>
      <c r="D3850" s="2">
        <v>91000000</v>
      </c>
      <c r="E3850" s="2">
        <v>11601240.300000001</v>
      </c>
      <c r="F3850" s="2">
        <v>11601240.300000001</v>
      </c>
    </row>
    <row r="3851" spans="1:6" x14ac:dyDescent="0.25">
      <c r="A3851" s="1">
        <v>45047</v>
      </c>
      <c r="B3851" t="s">
        <v>21</v>
      </c>
      <c r="C3851" t="s">
        <v>591</v>
      </c>
      <c r="D3851">
        <v>0</v>
      </c>
      <c r="E3851" s="2">
        <v>2014158.81</v>
      </c>
      <c r="F3851" s="2">
        <v>2014158.81</v>
      </c>
    </row>
    <row r="3852" spans="1:6" x14ac:dyDescent="0.25">
      <c r="A3852" s="1">
        <v>45047</v>
      </c>
      <c r="B3852" t="s">
        <v>278</v>
      </c>
      <c r="C3852" t="s">
        <v>900</v>
      </c>
      <c r="D3852">
        <v>0</v>
      </c>
      <c r="E3852" s="2">
        <v>158760.64000000001</v>
      </c>
      <c r="F3852" s="2">
        <v>156866.78</v>
      </c>
    </row>
    <row r="3853" spans="1:6" x14ac:dyDescent="0.25">
      <c r="A3853" s="1">
        <v>45047</v>
      </c>
      <c r="B3853" t="s">
        <v>1158</v>
      </c>
      <c r="C3853" t="s">
        <v>1159</v>
      </c>
      <c r="D3853">
        <v>0</v>
      </c>
      <c r="E3853">
        <v>0</v>
      </c>
      <c r="F3853">
        <v>0</v>
      </c>
    </row>
    <row r="3854" spans="1:6" x14ac:dyDescent="0.25">
      <c r="A3854" s="1">
        <v>45047</v>
      </c>
      <c r="B3854" t="s">
        <v>344</v>
      </c>
      <c r="C3854" t="s">
        <v>1202</v>
      </c>
      <c r="D3854" s="2">
        <v>3714.19</v>
      </c>
      <c r="E3854" s="2">
        <v>29061.88</v>
      </c>
      <c r="F3854" s="2">
        <v>29061.88</v>
      </c>
    </row>
    <row r="3855" spans="1:6" x14ac:dyDescent="0.25">
      <c r="A3855" s="1">
        <v>45047</v>
      </c>
      <c r="B3855" t="s">
        <v>50</v>
      </c>
      <c r="C3855" t="s">
        <v>938</v>
      </c>
      <c r="D3855">
        <v>0</v>
      </c>
      <c r="E3855">
        <v>0</v>
      </c>
      <c r="F3855">
        <v>0</v>
      </c>
    </row>
    <row r="3856" spans="1:6" x14ac:dyDescent="0.25">
      <c r="A3856" s="1">
        <v>45047</v>
      </c>
      <c r="B3856" t="s">
        <v>81</v>
      </c>
      <c r="C3856" t="s">
        <v>1199</v>
      </c>
      <c r="D3856">
        <v>0</v>
      </c>
      <c r="E3856">
        <v>0</v>
      </c>
      <c r="F3856">
        <v>0</v>
      </c>
    </row>
    <row r="3857" spans="1:6" x14ac:dyDescent="0.25">
      <c r="A3857" s="1">
        <v>45047</v>
      </c>
      <c r="B3857" t="s">
        <v>48</v>
      </c>
      <c r="C3857" t="s">
        <v>1149</v>
      </c>
      <c r="D3857" s="2">
        <v>-247378.02</v>
      </c>
      <c r="E3857">
        <v>0</v>
      </c>
      <c r="F3857">
        <v>0</v>
      </c>
    </row>
    <row r="3858" spans="1:6" x14ac:dyDescent="0.25">
      <c r="A3858" s="1">
        <v>45047</v>
      </c>
      <c r="B3858" t="s">
        <v>118</v>
      </c>
      <c r="C3858" t="s">
        <v>971</v>
      </c>
      <c r="D3858">
        <v>0</v>
      </c>
      <c r="E3858">
        <v>0</v>
      </c>
      <c r="F3858">
        <v>0</v>
      </c>
    </row>
    <row r="3859" spans="1:6" x14ac:dyDescent="0.25">
      <c r="A3859" s="1">
        <v>45047</v>
      </c>
      <c r="B3859" t="s">
        <v>263</v>
      </c>
      <c r="C3859" t="s">
        <v>264</v>
      </c>
      <c r="D3859" s="2">
        <v>5452099.8899999997</v>
      </c>
      <c r="E3859" s="2">
        <v>7784212.75</v>
      </c>
      <c r="F3859" s="2">
        <v>8468280.9399999995</v>
      </c>
    </row>
    <row r="3860" spans="1:6" x14ac:dyDescent="0.25">
      <c r="A3860" s="1">
        <v>45047</v>
      </c>
      <c r="B3860" t="s">
        <v>11</v>
      </c>
      <c r="C3860" t="s">
        <v>794</v>
      </c>
      <c r="D3860" s="2">
        <v>43169923.100000001</v>
      </c>
      <c r="E3860" s="2">
        <v>43120990.880000003</v>
      </c>
      <c r="F3860" s="2">
        <v>42920484.75</v>
      </c>
    </row>
    <row r="3861" spans="1:6" x14ac:dyDescent="0.25">
      <c r="A3861" s="1">
        <v>45047</v>
      </c>
      <c r="B3861" t="s">
        <v>296</v>
      </c>
      <c r="C3861" t="s">
        <v>997</v>
      </c>
      <c r="D3861" s="2">
        <v>1080000</v>
      </c>
      <c r="E3861">
        <v>0</v>
      </c>
      <c r="F3861">
        <v>0</v>
      </c>
    </row>
    <row r="3862" spans="1:6" x14ac:dyDescent="0.25">
      <c r="A3862" s="1">
        <v>45047</v>
      </c>
      <c r="B3862" t="s">
        <v>29</v>
      </c>
      <c r="C3862" t="s">
        <v>631</v>
      </c>
      <c r="D3862" s="2">
        <v>301902.45</v>
      </c>
      <c r="E3862" s="2">
        <v>303430.8</v>
      </c>
      <c r="F3862" s="2">
        <v>303430.8</v>
      </c>
    </row>
    <row r="3863" spans="1:6" x14ac:dyDescent="0.25">
      <c r="A3863" s="1">
        <v>45047</v>
      </c>
      <c r="B3863" t="s">
        <v>21</v>
      </c>
      <c r="C3863" t="s">
        <v>184</v>
      </c>
      <c r="D3863" s="2">
        <v>1067974.1100000001</v>
      </c>
      <c r="E3863">
        <v>0</v>
      </c>
      <c r="F3863">
        <v>0</v>
      </c>
    </row>
    <row r="3864" spans="1:6" x14ac:dyDescent="0.25">
      <c r="A3864" s="1">
        <v>45047</v>
      </c>
      <c r="B3864" t="s">
        <v>98</v>
      </c>
      <c r="C3864" t="s">
        <v>589</v>
      </c>
      <c r="D3864">
        <v>0</v>
      </c>
      <c r="E3864">
        <v>0</v>
      </c>
      <c r="F3864">
        <v>0</v>
      </c>
    </row>
    <row r="3865" spans="1:6" x14ac:dyDescent="0.25">
      <c r="A3865" s="1">
        <v>45047</v>
      </c>
      <c r="B3865" t="s">
        <v>17</v>
      </c>
      <c r="C3865" t="s">
        <v>303</v>
      </c>
      <c r="D3865" s="2">
        <v>50830157.5</v>
      </c>
      <c r="E3865" s="2">
        <v>73903647.709999993</v>
      </c>
      <c r="F3865" s="2">
        <v>54707759.219999999</v>
      </c>
    </row>
    <row r="3866" spans="1:6" x14ac:dyDescent="0.25">
      <c r="A3866" s="1">
        <v>45047</v>
      </c>
      <c r="B3866" t="s">
        <v>21</v>
      </c>
      <c r="C3866" t="s">
        <v>1224</v>
      </c>
      <c r="D3866" s="2">
        <v>10008555.26</v>
      </c>
      <c r="E3866">
        <v>0</v>
      </c>
      <c r="F3866">
        <v>0</v>
      </c>
    </row>
    <row r="3867" spans="1:6" x14ac:dyDescent="0.25">
      <c r="A3867" s="1">
        <v>45047</v>
      </c>
      <c r="B3867" t="s">
        <v>53</v>
      </c>
      <c r="C3867" t="s">
        <v>54</v>
      </c>
      <c r="D3867" s="2">
        <v>-1436803433.72</v>
      </c>
      <c r="E3867" s="2">
        <v>414630079.50999999</v>
      </c>
      <c r="F3867" s="2">
        <v>414630079.50999999</v>
      </c>
    </row>
    <row r="3868" spans="1:6" x14ac:dyDescent="0.25">
      <c r="A3868" s="1">
        <v>45047</v>
      </c>
      <c r="B3868" t="s">
        <v>21</v>
      </c>
      <c r="C3868" t="s">
        <v>1102</v>
      </c>
      <c r="D3868">
        <v>0</v>
      </c>
      <c r="E3868">
        <v>0</v>
      </c>
      <c r="F3868">
        <v>0</v>
      </c>
    </row>
    <row r="3869" spans="1:6" x14ac:dyDescent="0.25">
      <c r="A3869" s="1">
        <v>45047</v>
      </c>
      <c r="B3869" t="s">
        <v>40</v>
      </c>
      <c r="C3869" t="s">
        <v>129</v>
      </c>
      <c r="D3869">
        <v>0</v>
      </c>
      <c r="E3869" s="2">
        <v>1511380.29</v>
      </c>
      <c r="F3869" s="2">
        <v>40643.339999999997</v>
      </c>
    </row>
    <row r="3870" spans="1:6" x14ac:dyDescent="0.25">
      <c r="A3870" s="1">
        <v>45047</v>
      </c>
      <c r="B3870" t="s">
        <v>490</v>
      </c>
      <c r="C3870" t="s">
        <v>512</v>
      </c>
      <c r="D3870" s="2">
        <v>59408409.25</v>
      </c>
      <c r="E3870" s="2">
        <v>5586459.4800000004</v>
      </c>
      <c r="F3870" s="2">
        <v>5625544.8799999999</v>
      </c>
    </row>
    <row r="3871" spans="1:6" x14ac:dyDescent="0.25">
      <c r="A3871" s="1">
        <v>45047</v>
      </c>
      <c r="B3871" t="s">
        <v>1225</v>
      </c>
      <c r="C3871" t="s">
        <v>1139</v>
      </c>
      <c r="D3871">
        <v>0</v>
      </c>
      <c r="E3871">
        <v>0</v>
      </c>
      <c r="F3871">
        <v>0</v>
      </c>
    </row>
    <row r="3872" spans="1:6" x14ac:dyDescent="0.25">
      <c r="A3872" s="1">
        <v>45047</v>
      </c>
      <c r="B3872" t="s">
        <v>125</v>
      </c>
      <c r="C3872" t="s">
        <v>126</v>
      </c>
      <c r="D3872" s="2">
        <v>29404.42</v>
      </c>
      <c r="E3872" s="2">
        <v>29404.42</v>
      </c>
      <c r="F3872" s="2">
        <v>29404.42</v>
      </c>
    </row>
    <row r="3873" spans="1:6" x14ac:dyDescent="0.25">
      <c r="A3873" s="1">
        <v>45047</v>
      </c>
      <c r="B3873" t="s">
        <v>288</v>
      </c>
      <c r="C3873" t="s">
        <v>289</v>
      </c>
      <c r="D3873">
        <v>0</v>
      </c>
      <c r="E3873">
        <v>0</v>
      </c>
      <c r="F3873" s="2">
        <v>1350</v>
      </c>
    </row>
    <row r="3874" spans="1:6" x14ac:dyDescent="0.25">
      <c r="A3874" s="1">
        <v>45047</v>
      </c>
      <c r="B3874" t="s">
        <v>19</v>
      </c>
      <c r="C3874" t="s">
        <v>699</v>
      </c>
      <c r="D3874" s="2">
        <v>30000</v>
      </c>
      <c r="E3874" s="2">
        <v>1194137.8799999999</v>
      </c>
      <c r="F3874" s="2">
        <v>1194137.8799999999</v>
      </c>
    </row>
    <row r="3875" spans="1:6" x14ac:dyDescent="0.25">
      <c r="A3875" s="1">
        <v>45047</v>
      </c>
      <c r="B3875" t="s">
        <v>11</v>
      </c>
      <c r="C3875" t="s">
        <v>59</v>
      </c>
      <c r="D3875">
        <v>0</v>
      </c>
      <c r="E3875" s="2">
        <v>338593916.89999998</v>
      </c>
      <c r="F3875" s="2">
        <v>338593916.89999998</v>
      </c>
    </row>
    <row r="3876" spans="1:6" x14ac:dyDescent="0.25">
      <c r="A3876" s="1">
        <v>45047</v>
      </c>
      <c r="B3876" t="s">
        <v>37</v>
      </c>
      <c r="C3876" t="s">
        <v>349</v>
      </c>
      <c r="D3876">
        <v>0</v>
      </c>
      <c r="E3876" s="2">
        <v>3898905.09</v>
      </c>
      <c r="F3876" s="2">
        <v>3898905.09</v>
      </c>
    </row>
    <row r="3877" spans="1:6" x14ac:dyDescent="0.25">
      <c r="A3877" s="1">
        <v>45047</v>
      </c>
      <c r="B3877" t="s">
        <v>11</v>
      </c>
      <c r="C3877" t="s">
        <v>83</v>
      </c>
      <c r="D3877" s="2">
        <v>8490233436</v>
      </c>
      <c r="E3877" s="2">
        <v>12438902533.799999</v>
      </c>
      <c r="F3877" s="2">
        <v>12438902533.799999</v>
      </c>
    </row>
    <row r="3878" spans="1:6" x14ac:dyDescent="0.25">
      <c r="A3878" s="1">
        <v>45047</v>
      </c>
      <c r="B3878" t="s">
        <v>77</v>
      </c>
      <c r="C3878" t="s">
        <v>78</v>
      </c>
      <c r="D3878">
        <v>0</v>
      </c>
      <c r="E3878">
        <v>0</v>
      </c>
      <c r="F3878">
        <v>0</v>
      </c>
    </row>
    <row r="3879" spans="1:6" x14ac:dyDescent="0.25">
      <c r="A3879" s="1">
        <v>45047</v>
      </c>
      <c r="B3879" t="s">
        <v>7</v>
      </c>
      <c r="C3879" t="s">
        <v>124</v>
      </c>
      <c r="D3879" s="2">
        <v>290000000</v>
      </c>
      <c r="E3879" s="2">
        <v>2409136.19</v>
      </c>
      <c r="F3879" s="2">
        <v>2409136.19</v>
      </c>
    </row>
    <row r="3880" spans="1:6" x14ac:dyDescent="0.25">
      <c r="A3880" s="1">
        <v>45047</v>
      </c>
      <c r="B3880" t="s">
        <v>17</v>
      </c>
      <c r="C3880" t="s">
        <v>930</v>
      </c>
      <c r="D3880" s="2">
        <v>7299024.5999999996</v>
      </c>
      <c r="E3880" s="2">
        <v>404963.22</v>
      </c>
      <c r="F3880" s="2">
        <v>945339.83</v>
      </c>
    </row>
    <row r="3881" spans="1:6" x14ac:dyDescent="0.25">
      <c r="A3881" s="1">
        <v>45047</v>
      </c>
      <c r="B3881" t="s">
        <v>37</v>
      </c>
      <c r="C3881" t="s">
        <v>208</v>
      </c>
      <c r="D3881" s="2">
        <v>17000000</v>
      </c>
      <c r="E3881" s="2">
        <v>126891892.23999999</v>
      </c>
      <c r="F3881" s="2">
        <v>126891892.23999999</v>
      </c>
    </row>
    <row r="3882" spans="1:6" x14ac:dyDescent="0.25">
      <c r="A3882" s="1">
        <v>45047</v>
      </c>
      <c r="B3882" t="s">
        <v>31</v>
      </c>
      <c r="C3882" t="s">
        <v>558</v>
      </c>
      <c r="D3882">
        <v>0</v>
      </c>
      <c r="E3882">
        <v>0</v>
      </c>
      <c r="F3882">
        <v>0</v>
      </c>
    </row>
    <row r="3883" spans="1:6" x14ac:dyDescent="0.25">
      <c r="A3883" s="1">
        <v>45047</v>
      </c>
      <c r="B3883" t="s">
        <v>29</v>
      </c>
      <c r="C3883" t="s">
        <v>292</v>
      </c>
      <c r="D3883" s="2">
        <v>742114.35</v>
      </c>
      <c r="E3883" s="2">
        <v>5742944.3499999996</v>
      </c>
      <c r="F3883" s="2">
        <v>2797664.35</v>
      </c>
    </row>
    <row r="3884" spans="1:6" x14ac:dyDescent="0.25">
      <c r="A3884" s="1">
        <v>45047</v>
      </c>
      <c r="B3884" t="s">
        <v>21</v>
      </c>
      <c r="C3884" t="s">
        <v>58</v>
      </c>
      <c r="D3884">
        <v>0</v>
      </c>
      <c r="E3884" s="2">
        <v>573951.49</v>
      </c>
      <c r="F3884" s="2">
        <v>573951.49</v>
      </c>
    </row>
    <row r="3885" spans="1:6" x14ac:dyDescent="0.25">
      <c r="A3885" s="1">
        <v>45047</v>
      </c>
      <c r="B3885" t="s">
        <v>288</v>
      </c>
      <c r="C3885" t="s">
        <v>434</v>
      </c>
      <c r="D3885">
        <v>0</v>
      </c>
      <c r="E3885">
        <v>0</v>
      </c>
      <c r="F3885">
        <v>0</v>
      </c>
    </row>
    <row r="3886" spans="1:6" x14ac:dyDescent="0.25">
      <c r="A3886" s="1">
        <v>45047</v>
      </c>
      <c r="B3886" t="s">
        <v>11</v>
      </c>
      <c r="C3886" t="s">
        <v>557</v>
      </c>
      <c r="D3886" s="2">
        <v>790933571.94000006</v>
      </c>
      <c r="E3886" s="2">
        <v>35025085.100000001</v>
      </c>
      <c r="F3886" s="2">
        <v>658434313.37</v>
      </c>
    </row>
    <row r="3887" spans="1:6" x14ac:dyDescent="0.25">
      <c r="A3887" s="1">
        <v>45047</v>
      </c>
      <c r="B3887" t="s">
        <v>17</v>
      </c>
      <c r="C3887" t="s">
        <v>377</v>
      </c>
      <c r="D3887" s="2">
        <v>68029870.980000004</v>
      </c>
      <c r="E3887" s="2">
        <v>10962300.9</v>
      </c>
      <c r="F3887" s="2">
        <v>50033060.850000001</v>
      </c>
    </row>
    <row r="3888" spans="1:6" x14ac:dyDescent="0.25">
      <c r="A3888" s="1">
        <v>45047</v>
      </c>
      <c r="B3888" t="s">
        <v>21</v>
      </c>
      <c r="C3888" t="s">
        <v>510</v>
      </c>
      <c r="D3888" s="2">
        <v>-2406779.66</v>
      </c>
      <c r="E3888" s="2">
        <v>187119.76</v>
      </c>
      <c r="F3888" s="2">
        <v>187119.76</v>
      </c>
    </row>
    <row r="3889" spans="1:6" x14ac:dyDescent="0.25">
      <c r="A3889" s="1">
        <v>45047</v>
      </c>
      <c r="B3889" t="s">
        <v>132</v>
      </c>
      <c r="C3889" t="s">
        <v>1195</v>
      </c>
      <c r="D3889" s="2">
        <v>1442402163</v>
      </c>
      <c r="E3889">
        <v>0</v>
      </c>
      <c r="F3889">
        <v>0</v>
      </c>
    </row>
    <row r="3890" spans="1:6" x14ac:dyDescent="0.25">
      <c r="A3890" s="1">
        <v>45047</v>
      </c>
      <c r="B3890" t="s">
        <v>23</v>
      </c>
      <c r="C3890" t="s">
        <v>203</v>
      </c>
      <c r="D3890">
        <v>0</v>
      </c>
      <c r="E3890">
        <v>0</v>
      </c>
      <c r="F3890">
        <v>0</v>
      </c>
    </row>
    <row r="3891" spans="1:6" x14ac:dyDescent="0.25">
      <c r="A3891" s="1">
        <v>45047</v>
      </c>
      <c r="B3891" t="s">
        <v>585</v>
      </c>
      <c r="C3891" t="s">
        <v>1061</v>
      </c>
      <c r="D3891">
        <v>0</v>
      </c>
      <c r="E3891">
        <v>0</v>
      </c>
      <c r="F3891">
        <v>0</v>
      </c>
    </row>
    <row r="3892" spans="1:6" x14ac:dyDescent="0.25">
      <c r="A3892" s="1">
        <v>45047</v>
      </c>
      <c r="B3892" t="s">
        <v>318</v>
      </c>
      <c r="C3892" t="s">
        <v>865</v>
      </c>
      <c r="D3892">
        <v>0</v>
      </c>
      <c r="E3892">
        <v>0</v>
      </c>
      <c r="F3892">
        <v>0</v>
      </c>
    </row>
    <row r="3893" spans="1:6" x14ac:dyDescent="0.25">
      <c r="A3893" s="1">
        <v>45047</v>
      </c>
      <c r="B3893" t="s">
        <v>23</v>
      </c>
      <c r="C3893" t="s">
        <v>394</v>
      </c>
      <c r="D3893" s="2">
        <v>5108171.4800000004</v>
      </c>
      <c r="E3893">
        <v>0</v>
      </c>
      <c r="F3893">
        <v>0</v>
      </c>
    </row>
    <row r="3894" spans="1:6" x14ac:dyDescent="0.25">
      <c r="A3894" s="1">
        <v>45047</v>
      </c>
      <c r="B3894" t="s">
        <v>21</v>
      </c>
      <c r="C3894" t="s">
        <v>366</v>
      </c>
      <c r="D3894" s="2">
        <v>32161.41</v>
      </c>
      <c r="E3894" s="2">
        <v>34109.699999999997</v>
      </c>
      <c r="F3894" s="2">
        <v>16559.7</v>
      </c>
    </row>
    <row r="3895" spans="1:6" x14ac:dyDescent="0.25">
      <c r="A3895" s="1">
        <v>45047</v>
      </c>
      <c r="B3895" t="s">
        <v>27</v>
      </c>
      <c r="C3895" t="s">
        <v>713</v>
      </c>
      <c r="D3895">
        <v>0</v>
      </c>
      <c r="E3895">
        <v>0</v>
      </c>
      <c r="F3895">
        <v>0</v>
      </c>
    </row>
    <row r="3896" spans="1:6" x14ac:dyDescent="0.25">
      <c r="A3896" s="1">
        <v>45047</v>
      </c>
      <c r="B3896" t="s">
        <v>40</v>
      </c>
      <c r="C3896" t="s">
        <v>873</v>
      </c>
      <c r="D3896">
        <v>0</v>
      </c>
      <c r="E3896" s="2">
        <v>2689458406.5</v>
      </c>
      <c r="F3896" s="2">
        <v>2689458406.5</v>
      </c>
    </row>
    <row r="3897" spans="1:6" x14ac:dyDescent="0.25">
      <c r="A3897" s="1">
        <v>45047</v>
      </c>
      <c r="B3897" t="s">
        <v>15</v>
      </c>
      <c r="C3897" t="s">
        <v>111</v>
      </c>
      <c r="D3897">
        <v>0</v>
      </c>
      <c r="E3897" s="2">
        <v>31520.83</v>
      </c>
      <c r="F3897" s="2">
        <v>31520.83</v>
      </c>
    </row>
    <row r="3898" spans="1:6" x14ac:dyDescent="0.25">
      <c r="A3898" s="1">
        <v>45047</v>
      </c>
      <c r="B3898" t="s">
        <v>17</v>
      </c>
      <c r="C3898" t="s">
        <v>782</v>
      </c>
      <c r="D3898">
        <v>0</v>
      </c>
      <c r="E3898">
        <v>0</v>
      </c>
      <c r="F3898">
        <v>0</v>
      </c>
    </row>
    <row r="3899" spans="1:6" x14ac:dyDescent="0.25">
      <c r="A3899" s="1">
        <v>45047</v>
      </c>
      <c r="B3899" t="s">
        <v>29</v>
      </c>
      <c r="C3899" t="s">
        <v>52</v>
      </c>
      <c r="D3899">
        <v>0</v>
      </c>
      <c r="E3899">
        <v>0</v>
      </c>
      <c r="F3899">
        <v>0</v>
      </c>
    </row>
    <row r="3900" spans="1:6" x14ac:dyDescent="0.25">
      <c r="A3900" s="1">
        <v>45047</v>
      </c>
      <c r="B3900" t="s">
        <v>11</v>
      </c>
      <c r="C3900" t="s">
        <v>744</v>
      </c>
      <c r="D3900" s="2">
        <v>56320173</v>
      </c>
      <c r="E3900" s="2">
        <v>56267880.859999999</v>
      </c>
      <c r="F3900" s="2">
        <v>56940589.390000001</v>
      </c>
    </row>
    <row r="3901" spans="1:6" x14ac:dyDescent="0.25">
      <c r="A3901" s="1">
        <v>45047</v>
      </c>
      <c r="B3901" t="s">
        <v>61</v>
      </c>
      <c r="C3901" t="s">
        <v>561</v>
      </c>
      <c r="D3901">
        <v>0</v>
      </c>
      <c r="E3901">
        <v>0</v>
      </c>
      <c r="F3901">
        <v>0</v>
      </c>
    </row>
    <row r="3902" spans="1:6" x14ac:dyDescent="0.25">
      <c r="A3902" s="1">
        <v>45047</v>
      </c>
      <c r="B3902" t="s">
        <v>40</v>
      </c>
      <c r="C3902" t="s">
        <v>41</v>
      </c>
      <c r="D3902" s="2">
        <v>5004087.91</v>
      </c>
      <c r="E3902" s="2">
        <v>3665650.78</v>
      </c>
      <c r="F3902" s="2">
        <v>3651904.48</v>
      </c>
    </row>
    <row r="3903" spans="1:6" x14ac:dyDescent="0.25">
      <c r="A3903" s="1">
        <v>45047</v>
      </c>
      <c r="B3903" t="s">
        <v>96</v>
      </c>
      <c r="C3903" t="s">
        <v>1160</v>
      </c>
      <c r="D3903">
        <v>0</v>
      </c>
      <c r="E3903">
        <v>0</v>
      </c>
      <c r="F3903">
        <v>0</v>
      </c>
    </row>
    <row r="3904" spans="1:6" x14ac:dyDescent="0.25">
      <c r="A3904" s="1">
        <v>45047</v>
      </c>
      <c r="B3904" t="s">
        <v>132</v>
      </c>
      <c r="C3904" t="s">
        <v>133</v>
      </c>
      <c r="D3904" s="2">
        <v>108269</v>
      </c>
      <c r="E3904" s="2">
        <v>144002</v>
      </c>
      <c r="F3904">
        <v>0</v>
      </c>
    </row>
    <row r="3905" spans="1:6" x14ac:dyDescent="0.25">
      <c r="A3905" s="1">
        <v>45047</v>
      </c>
      <c r="B3905" t="s">
        <v>40</v>
      </c>
      <c r="C3905" t="s">
        <v>859</v>
      </c>
      <c r="D3905">
        <v>0</v>
      </c>
      <c r="E3905">
        <v>0</v>
      </c>
      <c r="F3905">
        <v>0</v>
      </c>
    </row>
    <row r="3906" spans="1:6" x14ac:dyDescent="0.25">
      <c r="A3906" s="1">
        <v>45047</v>
      </c>
      <c r="B3906" t="s">
        <v>31</v>
      </c>
      <c r="C3906" t="s">
        <v>357</v>
      </c>
      <c r="D3906">
        <v>0</v>
      </c>
      <c r="E3906">
        <v>0</v>
      </c>
      <c r="F3906">
        <v>0</v>
      </c>
    </row>
    <row r="3907" spans="1:6" x14ac:dyDescent="0.25">
      <c r="A3907" s="1">
        <v>45047</v>
      </c>
      <c r="B3907" t="s">
        <v>143</v>
      </c>
      <c r="C3907" t="s">
        <v>1175</v>
      </c>
      <c r="D3907" s="2">
        <v>2608027071</v>
      </c>
      <c r="E3907">
        <v>0</v>
      </c>
      <c r="F3907">
        <v>0</v>
      </c>
    </row>
    <row r="3908" spans="1:6" x14ac:dyDescent="0.25">
      <c r="A3908" s="1">
        <v>45047</v>
      </c>
      <c r="B3908" t="s">
        <v>17</v>
      </c>
      <c r="C3908" t="s">
        <v>270</v>
      </c>
      <c r="D3908" s="2">
        <v>7899735.4400000004</v>
      </c>
      <c r="E3908" s="2">
        <v>1880456.76</v>
      </c>
      <c r="F3908" s="2">
        <v>1888964.18</v>
      </c>
    </row>
    <row r="3909" spans="1:6" x14ac:dyDescent="0.25">
      <c r="A3909" s="1">
        <v>45047</v>
      </c>
      <c r="B3909" t="s">
        <v>40</v>
      </c>
      <c r="C3909" t="s">
        <v>1083</v>
      </c>
      <c r="D3909">
        <v>0</v>
      </c>
      <c r="E3909">
        <v>0</v>
      </c>
      <c r="F3909" s="2">
        <v>52615.23</v>
      </c>
    </row>
    <row r="3910" spans="1:6" x14ac:dyDescent="0.25">
      <c r="A3910" s="1">
        <v>45047</v>
      </c>
      <c r="B3910" t="s">
        <v>460</v>
      </c>
      <c r="C3910" t="s">
        <v>746</v>
      </c>
      <c r="D3910" s="2">
        <v>939295.55</v>
      </c>
      <c r="E3910" s="2">
        <v>534395.47</v>
      </c>
      <c r="F3910" s="2">
        <v>500915.53</v>
      </c>
    </row>
    <row r="3911" spans="1:6" x14ac:dyDescent="0.25">
      <c r="A3911" s="1">
        <v>45047</v>
      </c>
      <c r="B3911" t="s">
        <v>118</v>
      </c>
      <c r="C3911" t="s">
        <v>308</v>
      </c>
      <c r="D3911" s="2">
        <v>802708.43</v>
      </c>
      <c r="E3911" s="2">
        <v>2166.75</v>
      </c>
      <c r="F3911" s="2">
        <v>55175.88</v>
      </c>
    </row>
    <row r="3912" spans="1:6" x14ac:dyDescent="0.25">
      <c r="A3912" s="1">
        <v>45047</v>
      </c>
      <c r="B3912" t="s">
        <v>98</v>
      </c>
      <c r="C3912" t="s">
        <v>378</v>
      </c>
      <c r="D3912">
        <v>0</v>
      </c>
      <c r="E3912">
        <v>0</v>
      </c>
      <c r="F3912">
        <v>0</v>
      </c>
    </row>
    <row r="3913" spans="1:6" x14ac:dyDescent="0.25">
      <c r="A3913" s="1">
        <v>45047</v>
      </c>
      <c r="B3913" t="s">
        <v>13</v>
      </c>
      <c r="C3913" t="s">
        <v>659</v>
      </c>
      <c r="D3913">
        <v>0</v>
      </c>
      <c r="E3913">
        <v>0</v>
      </c>
      <c r="F3913">
        <v>0</v>
      </c>
    </row>
    <row r="3914" spans="1:6" x14ac:dyDescent="0.25">
      <c r="A3914" s="1">
        <v>45047</v>
      </c>
      <c r="B3914" t="s">
        <v>120</v>
      </c>
      <c r="C3914" t="s">
        <v>943</v>
      </c>
      <c r="D3914">
        <v>0</v>
      </c>
      <c r="E3914">
        <v>0</v>
      </c>
      <c r="F3914">
        <v>0</v>
      </c>
    </row>
    <row r="3915" spans="1:6" x14ac:dyDescent="0.25">
      <c r="A3915" s="1">
        <v>45047</v>
      </c>
      <c r="B3915" t="s">
        <v>48</v>
      </c>
      <c r="C3915" t="s">
        <v>1226</v>
      </c>
      <c r="D3915">
        <v>0</v>
      </c>
      <c r="E3915">
        <v>0</v>
      </c>
      <c r="F3915">
        <v>0</v>
      </c>
    </row>
    <row r="3916" spans="1:6" x14ac:dyDescent="0.25">
      <c r="A3916" s="1">
        <v>45047</v>
      </c>
      <c r="B3916" t="s">
        <v>682</v>
      </c>
      <c r="C3916" t="s">
        <v>1185</v>
      </c>
      <c r="D3916" s="2">
        <v>40000</v>
      </c>
      <c r="E3916" s="2">
        <v>86444.93</v>
      </c>
      <c r="F3916" s="2">
        <v>88255.06</v>
      </c>
    </row>
    <row r="3917" spans="1:6" x14ac:dyDescent="0.25">
      <c r="A3917" s="1">
        <v>45047</v>
      </c>
      <c r="B3917" t="s">
        <v>31</v>
      </c>
      <c r="C3917" t="s">
        <v>1227</v>
      </c>
      <c r="D3917">
        <v>0</v>
      </c>
      <c r="E3917">
        <v>0</v>
      </c>
      <c r="F3917">
        <v>0</v>
      </c>
    </row>
    <row r="3918" spans="1:6" x14ac:dyDescent="0.25">
      <c r="A3918" s="1">
        <v>45047</v>
      </c>
      <c r="B3918" t="s">
        <v>114</v>
      </c>
      <c r="C3918" t="s">
        <v>758</v>
      </c>
      <c r="D3918" s="2">
        <v>599117.63</v>
      </c>
      <c r="E3918" s="2">
        <v>613317.63</v>
      </c>
      <c r="F3918" s="2">
        <v>585017.63</v>
      </c>
    </row>
    <row r="3919" spans="1:6" x14ac:dyDescent="0.25">
      <c r="A3919" s="1">
        <v>45047</v>
      </c>
      <c r="B3919" t="s">
        <v>48</v>
      </c>
      <c r="C3919" t="s">
        <v>1100</v>
      </c>
      <c r="D3919">
        <v>0</v>
      </c>
      <c r="E3919">
        <v>0</v>
      </c>
      <c r="F3919">
        <v>0</v>
      </c>
    </row>
    <row r="3920" spans="1:6" x14ac:dyDescent="0.25">
      <c r="A3920" s="1">
        <v>45047</v>
      </c>
      <c r="B3920" t="s">
        <v>48</v>
      </c>
      <c r="C3920" t="s">
        <v>1064</v>
      </c>
      <c r="D3920" s="2">
        <v>800000</v>
      </c>
      <c r="E3920" s="2">
        <v>702706.12</v>
      </c>
      <c r="F3920" s="2">
        <v>702706.12</v>
      </c>
    </row>
    <row r="3921" spans="1:6" x14ac:dyDescent="0.25">
      <c r="A3921" s="1">
        <v>45047</v>
      </c>
      <c r="B3921" t="s">
        <v>50</v>
      </c>
      <c r="C3921" t="s">
        <v>1228</v>
      </c>
      <c r="D3921" s="2">
        <v>6227018.3200000003</v>
      </c>
      <c r="E3921">
        <v>0</v>
      </c>
      <c r="F3921">
        <v>0</v>
      </c>
    </row>
    <row r="3922" spans="1:6" x14ac:dyDescent="0.25">
      <c r="A3922" s="1">
        <v>45047</v>
      </c>
      <c r="B3922" t="s">
        <v>98</v>
      </c>
      <c r="C3922" t="s">
        <v>618</v>
      </c>
      <c r="D3922">
        <v>0</v>
      </c>
      <c r="E3922">
        <v>0</v>
      </c>
      <c r="F3922">
        <v>0</v>
      </c>
    </row>
    <row r="3923" spans="1:6" x14ac:dyDescent="0.25">
      <c r="A3923" s="1">
        <v>45047</v>
      </c>
      <c r="B3923" t="s">
        <v>37</v>
      </c>
      <c r="C3923" t="s">
        <v>955</v>
      </c>
      <c r="D3923" s="2">
        <v>254827.75</v>
      </c>
      <c r="E3923">
        <v>0</v>
      </c>
      <c r="F3923">
        <v>0</v>
      </c>
    </row>
    <row r="3924" spans="1:6" x14ac:dyDescent="0.25">
      <c r="A3924" s="1">
        <v>45047</v>
      </c>
      <c r="B3924" t="s">
        <v>42</v>
      </c>
      <c r="C3924" t="s">
        <v>1080</v>
      </c>
      <c r="D3924">
        <v>0</v>
      </c>
      <c r="E3924" s="2">
        <v>30508.74</v>
      </c>
      <c r="F3924" s="2">
        <v>30508.74</v>
      </c>
    </row>
    <row r="3925" spans="1:6" x14ac:dyDescent="0.25">
      <c r="A3925" s="1">
        <v>45047</v>
      </c>
      <c r="B3925" t="s">
        <v>19</v>
      </c>
      <c r="C3925" t="s">
        <v>20</v>
      </c>
      <c r="D3925" s="2">
        <v>-5824.24</v>
      </c>
      <c r="E3925" s="2">
        <v>59376.76</v>
      </c>
      <c r="F3925" s="2">
        <v>59536.93</v>
      </c>
    </row>
    <row r="3926" spans="1:6" x14ac:dyDescent="0.25">
      <c r="A3926" s="1">
        <v>45047</v>
      </c>
      <c r="B3926" t="s">
        <v>127</v>
      </c>
      <c r="C3926" t="s">
        <v>171</v>
      </c>
      <c r="D3926" s="2">
        <v>298991.45</v>
      </c>
      <c r="E3926" s="2">
        <v>14464.49</v>
      </c>
      <c r="F3926" s="2">
        <v>14464.49</v>
      </c>
    </row>
    <row r="3927" spans="1:6" x14ac:dyDescent="0.25">
      <c r="A3927" s="1">
        <v>45047</v>
      </c>
      <c r="B3927" t="s">
        <v>118</v>
      </c>
      <c r="C3927" t="s">
        <v>569</v>
      </c>
      <c r="D3927">
        <v>0</v>
      </c>
      <c r="E3927" s="2">
        <v>17601.5</v>
      </c>
      <c r="F3927">
        <v>0</v>
      </c>
    </row>
    <row r="3928" spans="1:6" x14ac:dyDescent="0.25">
      <c r="A3928" s="1">
        <v>45047</v>
      </c>
      <c r="B3928" t="s">
        <v>42</v>
      </c>
      <c r="C3928" t="s">
        <v>43</v>
      </c>
      <c r="D3928" s="2">
        <v>24529299.300000001</v>
      </c>
      <c r="E3928" s="2">
        <v>24529299.300000001</v>
      </c>
      <c r="F3928" s="2">
        <v>24529299.300000001</v>
      </c>
    </row>
    <row r="3929" spans="1:6" x14ac:dyDescent="0.25">
      <c r="A3929" s="1">
        <v>45047</v>
      </c>
      <c r="B3929" t="s">
        <v>196</v>
      </c>
      <c r="C3929" t="s">
        <v>781</v>
      </c>
      <c r="D3929">
        <v>0</v>
      </c>
      <c r="E3929">
        <v>0</v>
      </c>
      <c r="F3929">
        <v>0</v>
      </c>
    </row>
    <row r="3930" spans="1:6" x14ac:dyDescent="0.25">
      <c r="A3930" s="1">
        <v>45047</v>
      </c>
      <c r="B3930" t="s">
        <v>21</v>
      </c>
      <c r="C3930" t="s">
        <v>994</v>
      </c>
      <c r="D3930">
        <v>0</v>
      </c>
      <c r="E3930">
        <v>0</v>
      </c>
      <c r="F3930">
        <v>0</v>
      </c>
    </row>
    <row r="3931" spans="1:6" x14ac:dyDescent="0.25">
      <c r="A3931" s="1">
        <v>45047</v>
      </c>
      <c r="B3931" t="s">
        <v>27</v>
      </c>
      <c r="C3931" t="s">
        <v>607</v>
      </c>
      <c r="D3931" s="2">
        <v>91000</v>
      </c>
      <c r="E3931" s="2">
        <v>19249.34</v>
      </c>
      <c r="F3931" s="2">
        <v>19249.34</v>
      </c>
    </row>
    <row r="3932" spans="1:6" x14ac:dyDescent="0.25">
      <c r="A3932" s="1">
        <v>45047</v>
      </c>
      <c r="B3932" t="s">
        <v>234</v>
      </c>
      <c r="C3932" t="s">
        <v>299</v>
      </c>
      <c r="D3932" s="2">
        <v>4445728395.7299995</v>
      </c>
      <c r="E3932" s="2">
        <v>4445728395.7299995</v>
      </c>
      <c r="F3932" s="2">
        <v>4445728395.7299995</v>
      </c>
    </row>
    <row r="3933" spans="1:6" x14ac:dyDescent="0.25">
      <c r="A3933" s="1">
        <v>45047</v>
      </c>
      <c r="B3933" t="s">
        <v>31</v>
      </c>
      <c r="C3933" t="s">
        <v>1176</v>
      </c>
      <c r="D3933">
        <v>0</v>
      </c>
      <c r="E3933">
        <v>0</v>
      </c>
      <c r="F3933">
        <v>0</v>
      </c>
    </row>
    <row r="3934" spans="1:6" x14ac:dyDescent="0.25">
      <c r="A3934" s="1">
        <v>45047</v>
      </c>
      <c r="B3934" t="s">
        <v>48</v>
      </c>
      <c r="C3934" t="s">
        <v>1229</v>
      </c>
      <c r="D3934">
        <v>0</v>
      </c>
      <c r="E3934">
        <v>0</v>
      </c>
      <c r="F3934">
        <v>0</v>
      </c>
    </row>
    <row r="3935" spans="1:6" x14ac:dyDescent="0.25">
      <c r="A3935" s="1">
        <v>45047</v>
      </c>
      <c r="B3935" t="s">
        <v>490</v>
      </c>
      <c r="C3935" t="s">
        <v>573</v>
      </c>
      <c r="D3935" s="2">
        <v>1500000</v>
      </c>
      <c r="E3935" s="2">
        <v>1333200</v>
      </c>
      <c r="F3935" s="2">
        <v>1333200</v>
      </c>
    </row>
    <row r="3936" spans="1:6" x14ac:dyDescent="0.25">
      <c r="A3936" s="1">
        <v>45047</v>
      </c>
      <c r="B3936" t="s">
        <v>100</v>
      </c>
      <c r="C3936" t="s">
        <v>1060</v>
      </c>
      <c r="D3936">
        <v>0</v>
      </c>
      <c r="E3936">
        <v>0</v>
      </c>
      <c r="F3936">
        <v>0</v>
      </c>
    </row>
    <row r="3937" spans="1:6" x14ac:dyDescent="0.25">
      <c r="A3937" s="1">
        <v>45047</v>
      </c>
      <c r="B3937" t="s">
        <v>11</v>
      </c>
      <c r="C3937" t="s">
        <v>749</v>
      </c>
      <c r="D3937" s="2">
        <v>14913425</v>
      </c>
      <c r="E3937" s="2">
        <v>14839796.529999999</v>
      </c>
      <c r="F3937" s="2">
        <v>14861622.630000001</v>
      </c>
    </row>
    <row r="3938" spans="1:6" x14ac:dyDescent="0.25">
      <c r="A3938" s="1">
        <v>45047</v>
      </c>
      <c r="B3938" t="s">
        <v>309</v>
      </c>
      <c r="C3938" t="s">
        <v>1230</v>
      </c>
      <c r="D3938">
        <v>0</v>
      </c>
      <c r="E3938">
        <v>0</v>
      </c>
      <c r="F3938">
        <v>0</v>
      </c>
    </row>
    <row r="3939" spans="1:6" x14ac:dyDescent="0.25">
      <c r="A3939" s="1">
        <v>45047</v>
      </c>
      <c r="B3939" t="s">
        <v>143</v>
      </c>
      <c r="C3939" t="s">
        <v>517</v>
      </c>
      <c r="D3939" s="2">
        <v>4122000</v>
      </c>
      <c r="E3939" s="2">
        <v>4125000</v>
      </c>
      <c r="F3939" s="2">
        <v>4125000</v>
      </c>
    </row>
    <row r="3940" spans="1:6" x14ac:dyDescent="0.25">
      <c r="A3940" s="1">
        <v>45047</v>
      </c>
      <c r="B3940" t="s">
        <v>63</v>
      </c>
      <c r="C3940" t="s">
        <v>944</v>
      </c>
      <c r="D3940" s="2">
        <v>2436000</v>
      </c>
      <c r="E3940">
        <v>0</v>
      </c>
      <c r="F3940">
        <v>0</v>
      </c>
    </row>
    <row r="3941" spans="1:6" x14ac:dyDescent="0.25">
      <c r="A3941" s="1">
        <v>45047</v>
      </c>
      <c r="B3941" t="s">
        <v>344</v>
      </c>
      <c r="C3941" t="s">
        <v>1148</v>
      </c>
      <c r="D3941">
        <v>0</v>
      </c>
      <c r="E3941" s="2">
        <v>13048.99</v>
      </c>
      <c r="F3941" s="2">
        <v>53490.85</v>
      </c>
    </row>
    <row r="3942" spans="1:6" x14ac:dyDescent="0.25">
      <c r="A3942" s="1">
        <v>45047</v>
      </c>
      <c r="B3942" t="s">
        <v>17</v>
      </c>
      <c r="C3942" t="s">
        <v>268</v>
      </c>
      <c r="D3942">
        <v>0</v>
      </c>
      <c r="E3942">
        <v>0</v>
      </c>
      <c r="F3942">
        <v>0</v>
      </c>
    </row>
    <row r="3943" spans="1:6" x14ac:dyDescent="0.25">
      <c r="A3943" s="1">
        <v>45047</v>
      </c>
      <c r="B3943" t="s">
        <v>159</v>
      </c>
      <c r="C3943" t="s">
        <v>641</v>
      </c>
      <c r="D3943">
        <v>0</v>
      </c>
      <c r="E3943" s="2">
        <v>15000</v>
      </c>
      <c r="F3943" s="2">
        <v>15000</v>
      </c>
    </row>
    <row r="3944" spans="1:6" x14ac:dyDescent="0.25">
      <c r="A3944" s="1">
        <v>45047</v>
      </c>
      <c r="B3944" t="s">
        <v>193</v>
      </c>
      <c r="C3944" t="s">
        <v>194</v>
      </c>
      <c r="D3944" s="2">
        <v>1291947181.8499999</v>
      </c>
      <c r="E3944" s="2">
        <v>1291947181.8499999</v>
      </c>
      <c r="F3944" s="2">
        <v>1291947181.8499999</v>
      </c>
    </row>
    <row r="3945" spans="1:6" x14ac:dyDescent="0.25">
      <c r="A3945" s="1">
        <v>45047</v>
      </c>
      <c r="B3945" t="s">
        <v>23</v>
      </c>
      <c r="C3945" t="s">
        <v>1231</v>
      </c>
      <c r="D3945">
        <v>0</v>
      </c>
      <c r="E3945">
        <v>0</v>
      </c>
      <c r="F3945">
        <v>0</v>
      </c>
    </row>
    <row r="3946" spans="1:6" x14ac:dyDescent="0.25">
      <c r="A3946" s="1">
        <v>45047</v>
      </c>
      <c r="B3946" t="s">
        <v>263</v>
      </c>
      <c r="C3946" t="s">
        <v>1189</v>
      </c>
      <c r="D3946" s="2">
        <v>6013600.6600000001</v>
      </c>
      <c r="E3946" s="2">
        <v>4940498.01</v>
      </c>
      <c r="F3946" s="2">
        <v>1112263.04</v>
      </c>
    </row>
    <row r="3947" spans="1:6" x14ac:dyDescent="0.25">
      <c r="A3947" s="1">
        <v>45047</v>
      </c>
      <c r="B3947" t="s">
        <v>132</v>
      </c>
      <c r="C3947" t="s">
        <v>956</v>
      </c>
      <c r="D3947">
        <v>0</v>
      </c>
      <c r="E3947">
        <v>0</v>
      </c>
      <c r="F3947">
        <v>0</v>
      </c>
    </row>
    <row r="3948" spans="1:6" x14ac:dyDescent="0.25">
      <c r="A3948" s="1">
        <v>45047</v>
      </c>
      <c r="B3948" t="s">
        <v>46</v>
      </c>
      <c r="C3948" t="s">
        <v>333</v>
      </c>
      <c r="D3948">
        <v>0</v>
      </c>
      <c r="E3948" s="2">
        <v>3018.18</v>
      </c>
      <c r="F3948" s="2">
        <v>3018.18</v>
      </c>
    </row>
    <row r="3949" spans="1:6" x14ac:dyDescent="0.25">
      <c r="A3949" s="1">
        <v>45047</v>
      </c>
      <c r="B3949" t="s">
        <v>234</v>
      </c>
      <c r="C3949" t="s">
        <v>454</v>
      </c>
      <c r="D3949" s="2">
        <v>69937063.840000004</v>
      </c>
      <c r="E3949" s="2">
        <v>12955662.609999999</v>
      </c>
      <c r="F3949" s="2">
        <v>1224310.1200000001</v>
      </c>
    </row>
    <row r="3950" spans="1:6" x14ac:dyDescent="0.25">
      <c r="A3950" s="1">
        <v>45047</v>
      </c>
      <c r="B3950" t="s">
        <v>37</v>
      </c>
      <c r="C3950" t="s">
        <v>387</v>
      </c>
      <c r="D3950" s="2">
        <v>425050814.68000001</v>
      </c>
      <c r="E3950" s="2">
        <v>408850920.43000001</v>
      </c>
      <c r="F3950" s="2">
        <v>182517484.81</v>
      </c>
    </row>
    <row r="3951" spans="1:6" x14ac:dyDescent="0.25">
      <c r="A3951" s="1">
        <v>45047</v>
      </c>
      <c r="B3951" t="s">
        <v>61</v>
      </c>
      <c r="C3951" t="s">
        <v>62</v>
      </c>
      <c r="D3951">
        <v>0</v>
      </c>
      <c r="E3951">
        <v>0</v>
      </c>
      <c r="F3951">
        <v>0</v>
      </c>
    </row>
    <row r="3952" spans="1:6" x14ac:dyDescent="0.25">
      <c r="A3952" s="1">
        <v>45047</v>
      </c>
      <c r="B3952" t="s">
        <v>21</v>
      </c>
      <c r="C3952" t="s">
        <v>985</v>
      </c>
      <c r="D3952" s="2">
        <v>1400000</v>
      </c>
      <c r="E3952" s="2">
        <v>656804.44999999995</v>
      </c>
      <c r="F3952">
        <v>0</v>
      </c>
    </row>
    <row r="3953" spans="1:6" x14ac:dyDescent="0.25">
      <c r="A3953" s="1">
        <v>45047</v>
      </c>
      <c r="B3953" t="s">
        <v>44</v>
      </c>
      <c r="C3953" t="s">
        <v>846</v>
      </c>
      <c r="D3953" s="2">
        <v>102491.27</v>
      </c>
      <c r="E3953" s="2">
        <v>56561.3</v>
      </c>
      <c r="F3953" s="2">
        <v>44017.68</v>
      </c>
    </row>
    <row r="3954" spans="1:6" x14ac:dyDescent="0.25">
      <c r="A3954" s="1">
        <v>45047</v>
      </c>
      <c r="B3954" t="s">
        <v>21</v>
      </c>
      <c r="C3954" t="s">
        <v>643</v>
      </c>
      <c r="D3954">
        <v>0</v>
      </c>
      <c r="E3954" s="2">
        <v>42564.32</v>
      </c>
      <c r="F3954" s="2">
        <v>42564.32</v>
      </c>
    </row>
    <row r="3955" spans="1:6" x14ac:dyDescent="0.25">
      <c r="A3955" s="1">
        <v>45047</v>
      </c>
      <c r="B3955" t="s">
        <v>37</v>
      </c>
      <c r="C3955" t="s">
        <v>1120</v>
      </c>
      <c r="D3955">
        <v>0</v>
      </c>
      <c r="E3955">
        <v>0</v>
      </c>
      <c r="F3955">
        <v>0</v>
      </c>
    </row>
    <row r="3956" spans="1:6" x14ac:dyDescent="0.25">
      <c r="A3956" s="1">
        <v>45047</v>
      </c>
      <c r="B3956" t="s">
        <v>61</v>
      </c>
      <c r="C3956" t="s">
        <v>1232</v>
      </c>
      <c r="D3956">
        <v>0</v>
      </c>
      <c r="E3956">
        <v>0</v>
      </c>
      <c r="F3956">
        <v>0</v>
      </c>
    </row>
    <row r="3957" spans="1:6" x14ac:dyDescent="0.25">
      <c r="A3957" s="1">
        <v>45047</v>
      </c>
      <c r="B3957" t="s">
        <v>107</v>
      </c>
      <c r="C3957" t="s">
        <v>153</v>
      </c>
      <c r="D3957" s="2">
        <v>316393.71999999997</v>
      </c>
      <c r="E3957">
        <v>0</v>
      </c>
      <c r="F3957">
        <v>0</v>
      </c>
    </row>
    <row r="3958" spans="1:6" x14ac:dyDescent="0.25">
      <c r="A3958" s="1">
        <v>45047</v>
      </c>
      <c r="B3958" t="s">
        <v>17</v>
      </c>
      <c r="C3958" t="s">
        <v>327</v>
      </c>
      <c r="D3958" s="2">
        <v>86000</v>
      </c>
      <c r="E3958" s="2">
        <v>54934.17</v>
      </c>
      <c r="F3958" s="2">
        <v>54934.17</v>
      </c>
    </row>
    <row r="3959" spans="1:6" x14ac:dyDescent="0.25">
      <c r="A3959" s="1">
        <v>45047</v>
      </c>
      <c r="B3959" t="s">
        <v>21</v>
      </c>
      <c r="C3959" t="s">
        <v>1113</v>
      </c>
      <c r="D3959">
        <v>0</v>
      </c>
      <c r="E3959">
        <v>0</v>
      </c>
      <c r="F3959">
        <v>0</v>
      </c>
    </row>
    <row r="3960" spans="1:6" x14ac:dyDescent="0.25">
      <c r="A3960" s="1">
        <v>45047</v>
      </c>
      <c r="B3960" t="s">
        <v>118</v>
      </c>
      <c r="C3960" t="s">
        <v>1168</v>
      </c>
      <c r="D3960">
        <v>0</v>
      </c>
      <c r="E3960">
        <v>0</v>
      </c>
      <c r="F3960">
        <v>0</v>
      </c>
    </row>
    <row r="3961" spans="1:6" x14ac:dyDescent="0.25">
      <c r="A3961" s="1">
        <v>45047</v>
      </c>
      <c r="B3961" t="s">
        <v>490</v>
      </c>
      <c r="C3961" t="s">
        <v>1065</v>
      </c>
      <c r="D3961" s="2">
        <v>70592163.430000007</v>
      </c>
      <c r="E3961" s="2">
        <v>97156140.239999995</v>
      </c>
      <c r="F3961" s="2">
        <v>161120231.53999999</v>
      </c>
    </row>
    <row r="3962" spans="1:6" x14ac:dyDescent="0.25">
      <c r="A3962" s="1">
        <v>45047</v>
      </c>
      <c r="B3962" t="s">
        <v>46</v>
      </c>
      <c r="C3962" t="s">
        <v>152</v>
      </c>
      <c r="D3962">
        <v>0</v>
      </c>
      <c r="E3962">
        <v>0</v>
      </c>
      <c r="F3962">
        <v>0</v>
      </c>
    </row>
    <row r="3963" spans="1:6" x14ac:dyDescent="0.25">
      <c r="A3963" s="1">
        <v>45047</v>
      </c>
      <c r="B3963" t="s">
        <v>118</v>
      </c>
      <c r="C3963" t="s">
        <v>486</v>
      </c>
      <c r="D3963">
        <v>0</v>
      </c>
      <c r="E3963">
        <v>0</v>
      </c>
      <c r="F3963">
        <v>0</v>
      </c>
    </row>
    <row r="3964" spans="1:6" x14ac:dyDescent="0.25">
      <c r="A3964" s="1">
        <v>45047</v>
      </c>
      <c r="B3964" t="s">
        <v>383</v>
      </c>
      <c r="C3964" t="s">
        <v>1197</v>
      </c>
      <c r="D3964">
        <v>0</v>
      </c>
      <c r="E3964">
        <v>0</v>
      </c>
      <c r="F3964">
        <v>0</v>
      </c>
    </row>
    <row r="3965" spans="1:6" x14ac:dyDescent="0.25">
      <c r="A3965" s="1">
        <v>45047</v>
      </c>
      <c r="B3965" t="s">
        <v>107</v>
      </c>
      <c r="C3965" t="s">
        <v>506</v>
      </c>
      <c r="D3965" s="2">
        <v>1414604</v>
      </c>
      <c r="E3965">
        <v>0</v>
      </c>
      <c r="F3965">
        <v>0</v>
      </c>
    </row>
    <row r="3966" spans="1:6" x14ac:dyDescent="0.25">
      <c r="A3966" s="1">
        <v>45047</v>
      </c>
      <c r="B3966" t="s">
        <v>398</v>
      </c>
      <c r="C3966" t="s">
        <v>399</v>
      </c>
      <c r="D3966">
        <v>0</v>
      </c>
      <c r="E3966" s="2">
        <v>704740.74</v>
      </c>
      <c r="F3966" s="2">
        <v>704740.74</v>
      </c>
    </row>
    <row r="3967" spans="1:6" x14ac:dyDescent="0.25">
      <c r="A3967" s="1">
        <v>45047</v>
      </c>
      <c r="B3967" t="s">
        <v>42</v>
      </c>
      <c r="C3967" t="s">
        <v>334</v>
      </c>
      <c r="D3967" s="2">
        <v>-24438.080000000002</v>
      </c>
      <c r="E3967" s="2">
        <v>14715.38</v>
      </c>
      <c r="F3967" s="2">
        <v>14715.38</v>
      </c>
    </row>
    <row r="3968" spans="1:6" x14ac:dyDescent="0.25">
      <c r="A3968" s="1">
        <v>45047</v>
      </c>
      <c r="B3968" t="s">
        <v>1137</v>
      </c>
      <c r="C3968" t="s">
        <v>1138</v>
      </c>
      <c r="D3968" s="2">
        <v>37853731.850000001</v>
      </c>
      <c r="E3968" s="2">
        <v>36539150.450000003</v>
      </c>
      <c r="F3968" s="2">
        <v>33603961.259999998</v>
      </c>
    </row>
    <row r="3969" spans="1:6" x14ac:dyDescent="0.25">
      <c r="A3969" s="1">
        <v>45047</v>
      </c>
      <c r="B3969" t="s">
        <v>48</v>
      </c>
      <c r="C3969" t="s">
        <v>1128</v>
      </c>
      <c r="D3969">
        <v>0</v>
      </c>
      <c r="E3969">
        <v>0</v>
      </c>
      <c r="F3969">
        <v>0</v>
      </c>
    </row>
    <row r="3970" spans="1:6" x14ac:dyDescent="0.25">
      <c r="A3970" s="1">
        <v>45047</v>
      </c>
      <c r="B3970" t="s">
        <v>21</v>
      </c>
      <c r="C3970" t="s">
        <v>1233</v>
      </c>
      <c r="D3970" s="2">
        <v>25205973.600000001</v>
      </c>
      <c r="E3970">
        <v>0</v>
      </c>
      <c r="F3970">
        <v>0</v>
      </c>
    </row>
    <row r="3971" spans="1:6" x14ac:dyDescent="0.25">
      <c r="A3971" s="1">
        <v>45047</v>
      </c>
      <c r="B3971" t="s">
        <v>21</v>
      </c>
      <c r="C3971" t="s">
        <v>1234</v>
      </c>
      <c r="D3971">
        <v>0</v>
      </c>
      <c r="E3971">
        <v>0</v>
      </c>
      <c r="F3971">
        <v>0</v>
      </c>
    </row>
    <row r="3972" spans="1:6" x14ac:dyDescent="0.25">
      <c r="A3972" s="1">
        <v>45047</v>
      </c>
      <c r="B3972" t="s">
        <v>1235</v>
      </c>
      <c r="C3972" t="s">
        <v>599</v>
      </c>
      <c r="D3972">
        <v>0</v>
      </c>
      <c r="E3972">
        <v>0</v>
      </c>
      <c r="F3972">
        <v>0</v>
      </c>
    </row>
    <row r="3973" spans="1:6" x14ac:dyDescent="0.25">
      <c r="A3973" s="1">
        <v>45047</v>
      </c>
      <c r="B3973" t="s">
        <v>21</v>
      </c>
      <c r="C3973" t="s">
        <v>22</v>
      </c>
      <c r="D3973" s="2">
        <v>25772868</v>
      </c>
      <c r="E3973">
        <v>0</v>
      </c>
      <c r="F3973">
        <v>0</v>
      </c>
    </row>
    <row r="3974" spans="1:6" x14ac:dyDescent="0.25">
      <c r="A3974" s="1">
        <v>45047</v>
      </c>
      <c r="B3974" t="s">
        <v>490</v>
      </c>
      <c r="C3974" t="s">
        <v>999</v>
      </c>
      <c r="D3974">
        <v>0</v>
      </c>
      <c r="E3974" s="2">
        <v>600000</v>
      </c>
      <c r="F3974" s="2">
        <v>600000</v>
      </c>
    </row>
    <row r="3975" spans="1:6" x14ac:dyDescent="0.25">
      <c r="A3975" s="1">
        <v>45047</v>
      </c>
      <c r="B3975" t="s">
        <v>23</v>
      </c>
      <c r="C3975" t="s">
        <v>620</v>
      </c>
      <c r="D3975" s="2">
        <v>19158990.629999999</v>
      </c>
      <c r="E3975" s="2">
        <v>10578474.35</v>
      </c>
      <c r="F3975" s="2">
        <v>1167711.3799999999</v>
      </c>
    </row>
    <row r="3976" spans="1:6" x14ac:dyDescent="0.25">
      <c r="A3976" s="1">
        <v>45047</v>
      </c>
      <c r="B3976" t="s">
        <v>40</v>
      </c>
      <c r="C3976" t="s">
        <v>654</v>
      </c>
      <c r="D3976">
        <v>0</v>
      </c>
      <c r="E3976">
        <v>0</v>
      </c>
      <c r="F3976">
        <v>0</v>
      </c>
    </row>
    <row r="3977" spans="1:6" x14ac:dyDescent="0.25">
      <c r="A3977" s="1">
        <v>45047</v>
      </c>
      <c r="B3977" t="s">
        <v>185</v>
      </c>
      <c r="C3977" t="s">
        <v>186</v>
      </c>
      <c r="D3977" s="2">
        <v>180884429.90000001</v>
      </c>
      <c r="E3977" s="2">
        <v>-61158.46</v>
      </c>
      <c r="F3977" s="2">
        <v>-61158.46</v>
      </c>
    </row>
    <row r="3978" spans="1:6" x14ac:dyDescent="0.25">
      <c r="A3978" s="1">
        <v>45047</v>
      </c>
      <c r="B3978" t="s">
        <v>13</v>
      </c>
      <c r="C3978" t="s">
        <v>14</v>
      </c>
      <c r="D3978" s="2">
        <v>24256341.539999999</v>
      </c>
      <c r="E3978" s="2">
        <v>17195751.989999998</v>
      </c>
      <c r="F3978" s="2">
        <v>8050119.46</v>
      </c>
    </row>
    <row r="3979" spans="1:6" x14ac:dyDescent="0.25">
      <c r="A3979" s="1">
        <v>45047</v>
      </c>
      <c r="B3979" t="s">
        <v>23</v>
      </c>
      <c r="C3979" t="s">
        <v>305</v>
      </c>
      <c r="D3979" s="2">
        <v>57401490.789999999</v>
      </c>
      <c r="E3979" s="2">
        <v>50860525.039999999</v>
      </c>
      <c r="F3979" s="2">
        <v>49565454.049999997</v>
      </c>
    </row>
    <row r="3980" spans="1:6" x14ac:dyDescent="0.25">
      <c r="A3980" s="1">
        <v>45047</v>
      </c>
      <c r="B3980" t="s">
        <v>282</v>
      </c>
      <c r="C3980" t="s">
        <v>392</v>
      </c>
      <c r="D3980" s="2">
        <v>15000000</v>
      </c>
      <c r="E3980" s="2">
        <v>2792767.62</v>
      </c>
      <c r="F3980" s="2">
        <v>2792767.62</v>
      </c>
    </row>
    <row r="3981" spans="1:6" x14ac:dyDescent="0.25">
      <c r="A3981" s="1">
        <v>45047</v>
      </c>
      <c r="B3981" t="s">
        <v>107</v>
      </c>
      <c r="C3981" t="s">
        <v>514</v>
      </c>
      <c r="D3981" s="2">
        <v>4865968.2</v>
      </c>
      <c r="E3981" s="2">
        <v>4864248.5999999996</v>
      </c>
      <c r="F3981" s="2">
        <v>4865968.2</v>
      </c>
    </row>
    <row r="3982" spans="1:6" x14ac:dyDescent="0.25">
      <c r="A3982" s="1">
        <v>45047</v>
      </c>
      <c r="B3982" t="s">
        <v>103</v>
      </c>
      <c r="C3982" t="s">
        <v>220</v>
      </c>
      <c r="D3982" s="2">
        <v>110312</v>
      </c>
      <c r="E3982" s="2">
        <v>146729.67000000001</v>
      </c>
      <c r="F3982" s="2">
        <v>139564.5</v>
      </c>
    </row>
    <row r="3983" spans="1:6" x14ac:dyDescent="0.25">
      <c r="A3983" s="1">
        <v>45047</v>
      </c>
      <c r="B3983" t="s">
        <v>114</v>
      </c>
      <c r="C3983" t="s">
        <v>945</v>
      </c>
      <c r="D3983">
        <v>0</v>
      </c>
      <c r="E3983" s="2">
        <v>10036.91</v>
      </c>
      <c r="F3983" s="2">
        <v>8867.98</v>
      </c>
    </row>
    <row r="3984" spans="1:6" x14ac:dyDescent="0.25">
      <c r="A3984" s="1">
        <v>45047</v>
      </c>
      <c r="B3984" t="s">
        <v>992</v>
      </c>
      <c r="C3984" t="s">
        <v>542</v>
      </c>
      <c r="D3984">
        <v>0</v>
      </c>
      <c r="E3984">
        <v>0</v>
      </c>
      <c r="F3984">
        <v>0</v>
      </c>
    </row>
    <row r="3985" spans="1:6" x14ac:dyDescent="0.25">
      <c r="A3985" s="1">
        <v>45047</v>
      </c>
      <c r="B3985" t="s">
        <v>55</v>
      </c>
      <c r="C3985" t="s">
        <v>708</v>
      </c>
      <c r="D3985">
        <v>0</v>
      </c>
      <c r="E3985">
        <v>0</v>
      </c>
      <c r="F3985">
        <v>0</v>
      </c>
    </row>
    <row r="3986" spans="1:6" x14ac:dyDescent="0.25">
      <c r="A3986" s="1">
        <v>45047</v>
      </c>
      <c r="B3986" t="s">
        <v>118</v>
      </c>
      <c r="C3986" t="s">
        <v>379</v>
      </c>
      <c r="D3986" s="2">
        <v>6752106.9800000004</v>
      </c>
      <c r="E3986" s="2">
        <v>4244.6400000000003</v>
      </c>
      <c r="F3986" s="2">
        <v>4618.42</v>
      </c>
    </row>
    <row r="3987" spans="1:6" x14ac:dyDescent="0.25">
      <c r="A3987" s="1">
        <v>45047</v>
      </c>
      <c r="B3987" t="s">
        <v>48</v>
      </c>
      <c r="C3987" t="s">
        <v>1078</v>
      </c>
      <c r="D3987">
        <v>0</v>
      </c>
      <c r="E3987">
        <v>0</v>
      </c>
      <c r="F3987">
        <v>0</v>
      </c>
    </row>
    <row r="3988" spans="1:6" x14ac:dyDescent="0.25">
      <c r="A3988" s="1">
        <v>45047</v>
      </c>
      <c r="B3988" t="s">
        <v>225</v>
      </c>
      <c r="C3988" t="s">
        <v>314</v>
      </c>
      <c r="D3988">
        <v>0</v>
      </c>
      <c r="E3988">
        <v>0</v>
      </c>
      <c r="F3988">
        <v>0</v>
      </c>
    </row>
    <row r="3989" spans="1:6" x14ac:dyDescent="0.25">
      <c r="A3989" s="1">
        <v>45047</v>
      </c>
      <c r="B3989" t="s">
        <v>118</v>
      </c>
      <c r="C3989" t="s">
        <v>169</v>
      </c>
      <c r="D3989">
        <v>0</v>
      </c>
      <c r="E3989">
        <v>0</v>
      </c>
      <c r="F3989">
        <v>0</v>
      </c>
    </row>
    <row r="3990" spans="1:6" x14ac:dyDescent="0.25">
      <c r="A3990" s="1">
        <v>45047</v>
      </c>
      <c r="B3990" t="s">
        <v>11</v>
      </c>
      <c r="C3990" t="s">
        <v>12</v>
      </c>
      <c r="D3990" s="2">
        <v>1668457145</v>
      </c>
      <c r="E3990" s="2">
        <v>6173576693.4700003</v>
      </c>
      <c r="F3990" s="2">
        <v>6173576693.4700003</v>
      </c>
    </row>
    <row r="3991" spans="1:6" x14ac:dyDescent="0.25">
      <c r="A3991" s="1">
        <v>45047</v>
      </c>
      <c r="B3991" t="s">
        <v>27</v>
      </c>
      <c r="C3991" t="s">
        <v>783</v>
      </c>
      <c r="D3991" s="2">
        <v>694402.82</v>
      </c>
      <c r="E3991" s="2">
        <v>5231.25</v>
      </c>
      <c r="F3991" s="2">
        <v>5231.25</v>
      </c>
    </row>
    <row r="3992" spans="1:6" x14ac:dyDescent="0.25">
      <c r="A3992" s="1">
        <v>45047</v>
      </c>
      <c r="B3992" t="s">
        <v>23</v>
      </c>
      <c r="C3992" t="s">
        <v>347</v>
      </c>
      <c r="D3992" s="2">
        <v>99197756.25</v>
      </c>
      <c r="E3992" s="2">
        <v>12492.65</v>
      </c>
      <c r="F3992" s="2">
        <v>12492.65</v>
      </c>
    </row>
    <row r="3993" spans="1:6" x14ac:dyDescent="0.25">
      <c r="A3993" s="1">
        <v>45047</v>
      </c>
      <c r="B3993" t="s">
        <v>21</v>
      </c>
      <c r="C3993" t="s">
        <v>608</v>
      </c>
      <c r="D3993">
        <v>0</v>
      </c>
      <c r="E3993" s="2">
        <v>461469.92</v>
      </c>
      <c r="F3993" s="2">
        <v>230734.96</v>
      </c>
    </row>
    <row r="3994" spans="1:6" x14ac:dyDescent="0.25">
      <c r="A3994" s="1">
        <v>45047</v>
      </c>
      <c r="B3994" t="s">
        <v>143</v>
      </c>
      <c r="C3994" t="s">
        <v>507</v>
      </c>
      <c r="D3994" s="2">
        <v>663785760</v>
      </c>
      <c r="E3994" s="2">
        <v>663785760</v>
      </c>
      <c r="F3994" s="2">
        <v>663785760</v>
      </c>
    </row>
    <row r="3995" spans="1:6" x14ac:dyDescent="0.25">
      <c r="A3995" s="1">
        <v>45047</v>
      </c>
      <c r="B3995" t="s">
        <v>29</v>
      </c>
      <c r="C3995" t="s">
        <v>260</v>
      </c>
      <c r="D3995" s="2">
        <v>81124414.920000002</v>
      </c>
      <c r="E3995" s="2">
        <v>81703092.980000004</v>
      </c>
      <c r="F3995" s="2">
        <v>81561615.099999994</v>
      </c>
    </row>
    <row r="3996" spans="1:6" x14ac:dyDescent="0.25">
      <c r="A3996" s="1">
        <v>45047</v>
      </c>
      <c r="B3996" t="s">
        <v>23</v>
      </c>
      <c r="C3996" t="s">
        <v>368</v>
      </c>
      <c r="D3996" s="2">
        <v>1103802.6200000001</v>
      </c>
      <c r="E3996" s="2">
        <v>493316.31</v>
      </c>
      <c r="F3996" s="2">
        <v>449059.18</v>
      </c>
    </row>
    <row r="3997" spans="1:6" x14ac:dyDescent="0.25">
      <c r="A3997" s="1">
        <v>45047</v>
      </c>
      <c r="B3997" t="s">
        <v>21</v>
      </c>
      <c r="C3997" t="s">
        <v>329</v>
      </c>
      <c r="D3997" s="2">
        <v>63170000</v>
      </c>
      <c r="E3997" s="2">
        <v>5592365.8300000001</v>
      </c>
      <c r="F3997" s="2">
        <v>9131009.4000000004</v>
      </c>
    </row>
    <row r="3998" spans="1:6" x14ac:dyDescent="0.25">
      <c r="A3998" s="1">
        <v>45047</v>
      </c>
      <c r="B3998" t="s">
        <v>132</v>
      </c>
      <c r="C3998" t="s">
        <v>375</v>
      </c>
      <c r="D3998" s="2">
        <v>1090000</v>
      </c>
      <c r="E3998" s="2">
        <v>1090000</v>
      </c>
      <c r="F3998" s="2">
        <v>1090000</v>
      </c>
    </row>
    <row r="3999" spans="1:6" x14ac:dyDescent="0.25">
      <c r="A3999" s="1">
        <v>45047</v>
      </c>
      <c r="B3999" t="s">
        <v>48</v>
      </c>
      <c r="C3999" t="s">
        <v>1152</v>
      </c>
      <c r="D3999">
        <v>0</v>
      </c>
      <c r="E3999">
        <v>0</v>
      </c>
      <c r="F3999">
        <v>0</v>
      </c>
    </row>
    <row r="4000" spans="1:6" x14ac:dyDescent="0.25">
      <c r="A4000" s="1">
        <v>45047</v>
      </c>
      <c r="B4000" t="s">
        <v>21</v>
      </c>
      <c r="C4000" t="s">
        <v>775</v>
      </c>
      <c r="D4000" s="2">
        <v>1828696</v>
      </c>
      <c r="E4000" s="2">
        <v>380244.41</v>
      </c>
      <c r="F4000" s="2">
        <v>380244.41</v>
      </c>
    </row>
    <row r="4001" spans="1:6" x14ac:dyDescent="0.25">
      <c r="A4001" s="1">
        <v>45047</v>
      </c>
      <c r="B4001" t="s">
        <v>29</v>
      </c>
      <c r="C4001" t="s">
        <v>180</v>
      </c>
      <c r="D4001">
        <v>0</v>
      </c>
      <c r="E4001">
        <v>0</v>
      </c>
      <c r="F4001">
        <v>0</v>
      </c>
    </row>
    <row r="4002" spans="1:6" x14ac:dyDescent="0.25">
      <c r="A4002" s="1">
        <v>45047</v>
      </c>
      <c r="B4002" t="s">
        <v>11</v>
      </c>
      <c r="C4002" t="s">
        <v>391</v>
      </c>
      <c r="D4002" s="2">
        <v>229291406</v>
      </c>
      <c r="E4002" s="2">
        <v>30748994.780000001</v>
      </c>
      <c r="F4002" s="2">
        <v>30748994.780000001</v>
      </c>
    </row>
    <row r="4003" spans="1:6" x14ac:dyDescent="0.25">
      <c r="A4003" s="1">
        <v>45047</v>
      </c>
      <c r="B4003" t="s">
        <v>159</v>
      </c>
      <c r="C4003" t="s">
        <v>360</v>
      </c>
      <c r="D4003" s="2">
        <v>150000</v>
      </c>
      <c r="E4003" s="2">
        <v>3357.38</v>
      </c>
      <c r="F4003" s="2">
        <v>3357.38</v>
      </c>
    </row>
    <row r="4004" spans="1:6" x14ac:dyDescent="0.25">
      <c r="A4004" s="1">
        <v>45047</v>
      </c>
      <c r="B4004" t="s">
        <v>132</v>
      </c>
      <c r="C4004" t="s">
        <v>385</v>
      </c>
      <c r="D4004" s="2">
        <v>3081604.31</v>
      </c>
      <c r="E4004" s="2">
        <v>5311013.47</v>
      </c>
      <c r="F4004" s="2">
        <v>6721924.0899999999</v>
      </c>
    </row>
    <row r="4005" spans="1:6" x14ac:dyDescent="0.25">
      <c r="A4005" s="1">
        <v>45047</v>
      </c>
      <c r="B4005" t="s">
        <v>46</v>
      </c>
      <c r="C4005" t="s">
        <v>295</v>
      </c>
      <c r="D4005" s="2">
        <v>1580821.21</v>
      </c>
      <c r="E4005" s="2">
        <v>1149965.9099999999</v>
      </c>
      <c r="F4005" s="2">
        <v>1165232.8700000001</v>
      </c>
    </row>
    <row r="4006" spans="1:6" x14ac:dyDescent="0.25">
      <c r="A4006" s="1">
        <v>45047</v>
      </c>
      <c r="B4006" t="s">
        <v>21</v>
      </c>
      <c r="C4006" t="s">
        <v>650</v>
      </c>
      <c r="D4006">
        <v>0</v>
      </c>
      <c r="E4006" s="2">
        <v>5715428.6299999999</v>
      </c>
      <c r="F4006" s="2">
        <v>5715428.6299999999</v>
      </c>
    </row>
    <row r="4007" spans="1:6" x14ac:dyDescent="0.25">
      <c r="A4007" s="1">
        <v>45047</v>
      </c>
      <c r="B4007" t="s">
        <v>296</v>
      </c>
      <c r="C4007" t="s">
        <v>1101</v>
      </c>
      <c r="D4007">
        <v>0</v>
      </c>
      <c r="E4007" s="2">
        <v>93503391</v>
      </c>
      <c r="F4007" s="2">
        <v>93503391</v>
      </c>
    </row>
    <row r="4008" spans="1:6" x14ac:dyDescent="0.25">
      <c r="A4008" s="1">
        <v>45047</v>
      </c>
      <c r="B4008" t="s">
        <v>48</v>
      </c>
      <c r="C4008" t="s">
        <v>1077</v>
      </c>
      <c r="D4008" s="2">
        <v>-137174.47</v>
      </c>
      <c r="E4008" s="2">
        <v>-137174.47</v>
      </c>
      <c r="F4008" s="2">
        <v>4362825.53</v>
      </c>
    </row>
    <row r="4009" spans="1:6" x14ac:dyDescent="0.25">
      <c r="A4009" s="1">
        <v>45047</v>
      </c>
      <c r="B4009" t="s">
        <v>19</v>
      </c>
      <c r="C4009" t="s">
        <v>1002</v>
      </c>
      <c r="D4009" s="2">
        <v>101000</v>
      </c>
      <c r="E4009" s="2">
        <v>17999.86</v>
      </c>
      <c r="F4009" s="2">
        <v>17999.86</v>
      </c>
    </row>
    <row r="4010" spans="1:6" x14ac:dyDescent="0.25">
      <c r="A4010" s="1">
        <v>45047</v>
      </c>
      <c r="B4010" t="s">
        <v>98</v>
      </c>
      <c r="C4010" t="s">
        <v>469</v>
      </c>
      <c r="D4010">
        <v>0</v>
      </c>
      <c r="E4010">
        <v>0</v>
      </c>
      <c r="F4010">
        <v>0</v>
      </c>
    </row>
    <row r="4011" spans="1:6" x14ac:dyDescent="0.25">
      <c r="A4011" s="1">
        <v>45047</v>
      </c>
      <c r="B4011" t="s">
        <v>821</v>
      </c>
      <c r="C4011" t="s">
        <v>822</v>
      </c>
      <c r="D4011" s="2">
        <v>308091.53999999998</v>
      </c>
      <c r="E4011" s="2">
        <v>229527.46</v>
      </c>
      <c r="F4011" s="2">
        <v>225344.54</v>
      </c>
    </row>
    <row r="4012" spans="1:6" x14ac:dyDescent="0.25">
      <c r="A4012" s="1">
        <v>45047</v>
      </c>
      <c r="B4012" t="s">
        <v>21</v>
      </c>
      <c r="C4012" t="s">
        <v>1017</v>
      </c>
      <c r="D4012" s="2">
        <v>100000</v>
      </c>
      <c r="E4012">
        <v>0</v>
      </c>
      <c r="F4012">
        <v>0</v>
      </c>
    </row>
    <row r="4013" spans="1:6" x14ac:dyDescent="0.25">
      <c r="A4013" s="1">
        <v>45047</v>
      </c>
      <c r="B4013" t="s">
        <v>118</v>
      </c>
      <c r="C4013" t="s">
        <v>911</v>
      </c>
      <c r="D4013" s="2">
        <v>-157353594.30000001</v>
      </c>
      <c r="E4013">
        <v>0</v>
      </c>
      <c r="F4013">
        <v>0</v>
      </c>
    </row>
    <row r="4014" spans="1:6" x14ac:dyDescent="0.25">
      <c r="A4014" s="1">
        <v>45047</v>
      </c>
      <c r="B4014" t="s">
        <v>344</v>
      </c>
      <c r="C4014" t="s">
        <v>1156</v>
      </c>
      <c r="D4014" s="2">
        <v>5760</v>
      </c>
      <c r="E4014" s="2">
        <v>8205.9500000000007</v>
      </c>
      <c r="F4014" s="2">
        <v>7343.65</v>
      </c>
    </row>
    <row r="4015" spans="1:6" x14ac:dyDescent="0.25">
      <c r="A4015" s="1">
        <v>45047</v>
      </c>
      <c r="B4015" t="s">
        <v>648</v>
      </c>
      <c r="C4015" t="s">
        <v>1236</v>
      </c>
      <c r="D4015">
        <v>0</v>
      </c>
      <c r="E4015">
        <v>0</v>
      </c>
      <c r="F4015">
        <v>0</v>
      </c>
    </row>
    <row r="4016" spans="1:6" x14ac:dyDescent="0.25">
      <c r="A4016" s="1">
        <v>45047</v>
      </c>
      <c r="B4016" t="s">
        <v>53</v>
      </c>
      <c r="C4016" t="s">
        <v>495</v>
      </c>
      <c r="D4016" s="2">
        <v>389681.55</v>
      </c>
      <c r="E4016" s="2">
        <v>289681.55</v>
      </c>
      <c r="F4016" s="2">
        <v>289681.55</v>
      </c>
    </row>
    <row r="4017" spans="1:6" x14ac:dyDescent="0.25">
      <c r="A4017" s="1">
        <v>45047</v>
      </c>
      <c r="B4017" t="s">
        <v>48</v>
      </c>
      <c r="C4017" t="s">
        <v>1132</v>
      </c>
      <c r="D4017" s="2">
        <v>17795431.469999999</v>
      </c>
      <c r="E4017" s="2">
        <v>17422686.59</v>
      </c>
      <c r="F4017" s="2">
        <v>17422686.59</v>
      </c>
    </row>
    <row r="4018" spans="1:6" x14ac:dyDescent="0.25">
      <c r="A4018" s="1">
        <v>45047</v>
      </c>
      <c r="B4018" t="s">
        <v>50</v>
      </c>
      <c r="C4018" t="s">
        <v>1160</v>
      </c>
      <c r="D4018">
        <v>0</v>
      </c>
      <c r="E4018">
        <v>0</v>
      </c>
      <c r="F4018">
        <v>0</v>
      </c>
    </row>
    <row r="4019" spans="1:6" x14ac:dyDescent="0.25">
      <c r="A4019" s="1">
        <v>45047</v>
      </c>
      <c r="B4019" t="s">
        <v>476</v>
      </c>
      <c r="C4019" t="s">
        <v>477</v>
      </c>
      <c r="D4019">
        <v>0</v>
      </c>
      <c r="E4019">
        <v>0</v>
      </c>
      <c r="F4019">
        <v>0</v>
      </c>
    </row>
    <row r="4020" spans="1:6" x14ac:dyDescent="0.25">
      <c r="A4020" s="1">
        <v>45047</v>
      </c>
      <c r="B4020" t="s">
        <v>50</v>
      </c>
      <c r="C4020" t="s">
        <v>323</v>
      </c>
      <c r="D4020" s="2">
        <v>212470.08</v>
      </c>
      <c r="E4020" s="2">
        <v>19121.650000000001</v>
      </c>
      <c r="F4020" s="2">
        <v>2071.3000000000002</v>
      </c>
    </row>
    <row r="4021" spans="1:6" x14ac:dyDescent="0.25">
      <c r="A4021" s="1">
        <v>45047</v>
      </c>
      <c r="B4021" t="s">
        <v>23</v>
      </c>
      <c r="C4021" t="s">
        <v>551</v>
      </c>
      <c r="D4021" s="2">
        <v>127795.49</v>
      </c>
      <c r="E4021" s="2">
        <v>23803.35</v>
      </c>
      <c r="F4021" s="2">
        <v>28462.35</v>
      </c>
    </row>
    <row r="4022" spans="1:6" x14ac:dyDescent="0.25">
      <c r="A4022" s="1">
        <v>45047</v>
      </c>
      <c r="B4022" t="s">
        <v>96</v>
      </c>
      <c r="C4022" t="s">
        <v>243</v>
      </c>
      <c r="D4022">
        <v>0</v>
      </c>
      <c r="E4022">
        <v>0</v>
      </c>
      <c r="F4022">
        <v>0</v>
      </c>
    </row>
    <row r="4023" spans="1:6" x14ac:dyDescent="0.25">
      <c r="A4023" s="1">
        <v>45047</v>
      </c>
      <c r="B4023" t="s">
        <v>44</v>
      </c>
      <c r="C4023" t="s">
        <v>1237</v>
      </c>
      <c r="D4023" s="2">
        <v>4723.04</v>
      </c>
      <c r="E4023">
        <v>0</v>
      </c>
      <c r="F4023">
        <v>0</v>
      </c>
    </row>
    <row r="4024" spans="1:6" x14ac:dyDescent="0.25">
      <c r="A4024" s="1">
        <v>45047</v>
      </c>
      <c r="B4024" t="s">
        <v>25</v>
      </c>
      <c r="C4024" t="s">
        <v>1094</v>
      </c>
      <c r="D4024">
        <v>0</v>
      </c>
      <c r="E4024">
        <v>0</v>
      </c>
      <c r="F4024">
        <v>0</v>
      </c>
    </row>
    <row r="4025" spans="1:6" x14ac:dyDescent="0.25">
      <c r="A4025" s="1">
        <v>45047</v>
      </c>
      <c r="B4025" t="s">
        <v>196</v>
      </c>
      <c r="C4025" t="s">
        <v>563</v>
      </c>
      <c r="D4025">
        <v>0</v>
      </c>
      <c r="E4025">
        <v>0</v>
      </c>
      <c r="F4025">
        <v>0</v>
      </c>
    </row>
    <row r="4026" spans="1:6" x14ac:dyDescent="0.25">
      <c r="A4026" s="1">
        <v>45047</v>
      </c>
      <c r="B4026" t="s">
        <v>40</v>
      </c>
      <c r="C4026" t="s">
        <v>1238</v>
      </c>
      <c r="D4026">
        <v>0</v>
      </c>
      <c r="E4026">
        <v>0</v>
      </c>
      <c r="F4026">
        <v>0</v>
      </c>
    </row>
    <row r="4027" spans="1:6" x14ac:dyDescent="0.25">
      <c r="A4027" s="1">
        <v>45047</v>
      </c>
      <c r="B4027" t="s">
        <v>187</v>
      </c>
      <c r="C4027" t="s">
        <v>812</v>
      </c>
      <c r="D4027" s="2">
        <v>2458943.21</v>
      </c>
      <c r="E4027" s="2">
        <v>4278407.34</v>
      </c>
      <c r="F4027" s="2">
        <v>3832542.9</v>
      </c>
    </row>
    <row r="4028" spans="1:6" x14ac:dyDescent="0.25">
      <c r="A4028" s="1">
        <v>45047</v>
      </c>
      <c r="B4028" t="s">
        <v>132</v>
      </c>
      <c r="C4028" t="s">
        <v>613</v>
      </c>
      <c r="D4028">
        <v>0</v>
      </c>
      <c r="E4028" s="2">
        <v>2531112.4</v>
      </c>
      <c r="F4028" s="2">
        <v>2531112.4</v>
      </c>
    </row>
    <row r="4029" spans="1:6" x14ac:dyDescent="0.25">
      <c r="A4029" s="1">
        <v>45047</v>
      </c>
      <c r="B4029" t="s">
        <v>21</v>
      </c>
      <c r="C4029" t="s">
        <v>301</v>
      </c>
      <c r="D4029">
        <v>0</v>
      </c>
      <c r="E4029" s="2">
        <v>17746.03</v>
      </c>
      <c r="F4029" s="2">
        <v>17746.03</v>
      </c>
    </row>
    <row r="4030" spans="1:6" x14ac:dyDescent="0.25">
      <c r="A4030" s="1">
        <v>45047</v>
      </c>
      <c r="B4030" t="s">
        <v>31</v>
      </c>
      <c r="C4030" t="s">
        <v>668</v>
      </c>
      <c r="D4030">
        <v>0</v>
      </c>
      <c r="E4030">
        <v>0</v>
      </c>
      <c r="F4030">
        <v>0</v>
      </c>
    </row>
    <row r="4031" spans="1:6" x14ac:dyDescent="0.25">
      <c r="A4031" s="1">
        <v>45047</v>
      </c>
      <c r="B4031" t="s">
        <v>37</v>
      </c>
      <c r="C4031" t="s">
        <v>134</v>
      </c>
      <c r="D4031">
        <v>0</v>
      </c>
      <c r="E4031">
        <v>0</v>
      </c>
      <c r="F4031">
        <v>0</v>
      </c>
    </row>
    <row r="4032" spans="1:6" x14ac:dyDescent="0.25">
      <c r="A4032" s="1">
        <v>45047</v>
      </c>
      <c r="B4032" t="s">
        <v>426</v>
      </c>
      <c r="C4032" t="s">
        <v>427</v>
      </c>
      <c r="D4032" s="2">
        <v>165750000000</v>
      </c>
      <c r="E4032" s="2">
        <v>163357964020.14999</v>
      </c>
      <c r="F4032" s="2">
        <v>163357964020.14999</v>
      </c>
    </row>
    <row r="4033" spans="1:6" x14ac:dyDescent="0.25">
      <c r="A4033" s="1">
        <v>45047</v>
      </c>
      <c r="B4033" t="s">
        <v>61</v>
      </c>
      <c r="C4033" t="s">
        <v>728</v>
      </c>
      <c r="D4033">
        <v>0</v>
      </c>
      <c r="E4033">
        <v>0</v>
      </c>
      <c r="F4033">
        <v>0</v>
      </c>
    </row>
    <row r="4034" spans="1:6" x14ac:dyDescent="0.25">
      <c r="A4034" s="1">
        <v>45047</v>
      </c>
      <c r="B4034" t="s">
        <v>90</v>
      </c>
      <c r="C4034" t="s">
        <v>326</v>
      </c>
      <c r="D4034" s="2">
        <v>199628.36</v>
      </c>
      <c r="E4034" s="2">
        <v>1725057.19</v>
      </c>
      <c r="F4034" s="2">
        <v>1724868.91</v>
      </c>
    </row>
    <row r="4035" spans="1:6" x14ac:dyDescent="0.25">
      <c r="A4035" s="1">
        <v>45047</v>
      </c>
      <c r="B4035" t="s">
        <v>154</v>
      </c>
      <c r="C4035" t="s">
        <v>467</v>
      </c>
      <c r="D4035" s="2">
        <v>4656982.62</v>
      </c>
      <c r="E4035" s="2">
        <v>744506.7</v>
      </c>
      <c r="F4035" s="2">
        <v>716169.79</v>
      </c>
    </row>
    <row r="4036" spans="1:6" x14ac:dyDescent="0.25">
      <c r="A4036" s="1">
        <v>45047</v>
      </c>
      <c r="B4036" t="s">
        <v>44</v>
      </c>
      <c r="C4036" t="s">
        <v>228</v>
      </c>
      <c r="D4036" s="2">
        <v>521548.16</v>
      </c>
      <c r="E4036" s="2">
        <v>308401.94</v>
      </c>
      <c r="F4036" s="2">
        <v>300242.24</v>
      </c>
    </row>
    <row r="4037" spans="1:6" x14ac:dyDescent="0.25">
      <c r="A4037" s="1">
        <v>45047</v>
      </c>
      <c r="B4037" t="s">
        <v>92</v>
      </c>
      <c r="C4037" t="s">
        <v>1239</v>
      </c>
      <c r="D4037" s="2">
        <v>983317.91</v>
      </c>
      <c r="E4037" s="2">
        <v>983317.91</v>
      </c>
      <c r="F4037" s="2">
        <v>983317.91</v>
      </c>
    </row>
    <row r="4038" spans="1:6" x14ac:dyDescent="0.25">
      <c r="A4038" s="1">
        <v>45047</v>
      </c>
      <c r="B4038" t="s">
        <v>19</v>
      </c>
      <c r="C4038" t="s">
        <v>1050</v>
      </c>
      <c r="D4038" s="2">
        <v>50000</v>
      </c>
      <c r="E4038" s="2">
        <v>17499.37</v>
      </c>
      <c r="F4038" s="2">
        <v>17499.37</v>
      </c>
    </row>
    <row r="4039" spans="1:6" x14ac:dyDescent="0.25">
      <c r="A4039" s="1">
        <v>45047</v>
      </c>
      <c r="B4039" t="s">
        <v>17</v>
      </c>
      <c r="C4039" t="s">
        <v>256</v>
      </c>
      <c r="D4039" s="2">
        <v>3835778.35</v>
      </c>
      <c r="E4039" s="2">
        <v>2636645.2400000002</v>
      </c>
      <c r="F4039" s="2">
        <v>2651468.04</v>
      </c>
    </row>
    <row r="4040" spans="1:6" x14ac:dyDescent="0.25">
      <c r="A4040" s="1">
        <v>45047</v>
      </c>
      <c r="B4040" t="s">
        <v>11</v>
      </c>
      <c r="C4040" t="s">
        <v>204</v>
      </c>
      <c r="D4040">
        <v>0</v>
      </c>
      <c r="E4040" s="2">
        <v>180037213.09</v>
      </c>
      <c r="F4040" s="2">
        <v>180037213.09</v>
      </c>
    </row>
    <row r="4041" spans="1:6" x14ac:dyDescent="0.25">
      <c r="A4041" s="1">
        <v>45047</v>
      </c>
      <c r="B4041" t="s">
        <v>90</v>
      </c>
      <c r="C4041" t="s">
        <v>91</v>
      </c>
      <c r="D4041">
        <v>0</v>
      </c>
      <c r="E4041">
        <v>0</v>
      </c>
      <c r="F4041">
        <v>0</v>
      </c>
    </row>
    <row r="4042" spans="1:6" x14ac:dyDescent="0.25">
      <c r="A4042" s="1">
        <v>45047</v>
      </c>
      <c r="B4042" t="s">
        <v>11</v>
      </c>
      <c r="C4042" t="s">
        <v>300</v>
      </c>
      <c r="D4042">
        <v>0</v>
      </c>
      <c r="E4042" s="2">
        <v>101666779.05</v>
      </c>
      <c r="F4042" s="2">
        <v>101666779.05</v>
      </c>
    </row>
    <row r="4043" spans="1:6" x14ac:dyDescent="0.25">
      <c r="A4043" s="1">
        <v>45047</v>
      </c>
      <c r="B4043" t="s">
        <v>441</v>
      </c>
      <c r="C4043" t="s">
        <v>442</v>
      </c>
      <c r="D4043">
        <v>0</v>
      </c>
      <c r="E4043">
        <v>0</v>
      </c>
      <c r="F4043">
        <v>0</v>
      </c>
    </row>
    <row r="4044" spans="1:6" x14ac:dyDescent="0.25">
      <c r="A4044" s="1">
        <v>45047</v>
      </c>
      <c r="B4044" t="s">
        <v>50</v>
      </c>
      <c r="C4044" t="s">
        <v>146</v>
      </c>
      <c r="D4044" s="2">
        <v>142536076</v>
      </c>
      <c r="E4044" s="2">
        <v>23604856.109999999</v>
      </c>
      <c r="F4044" s="2">
        <v>23604856.109999999</v>
      </c>
    </row>
    <row r="4045" spans="1:6" x14ac:dyDescent="0.25">
      <c r="A4045" s="1">
        <v>45047</v>
      </c>
      <c r="B4045" t="s">
        <v>21</v>
      </c>
      <c r="C4045" t="s">
        <v>353</v>
      </c>
      <c r="D4045">
        <v>0</v>
      </c>
      <c r="E4045">
        <v>0</v>
      </c>
      <c r="F4045">
        <v>0</v>
      </c>
    </row>
    <row r="4046" spans="1:6" x14ac:dyDescent="0.25">
      <c r="A4046" s="1">
        <v>45047</v>
      </c>
      <c r="B4046" t="s">
        <v>251</v>
      </c>
      <c r="C4046" t="s">
        <v>332</v>
      </c>
      <c r="D4046" s="2">
        <v>159346892.09</v>
      </c>
      <c r="E4046" s="2">
        <v>50780867.740000002</v>
      </c>
      <c r="F4046" s="2">
        <v>50780867.740000002</v>
      </c>
    </row>
    <row r="4047" spans="1:6" x14ac:dyDescent="0.25">
      <c r="A4047" s="1">
        <v>45047</v>
      </c>
      <c r="B4047" t="s">
        <v>50</v>
      </c>
      <c r="C4047" t="s">
        <v>596</v>
      </c>
      <c r="D4047" s="2">
        <v>93256.28</v>
      </c>
      <c r="E4047" s="2">
        <v>214458.98</v>
      </c>
      <c r="F4047" s="2">
        <v>231935.72</v>
      </c>
    </row>
    <row r="4048" spans="1:6" x14ac:dyDescent="0.25">
      <c r="A4048" s="1">
        <v>45047</v>
      </c>
      <c r="B4048" t="s">
        <v>98</v>
      </c>
      <c r="C4048" t="s">
        <v>186</v>
      </c>
      <c r="D4048">
        <v>0</v>
      </c>
      <c r="E4048">
        <v>0</v>
      </c>
      <c r="F4048">
        <v>0</v>
      </c>
    </row>
    <row r="4049" spans="1:6" x14ac:dyDescent="0.25">
      <c r="A4049" s="1">
        <v>45047</v>
      </c>
      <c r="B4049" t="s">
        <v>48</v>
      </c>
      <c r="C4049" t="s">
        <v>1089</v>
      </c>
      <c r="D4049" s="2">
        <v>610000</v>
      </c>
      <c r="E4049" s="2">
        <v>500778.89</v>
      </c>
      <c r="F4049" s="2">
        <v>500778.89</v>
      </c>
    </row>
    <row r="4050" spans="1:6" x14ac:dyDescent="0.25">
      <c r="A4050" s="1">
        <v>45047</v>
      </c>
      <c r="B4050" t="s">
        <v>23</v>
      </c>
      <c r="C4050" t="s">
        <v>410</v>
      </c>
      <c r="D4050">
        <v>0</v>
      </c>
      <c r="E4050">
        <v>0</v>
      </c>
      <c r="F4050">
        <v>0</v>
      </c>
    </row>
    <row r="4051" spans="1:6" x14ac:dyDescent="0.25">
      <c r="A4051" s="1">
        <v>45047</v>
      </c>
      <c r="B4051" t="s">
        <v>162</v>
      </c>
      <c r="C4051" t="s">
        <v>1052</v>
      </c>
      <c r="D4051">
        <v>0</v>
      </c>
      <c r="E4051" s="2">
        <v>20471326</v>
      </c>
      <c r="F4051" s="2">
        <v>20471326</v>
      </c>
    </row>
    <row r="4052" spans="1:6" x14ac:dyDescent="0.25">
      <c r="A4052" s="1">
        <v>45047</v>
      </c>
      <c r="B4052" t="s">
        <v>816</v>
      </c>
      <c r="C4052" t="s">
        <v>974</v>
      </c>
      <c r="D4052">
        <v>0</v>
      </c>
      <c r="E4052">
        <v>0</v>
      </c>
      <c r="F4052">
        <v>0</v>
      </c>
    </row>
    <row r="4053" spans="1:6" x14ac:dyDescent="0.25">
      <c r="A4053" s="1">
        <v>45047</v>
      </c>
      <c r="B4053" t="s">
        <v>21</v>
      </c>
      <c r="C4053" t="s">
        <v>1119</v>
      </c>
      <c r="D4053">
        <v>0</v>
      </c>
      <c r="E4053">
        <v>0</v>
      </c>
      <c r="F4053">
        <v>0</v>
      </c>
    </row>
    <row r="4054" spans="1:6" x14ac:dyDescent="0.25">
      <c r="A4054" s="1">
        <v>45047</v>
      </c>
      <c r="B4054" t="s">
        <v>48</v>
      </c>
      <c r="C4054" t="s">
        <v>1240</v>
      </c>
      <c r="D4054" s="2">
        <v>25000</v>
      </c>
      <c r="E4054">
        <v>0</v>
      </c>
      <c r="F4054">
        <v>0</v>
      </c>
    </row>
    <row r="4055" spans="1:6" x14ac:dyDescent="0.25">
      <c r="A4055" s="1">
        <v>45047</v>
      </c>
      <c r="B4055" t="s">
        <v>694</v>
      </c>
      <c r="C4055" t="s">
        <v>486</v>
      </c>
      <c r="D4055">
        <v>0</v>
      </c>
      <c r="E4055">
        <v>0</v>
      </c>
      <c r="F4055">
        <v>0</v>
      </c>
    </row>
    <row r="4056" spans="1:6" x14ac:dyDescent="0.25">
      <c r="A4056" s="1">
        <v>45047</v>
      </c>
      <c r="B4056" t="s">
        <v>68</v>
      </c>
      <c r="C4056" t="s">
        <v>221</v>
      </c>
      <c r="D4056" s="2">
        <v>122306180.79000001</v>
      </c>
      <c r="E4056" s="2">
        <v>11856434.369999999</v>
      </c>
      <c r="F4056" s="2">
        <v>12650121.880000001</v>
      </c>
    </row>
    <row r="4057" spans="1:6" x14ac:dyDescent="0.25">
      <c r="A4057" s="1">
        <v>45047</v>
      </c>
      <c r="B4057" t="s">
        <v>46</v>
      </c>
      <c r="C4057" t="s">
        <v>587</v>
      </c>
      <c r="D4057" s="2">
        <v>250000</v>
      </c>
      <c r="E4057" s="2">
        <v>114692.16</v>
      </c>
      <c r="F4057" s="2">
        <v>96445.95</v>
      </c>
    </row>
    <row r="4058" spans="1:6" x14ac:dyDescent="0.25">
      <c r="A4058" s="1">
        <v>45047</v>
      </c>
      <c r="B4058" t="s">
        <v>42</v>
      </c>
      <c r="C4058" t="s">
        <v>1241</v>
      </c>
      <c r="D4058" s="2">
        <v>11845171</v>
      </c>
      <c r="E4058">
        <v>0</v>
      </c>
      <c r="F4058">
        <v>0</v>
      </c>
    </row>
    <row r="4059" spans="1:6" x14ac:dyDescent="0.25">
      <c r="A4059" s="1">
        <v>45047</v>
      </c>
      <c r="B4059" t="s">
        <v>65</v>
      </c>
      <c r="C4059" t="s">
        <v>834</v>
      </c>
      <c r="D4059" s="2">
        <v>19084589.620000001</v>
      </c>
      <c r="E4059" s="2">
        <v>6869961.5899999999</v>
      </c>
      <c r="F4059" s="2">
        <v>6826429.2699999996</v>
      </c>
    </row>
    <row r="4060" spans="1:6" x14ac:dyDescent="0.25">
      <c r="A4060" s="1">
        <v>45047</v>
      </c>
      <c r="B4060" t="s">
        <v>278</v>
      </c>
      <c r="C4060" t="s">
        <v>279</v>
      </c>
      <c r="D4060" s="2">
        <v>101100.15</v>
      </c>
      <c r="E4060" s="2">
        <v>433873.64</v>
      </c>
      <c r="F4060" s="2">
        <v>430498.84</v>
      </c>
    </row>
    <row r="4061" spans="1:6" x14ac:dyDescent="0.25">
      <c r="A4061" s="1">
        <v>45047</v>
      </c>
      <c r="B4061" t="s">
        <v>65</v>
      </c>
      <c r="C4061" t="s">
        <v>201</v>
      </c>
      <c r="D4061" s="2">
        <v>317563.24</v>
      </c>
      <c r="E4061" s="2">
        <v>441917.18</v>
      </c>
      <c r="F4061" s="2">
        <v>440569.49</v>
      </c>
    </row>
    <row r="4062" spans="1:6" x14ac:dyDescent="0.25">
      <c r="A4062" s="1">
        <v>45047</v>
      </c>
      <c r="B4062" t="s">
        <v>68</v>
      </c>
      <c r="C4062" t="s">
        <v>69</v>
      </c>
      <c r="D4062">
        <v>0</v>
      </c>
      <c r="E4062">
        <v>0</v>
      </c>
      <c r="F4062">
        <v>0</v>
      </c>
    </row>
    <row r="4063" spans="1:6" x14ac:dyDescent="0.25">
      <c r="A4063" s="1">
        <v>45047</v>
      </c>
      <c r="B4063" t="s">
        <v>40</v>
      </c>
      <c r="C4063" t="s">
        <v>135</v>
      </c>
      <c r="D4063" s="2">
        <v>468257.89</v>
      </c>
      <c r="E4063" s="2">
        <v>468257.89</v>
      </c>
      <c r="F4063" s="2">
        <v>468261.51</v>
      </c>
    </row>
    <row r="4064" spans="1:6" x14ac:dyDescent="0.25">
      <c r="A4064" s="1">
        <v>45047</v>
      </c>
      <c r="B4064" t="s">
        <v>306</v>
      </c>
      <c r="C4064" t="s">
        <v>334</v>
      </c>
      <c r="D4064">
        <v>0</v>
      </c>
      <c r="E4064" s="2">
        <v>398457.55</v>
      </c>
      <c r="F4064" s="2">
        <v>398457.55</v>
      </c>
    </row>
    <row r="4065" spans="1:6" x14ac:dyDescent="0.25">
      <c r="A4065" s="1">
        <v>45047</v>
      </c>
      <c r="B4065" t="s">
        <v>17</v>
      </c>
      <c r="C4065" t="s">
        <v>673</v>
      </c>
      <c r="D4065">
        <v>0</v>
      </c>
      <c r="E4065">
        <v>0</v>
      </c>
      <c r="F4065">
        <v>0</v>
      </c>
    </row>
    <row r="4066" spans="1:6" x14ac:dyDescent="0.25">
      <c r="A4066" s="1">
        <v>45047</v>
      </c>
      <c r="B4066" t="s">
        <v>15</v>
      </c>
      <c r="C4066" t="s">
        <v>964</v>
      </c>
      <c r="D4066">
        <v>0</v>
      </c>
      <c r="E4066">
        <v>0</v>
      </c>
      <c r="F4066">
        <v>0</v>
      </c>
    </row>
    <row r="4067" spans="1:6" x14ac:dyDescent="0.25">
      <c r="A4067" s="1">
        <v>45047</v>
      </c>
      <c r="B4067" t="s">
        <v>17</v>
      </c>
      <c r="C4067" t="s">
        <v>477</v>
      </c>
      <c r="D4067">
        <v>0</v>
      </c>
      <c r="E4067">
        <v>0</v>
      </c>
      <c r="F4067">
        <v>0</v>
      </c>
    </row>
    <row r="4068" spans="1:6" x14ac:dyDescent="0.25">
      <c r="A4068" s="1">
        <v>45047</v>
      </c>
      <c r="B4068" t="s">
        <v>460</v>
      </c>
      <c r="C4068" t="s">
        <v>461</v>
      </c>
      <c r="D4068" s="2">
        <v>56353.77</v>
      </c>
      <c r="E4068" s="2">
        <v>15265.11</v>
      </c>
      <c r="F4068" s="2">
        <v>15265.11</v>
      </c>
    </row>
    <row r="4069" spans="1:6" x14ac:dyDescent="0.25">
      <c r="A4069" s="1">
        <v>45047</v>
      </c>
      <c r="B4069" t="s">
        <v>17</v>
      </c>
      <c r="C4069" t="s">
        <v>1034</v>
      </c>
      <c r="D4069">
        <v>0</v>
      </c>
      <c r="E4069">
        <v>0</v>
      </c>
      <c r="F4069">
        <v>0</v>
      </c>
    </row>
    <row r="4070" spans="1:6" x14ac:dyDescent="0.25">
      <c r="A4070" s="1">
        <v>45047</v>
      </c>
      <c r="B4070" t="s">
        <v>21</v>
      </c>
      <c r="C4070" t="s">
        <v>212</v>
      </c>
      <c r="D4070" s="2">
        <v>23000000</v>
      </c>
      <c r="E4070" s="2">
        <v>4208143.12</v>
      </c>
      <c r="F4070">
        <v>0</v>
      </c>
    </row>
    <row r="4071" spans="1:6" x14ac:dyDescent="0.25">
      <c r="A4071" s="1">
        <v>45047</v>
      </c>
      <c r="B4071" t="s">
        <v>68</v>
      </c>
      <c r="C4071" t="s">
        <v>339</v>
      </c>
      <c r="D4071" s="2">
        <v>824513.87</v>
      </c>
      <c r="E4071" s="2">
        <v>1037946.93</v>
      </c>
      <c r="F4071" s="2">
        <v>1037565.79</v>
      </c>
    </row>
    <row r="4072" spans="1:6" x14ac:dyDescent="0.25">
      <c r="A4072" s="1">
        <v>45047</v>
      </c>
      <c r="B4072" t="s">
        <v>37</v>
      </c>
      <c r="C4072" t="s">
        <v>420</v>
      </c>
      <c r="D4072" s="2">
        <v>230000000</v>
      </c>
      <c r="E4072" s="2">
        <v>318618246.00999999</v>
      </c>
      <c r="F4072" s="2">
        <v>318618246.00999999</v>
      </c>
    </row>
    <row r="4073" spans="1:6" x14ac:dyDescent="0.25">
      <c r="A4073" s="1">
        <v>45047</v>
      </c>
      <c r="B4073" t="s">
        <v>25</v>
      </c>
      <c r="C4073" t="s">
        <v>324</v>
      </c>
      <c r="D4073">
        <v>0</v>
      </c>
      <c r="E4073">
        <v>0</v>
      </c>
      <c r="F4073">
        <v>0</v>
      </c>
    </row>
    <row r="4074" spans="1:6" x14ac:dyDescent="0.25">
      <c r="A4074" s="1">
        <v>45047</v>
      </c>
      <c r="B4074" t="s">
        <v>234</v>
      </c>
      <c r="C4074" t="s">
        <v>412</v>
      </c>
      <c r="D4074" s="2">
        <v>322000</v>
      </c>
      <c r="E4074" s="2">
        <v>321389.2</v>
      </c>
      <c r="F4074" s="2">
        <v>321389.2</v>
      </c>
    </row>
    <row r="4075" spans="1:6" x14ac:dyDescent="0.25">
      <c r="A4075" s="1">
        <v>45047</v>
      </c>
      <c r="B4075" t="s">
        <v>42</v>
      </c>
      <c r="C4075" t="s">
        <v>72</v>
      </c>
      <c r="D4075">
        <v>0</v>
      </c>
      <c r="E4075">
        <v>0</v>
      </c>
      <c r="F4075">
        <v>0</v>
      </c>
    </row>
    <row r="4076" spans="1:6" x14ac:dyDescent="0.25">
      <c r="A4076" s="1">
        <v>45047</v>
      </c>
      <c r="B4076" t="s">
        <v>132</v>
      </c>
      <c r="C4076" t="s">
        <v>989</v>
      </c>
      <c r="D4076" s="2">
        <v>938408.59</v>
      </c>
      <c r="E4076" s="2">
        <v>882803</v>
      </c>
      <c r="F4076" s="2">
        <v>787964.82</v>
      </c>
    </row>
    <row r="4077" spans="1:6" x14ac:dyDescent="0.25">
      <c r="A4077" s="1">
        <v>45047</v>
      </c>
      <c r="B4077" t="s">
        <v>23</v>
      </c>
      <c r="C4077" t="s">
        <v>281</v>
      </c>
      <c r="D4077">
        <v>0</v>
      </c>
      <c r="E4077">
        <v>0</v>
      </c>
      <c r="F4077">
        <v>0</v>
      </c>
    </row>
    <row r="4078" spans="1:6" x14ac:dyDescent="0.25">
      <c r="A4078" s="1">
        <v>45047</v>
      </c>
      <c r="B4078" t="s">
        <v>278</v>
      </c>
      <c r="C4078" t="s">
        <v>340</v>
      </c>
      <c r="D4078" s="2">
        <v>100110.18</v>
      </c>
      <c r="E4078" s="2">
        <v>228234.12</v>
      </c>
      <c r="F4078" s="2">
        <v>196952.68</v>
      </c>
    </row>
    <row r="4079" spans="1:6" x14ac:dyDescent="0.25">
      <c r="A4079" s="1">
        <v>45047</v>
      </c>
      <c r="B4079" t="s">
        <v>37</v>
      </c>
      <c r="C4079" t="s">
        <v>734</v>
      </c>
      <c r="D4079">
        <v>0</v>
      </c>
      <c r="E4079">
        <v>0</v>
      </c>
      <c r="F4079">
        <v>0</v>
      </c>
    </row>
    <row r="4080" spans="1:6" x14ac:dyDescent="0.25">
      <c r="A4080" s="1">
        <v>45047</v>
      </c>
      <c r="B4080" t="s">
        <v>21</v>
      </c>
      <c r="C4080" t="s">
        <v>969</v>
      </c>
      <c r="D4080">
        <v>0</v>
      </c>
      <c r="E4080">
        <v>0</v>
      </c>
      <c r="F4080" s="2">
        <v>8000000</v>
      </c>
    </row>
    <row r="4081" spans="1:6" x14ac:dyDescent="0.25">
      <c r="A4081" s="1">
        <v>45047</v>
      </c>
      <c r="B4081" t="s">
        <v>196</v>
      </c>
      <c r="C4081" t="s">
        <v>926</v>
      </c>
      <c r="D4081">
        <v>0</v>
      </c>
      <c r="E4081">
        <v>0</v>
      </c>
      <c r="F4081">
        <v>0</v>
      </c>
    </row>
    <row r="4082" spans="1:6" x14ac:dyDescent="0.25">
      <c r="A4082" s="1">
        <v>45047</v>
      </c>
      <c r="B4082" t="s">
        <v>63</v>
      </c>
      <c r="C4082" t="s">
        <v>142</v>
      </c>
      <c r="D4082" s="2">
        <v>2431578.91</v>
      </c>
      <c r="E4082">
        <v>0</v>
      </c>
      <c r="F4082">
        <v>0</v>
      </c>
    </row>
    <row r="4083" spans="1:6" x14ac:dyDescent="0.25">
      <c r="A4083" s="1">
        <v>45047</v>
      </c>
      <c r="B4083" t="s">
        <v>405</v>
      </c>
      <c r="C4083" t="s">
        <v>1060</v>
      </c>
      <c r="D4083">
        <v>0</v>
      </c>
      <c r="E4083">
        <v>0</v>
      </c>
      <c r="F4083">
        <v>0</v>
      </c>
    </row>
    <row r="4084" spans="1:6" x14ac:dyDescent="0.25">
      <c r="A4084" s="1">
        <v>45047</v>
      </c>
      <c r="B4084" t="s">
        <v>105</v>
      </c>
      <c r="C4084" t="s">
        <v>393</v>
      </c>
      <c r="D4084" s="2">
        <v>5834450.4500000002</v>
      </c>
      <c r="E4084" s="2">
        <v>6780</v>
      </c>
      <c r="F4084" s="2">
        <v>2808</v>
      </c>
    </row>
    <row r="4085" spans="1:6" x14ac:dyDescent="0.25">
      <c r="A4085" s="1">
        <v>45047</v>
      </c>
      <c r="B4085" t="s">
        <v>234</v>
      </c>
      <c r="C4085" t="s">
        <v>959</v>
      </c>
      <c r="D4085">
        <v>0</v>
      </c>
      <c r="E4085">
        <v>0</v>
      </c>
      <c r="F4085">
        <v>0</v>
      </c>
    </row>
    <row r="4086" spans="1:6" x14ac:dyDescent="0.25">
      <c r="A4086" s="1">
        <v>45047</v>
      </c>
      <c r="B4086" t="s">
        <v>90</v>
      </c>
      <c r="C4086" t="s">
        <v>1021</v>
      </c>
      <c r="D4086">
        <v>0</v>
      </c>
      <c r="E4086" s="2">
        <v>2912.76</v>
      </c>
      <c r="F4086" s="2">
        <v>3353.98</v>
      </c>
    </row>
    <row r="4087" spans="1:6" x14ac:dyDescent="0.25">
      <c r="A4087" s="1">
        <v>45047</v>
      </c>
      <c r="B4087" t="s">
        <v>44</v>
      </c>
      <c r="C4087" t="s">
        <v>723</v>
      </c>
      <c r="D4087">
        <v>0</v>
      </c>
      <c r="E4087" s="2">
        <v>146575.95000000001</v>
      </c>
      <c r="F4087" s="2">
        <v>192068.82</v>
      </c>
    </row>
    <row r="4088" spans="1:6" x14ac:dyDescent="0.25">
      <c r="A4088" s="1">
        <v>45047</v>
      </c>
      <c r="B4088" t="s">
        <v>40</v>
      </c>
      <c r="C4088" t="s">
        <v>255</v>
      </c>
      <c r="D4088">
        <v>0</v>
      </c>
      <c r="E4088">
        <v>0</v>
      </c>
      <c r="F4088">
        <v>0</v>
      </c>
    </row>
    <row r="4089" spans="1:6" x14ac:dyDescent="0.25">
      <c r="A4089" s="1">
        <v>45047</v>
      </c>
      <c r="B4089" t="s">
        <v>490</v>
      </c>
      <c r="C4089" t="s">
        <v>1190</v>
      </c>
      <c r="D4089" s="2">
        <v>338367853.44999999</v>
      </c>
      <c r="E4089" s="2">
        <v>262813280</v>
      </c>
      <c r="F4089" s="2">
        <v>262813280</v>
      </c>
    </row>
    <row r="4090" spans="1:6" x14ac:dyDescent="0.25">
      <c r="A4090" s="1">
        <v>45047</v>
      </c>
      <c r="B4090" t="s">
        <v>726</v>
      </c>
      <c r="C4090" t="s">
        <v>1011</v>
      </c>
      <c r="D4090" s="2">
        <v>6519396.2599999998</v>
      </c>
      <c r="E4090" s="2">
        <v>894326.1</v>
      </c>
      <c r="F4090" s="2">
        <v>894326.1</v>
      </c>
    </row>
    <row r="4091" spans="1:6" x14ac:dyDescent="0.25">
      <c r="A4091" s="1">
        <v>45047</v>
      </c>
      <c r="B4091" t="s">
        <v>50</v>
      </c>
      <c r="C4091" t="s">
        <v>530</v>
      </c>
      <c r="D4091" s="2">
        <v>926578.5</v>
      </c>
      <c r="E4091" s="2">
        <v>530945.23</v>
      </c>
      <c r="F4091" s="2">
        <v>484759.11</v>
      </c>
    </row>
    <row r="4092" spans="1:6" x14ac:dyDescent="0.25">
      <c r="A4092" s="1">
        <v>45047</v>
      </c>
      <c r="B4092" t="s">
        <v>261</v>
      </c>
      <c r="C4092" t="s">
        <v>34</v>
      </c>
      <c r="D4092">
        <v>0</v>
      </c>
      <c r="E4092">
        <v>0</v>
      </c>
      <c r="F4092">
        <v>0</v>
      </c>
    </row>
    <row r="4093" spans="1:6" x14ac:dyDescent="0.25">
      <c r="A4093" s="1">
        <v>45047</v>
      </c>
      <c r="B4093" t="s">
        <v>21</v>
      </c>
      <c r="C4093" t="s">
        <v>527</v>
      </c>
      <c r="D4093" s="2">
        <v>60000</v>
      </c>
      <c r="E4093" s="2">
        <v>4898667.5999999996</v>
      </c>
      <c r="F4093" s="2">
        <v>3721370.24</v>
      </c>
    </row>
    <row r="4094" spans="1:6" x14ac:dyDescent="0.25">
      <c r="A4094" s="1">
        <v>45047</v>
      </c>
      <c r="B4094" t="s">
        <v>27</v>
      </c>
      <c r="C4094" t="s">
        <v>346</v>
      </c>
      <c r="D4094" s="2">
        <v>122381.11</v>
      </c>
      <c r="E4094" s="2">
        <v>16133.01</v>
      </c>
      <c r="F4094" s="2">
        <v>16133.01</v>
      </c>
    </row>
    <row r="4095" spans="1:6" x14ac:dyDescent="0.25">
      <c r="A4095" s="1">
        <v>45047</v>
      </c>
      <c r="B4095" t="s">
        <v>50</v>
      </c>
      <c r="C4095" t="s">
        <v>767</v>
      </c>
      <c r="D4095" s="2">
        <v>61897.48</v>
      </c>
      <c r="E4095" s="2">
        <v>40669.360000000001</v>
      </c>
      <c r="F4095" s="2">
        <v>399386.64</v>
      </c>
    </row>
    <row r="4096" spans="1:6" x14ac:dyDescent="0.25">
      <c r="A4096" s="1">
        <v>45047</v>
      </c>
      <c r="B4096" t="s">
        <v>21</v>
      </c>
      <c r="C4096" t="s">
        <v>963</v>
      </c>
      <c r="D4096">
        <v>0</v>
      </c>
      <c r="E4096">
        <v>0</v>
      </c>
      <c r="F4096">
        <v>0</v>
      </c>
    </row>
    <row r="4097" spans="1:6" x14ac:dyDescent="0.25">
      <c r="A4097" s="1">
        <v>45047</v>
      </c>
      <c r="B4097" t="s">
        <v>40</v>
      </c>
      <c r="C4097" t="s">
        <v>555</v>
      </c>
      <c r="D4097" s="2">
        <v>15228797.640000001</v>
      </c>
      <c r="E4097">
        <v>0</v>
      </c>
      <c r="F4097">
        <v>0</v>
      </c>
    </row>
    <row r="4098" spans="1:6" x14ac:dyDescent="0.25">
      <c r="A4098" s="1">
        <v>45047</v>
      </c>
      <c r="B4098" t="s">
        <v>63</v>
      </c>
      <c r="C4098" t="s">
        <v>64</v>
      </c>
      <c r="D4098" s="2">
        <v>2388309.31</v>
      </c>
      <c r="E4098">
        <v>0</v>
      </c>
      <c r="F4098">
        <v>0</v>
      </c>
    </row>
    <row r="4099" spans="1:6" x14ac:dyDescent="0.25">
      <c r="A4099" s="1">
        <v>45047</v>
      </c>
      <c r="B4099" t="s">
        <v>40</v>
      </c>
      <c r="C4099" t="s">
        <v>813</v>
      </c>
      <c r="D4099" s="2">
        <v>26612469.309999999</v>
      </c>
      <c r="E4099">
        <v>0</v>
      </c>
      <c r="F4099">
        <v>0</v>
      </c>
    </row>
    <row r="4100" spans="1:6" x14ac:dyDescent="0.25">
      <c r="A4100" s="1">
        <v>45047</v>
      </c>
      <c r="B4100" t="s">
        <v>196</v>
      </c>
      <c r="C4100" t="s">
        <v>993</v>
      </c>
      <c r="D4100">
        <v>0</v>
      </c>
      <c r="E4100">
        <v>0</v>
      </c>
      <c r="F4100">
        <v>0</v>
      </c>
    </row>
    <row r="4101" spans="1:6" x14ac:dyDescent="0.25">
      <c r="A4101" s="1">
        <v>45047</v>
      </c>
      <c r="B4101" t="s">
        <v>398</v>
      </c>
      <c r="C4101" t="s">
        <v>437</v>
      </c>
      <c r="D4101" s="2">
        <v>12640.96</v>
      </c>
      <c r="E4101" s="2">
        <v>2631914.9300000002</v>
      </c>
      <c r="F4101" s="2">
        <v>2631914.9300000002</v>
      </c>
    </row>
    <row r="4102" spans="1:6" x14ac:dyDescent="0.25">
      <c r="A4102" s="1">
        <v>45047</v>
      </c>
      <c r="B4102" t="s">
        <v>344</v>
      </c>
      <c r="C4102" t="s">
        <v>1054</v>
      </c>
      <c r="D4102" s="2">
        <v>249000</v>
      </c>
      <c r="E4102" s="2">
        <v>73962.740000000005</v>
      </c>
      <c r="F4102" s="2">
        <v>71902.59</v>
      </c>
    </row>
    <row r="4103" spans="1:6" x14ac:dyDescent="0.25">
      <c r="A4103" s="1">
        <v>45047</v>
      </c>
      <c r="B4103" t="s">
        <v>296</v>
      </c>
      <c r="C4103" t="s">
        <v>230</v>
      </c>
      <c r="D4103" s="2">
        <v>9551356.3300000001</v>
      </c>
      <c r="E4103">
        <v>0</v>
      </c>
      <c r="F4103">
        <v>0</v>
      </c>
    </row>
    <row r="4104" spans="1:6" x14ac:dyDescent="0.25">
      <c r="A4104" s="1">
        <v>45047</v>
      </c>
      <c r="B4104" t="s">
        <v>31</v>
      </c>
      <c r="C4104" t="s">
        <v>553</v>
      </c>
      <c r="D4104">
        <v>0</v>
      </c>
      <c r="E4104">
        <v>0</v>
      </c>
      <c r="F4104">
        <v>0</v>
      </c>
    </row>
    <row r="4105" spans="1:6" x14ac:dyDescent="0.25">
      <c r="A4105" s="1">
        <v>45047</v>
      </c>
      <c r="B4105" t="s">
        <v>234</v>
      </c>
      <c r="C4105" t="s">
        <v>411</v>
      </c>
      <c r="D4105">
        <v>0</v>
      </c>
      <c r="E4105">
        <v>0</v>
      </c>
      <c r="F4105">
        <v>0</v>
      </c>
    </row>
    <row r="4106" spans="1:6" x14ac:dyDescent="0.25">
      <c r="A4106" s="1">
        <v>45047</v>
      </c>
      <c r="B4106" t="s">
        <v>21</v>
      </c>
      <c r="C4106" t="s">
        <v>622</v>
      </c>
      <c r="D4106">
        <v>0</v>
      </c>
      <c r="E4106">
        <v>0</v>
      </c>
      <c r="F4106">
        <v>0</v>
      </c>
    </row>
    <row r="4107" spans="1:6" x14ac:dyDescent="0.25">
      <c r="A4107" s="1">
        <v>45047</v>
      </c>
      <c r="B4107" t="s">
        <v>490</v>
      </c>
      <c r="C4107" t="s">
        <v>491</v>
      </c>
      <c r="D4107" s="2">
        <v>15717288.75</v>
      </c>
      <c r="E4107" s="2">
        <v>37176728.030000001</v>
      </c>
      <c r="F4107" s="2">
        <v>53311279.659999996</v>
      </c>
    </row>
    <row r="4108" spans="1:6" x14ac:dyDescent="0.25">
      <c r="A4108" s="1">
        <v>45047</v>
      </c>
      <c r="B4108" t="s">
        <v>309</v>
      </c>
      <c r="C4108" t="s">
        <v>1242</v>
      </c>
      <c r="D4108">
        <v>0</v>
      </c>
      <c r="E4108">
        <v>0</v>
      </c>
      <c r="F4108">
        <v>0</v>
      </c>
    </row>
    <row r="4109" spans="1:6" x14ac:dyDescent="0.25">
      <c r="A4109" s="1">
        <v>45047</v>
      </c>
      <c r="B4109" t="s">
        <v>143</v>
      </c>
      <c r="C4109" t="s">
        <v>792</v>
      </c>
      <c r="D4109" s="2">
        <v>254149439.55000001</v>
      </c>
      <c r="E4109" s="2">
        <v>82273899.450000003</v>
      </c>
      <c r="F4109" s="2">
        <v>82273899.450000003</v>
      </c>
    </row>
    <row r="4110" spans="1:6" x14ac:dyDescent="0.25">
      <c r="A4110" s="1">
        <v>45047</v>
      </c>
      <c r="B4110" t="s">
        <v>21</v>
      </c>
      <c r="C4110" t="s">
        <v>939</v>
      </c>
      <c r="D4110">
        <v>0</v>
      </c>
      <c r="E4110" s="2">
        <v>41262.94</v>
      </c>
      <c r="F4110" s="2">
        <v>41262.94</v>
      </c>
    </row>
    <row r="4111" spans="1:6" x14ac:dyDescent="0.25">
      <c r="A4111" s="1">
        <v>45047</v>
      </c>
      <c r="B4111" t="s">
        <v>545</v>
      </c>
      <c r="C4111" t="s">
        <v>1112</v>
      </c>
      <c r="D4111">
        <v>0</v>
      </c>
      <c r="E4111">
        <v>0</v>
      </c>
      <c r="F4111">
        <v>0</v>
      </c>
    </row>
    <row r="4112" spans="1:6" x14ac:dyDescent="0.25">
      <c r="A4112" s="1">
        <v>45047</v>
      </c>
      <c r="B4112" t="s">
        <v>103</v>
      </c>
      <c r="C4112" t="s">
        <v>453</v>
      </c>
      <c r="D4112" s="2">
        <v>17824499</v>
      </c>
      <c r="E4112">
        <v>0</v>
      </c>
      <c r="F4112">
        <v>0</v>
      </c>
    </row>
    <row r="4113" spans="1:6" x14ac:dyDescent="0.25">
      <c r="A4113" s="1">
        <v>45047</v>
      </c>
      <c r="B4113" t="s">
        <v>42</v>
      </c>
      <c r="C4113" t="s">
        <v>1207</v>
      </c>
      <c r="D4113">
        <v>0</v>
      </c>
      <c r="E4113" s="2">
        <v>61789915.689999998</v>
      </c>
      <c r="F4113" s="2">
        <v>61789915.689999998</v>
      </c>
    </row>
    <row r="4114" spans="1:6" x14ac:dyDescent="0.25">
      <c r="A4114" s="1">
        <v>45047</v>
      </c>
      <c r="B4114" t="s">
        <v>234</v>
      </c>
      <c r="C4114" t="s">
        <v>284</v>
      </c>
      <c r="D4114" s="2">
        <v>4324578831</v>
      </c>
      <c r="E4114" s="2">
        <v>4324578831</v>
      </c>
      <c r="F4114" s="2">
        <v>4324578831</v>
      </c>
    </row>
    <row r="4115" spans="1:6" x14ac:dyDescent="0.25">
      <c r="A4115" s="1">
        <v>45047</v>
      </c>
      <c r="B4115" t="s">
        <v>50</v>
      </c>
      <c r="C4115" t="s">
        <v>286</v>
      </c>
      <c r="D4115">
        <v>0</v>
      </c>
      <c r="E4115">
        <v>0</v>
      </c>
      <c r="F4115">
        <v>0</v>
      </c>
    </row>
    <row r="4116" spans="1:6" x14ac:dyDescent="0.25">
      <c r="A4116" s="1">
        <v>45047</v>
      </c>
      <c r="B4116" t="s">
        <v>21</v>
      </c>
      <c r="C4116" t="s">
        <v>369</v>
      </c>
      <c r="D4116" s="2">
        <v>8000</v>
      </c>
      <c r="E4116" s="2">
        <v>125267.22</v>
      </c>
      <c r="F4116" s="2">
        <v>69403.16</v>
      </c>
    </row>
    <row r="4117" spans="1:6" x14ac:dyDescent="0.25">
      <c r="A4117" s="1">
        <v>45047</v>
      </c>
      <c r="B4117" t="s">
        <v>23</v>
      </c>
      <c r="C4117" t="s">
        <v>343</v>
      </c>
      <c r="D4117" s="2">
        <v>43539906</v>
      </c>
      <c r="E4117" s="2">
        <v>59078.62</v>
      </c>
      <c r="F4117" s="2">
        <v>59078.62</v>
      </c>
    </row>
    <row r="4118" spans="1:6" x14ac:dyDescent="0.25">
      <c r="A4118" s="1">
        <v>45047</v>
      </c>
      <c r="B4118" t="s">
        <v>159</v>
      </c>
      <c r="C4118" t="s">
        <v>302</v>
      </c>
      <c r="D4118" s="2">
        <v>-1270.99</v>
      </c>
      <c r="E4118" s="2">
        <v>29680.959999999999</v>
      </c>
      <c r="F4118" s="2">
        <v>29971.88</v>
      </c>
    </row>
    <row r="4119" spans="1:6" x14ac:dyDescent="0.25">
      <c r="A4119" s="1">
        <v>45047</v>
      </c>
      <c r="B4119" t="s">
        <v>100</v>
      </c>
      <c r="C4119" t="s">
        <v>416</v>
      </c>
      <c r="D4119">
        <v>0</v>
      </c>
      <c r="E4119">
        <v>0</v>
      </c>
      <c r="F4119">
        <v>0</v>
      </c>
    </row>
    <row r="4120" spans="1:6" x14ac:dyDescent="0.25">
      <c r="A4120" s="1">
        <v>45047</v>
      </c>
      <c r="B4120" t="s">
        <v>402</v>
      </c>
      <c r="C4120" t="s">
        <v>1140</v>
      </c>
      <c r="D4120">
        <v>0</v>
      </c>
      <c r="E4120">
        <v>0</v>
      </c>
      <c r="F4120">
        <v>0</v>
      </c>
    </row>
    <row r="4121" spans="1:6" x14ac:dyDescent="0.25">
      <c r="A4121" s="1">
        <v>45047</v>
      </c>
      <c r="B4121" t="s">
        <v>7</v>
      </c>
      <c r="C4121" t="s">
        <v>8</v>
      </c>
      <c r="D4121" s="2">
        <v>116753413509.00999</v>
      </c>
      <c r="E4121" s="2">
        <v>115846684706.19</v>
      </c>
      <c r="F4121" s="2">
        <v>115846684706.19</v>
      </c>
    </row>
    <row r="4122" spans="1:6" x14ac:dyDescent="0.25">
      <c r="A4122" s="1">
        <v>45047</v>
      </c>
      <c r="B4122" t="s">
        <v>21</v>
      </c>
      <c r="C4122" t="s">
        <v>406</v>
      </c>
      <c r="D4122">
        <v>0</v>
      </c>
      <c r="E4122" s="2">
        <v>11566177.470000001</v>
      </c>
      <c r="F4122" s="2">
        <v>10246177.460000001</v>
      </c>
    </row>
    <row r="4123" spans="1:6" x14ac:dyDescent="0.25">
      <c r="A4123" s="1">
        <v>45047</v>
      </c>
      <c r="B4123" t="s">
        <v>181</v>
      </c>
      <c r="C4123" t="s">
        <v>363</v>
      </c>
      <c r="D4123">
        <v>0</v>
      </c>
      <c r="E4123">
        <v>0</v>
      </c>
      <c r="F4123">
        <v>0</v>
      </c>
    </row>
    <row r="4124" spans="1:6" x14ac:dyDescent="0.25">
      <c r="A4124" s="1">
        <v>45047</v>
      </c>
      <c r="B4124" t="s">
        <v>17</v>
      </c>
      <c r="C4124" t="s">
        <v>67</v>
      </c>
      <c r="D4124" s="2">
        <v>15657353.810000001</v>
      </c>
      <c r="E4124" s="2">
        <v>13609071</v>
      </c>
      <c r="F4124">
        <v>0</v>
      </c>
    </row>
    <row r="4125" spans="1:6" x14ac:dyDescent="0.25">
      <c r="A4125" s="1">
        <v>45047</v>
      </c>
      <c r="B4125" t="s">
        <v>90</v>
      </c>
      <c r="C4125" t="s">
        <v>244</v>
      </c>
      <c r="D4125">
        <v>0</v>
      </c>
      <c r="E4125">
        <v>0</v>
      </c>
      <c r="F4125">
        <v>0</v>
      </c>
    </row>
    <row r="4126" spans="1:6" x14ac:dyDescent="0.25">
      <c r="A4126" s="1">
        <v>45047</v>
      </c>
      <c r="B4126" t="s">
        <v>21</v>
      </c>
      <c r="C4126" t="s">
        <v>634</v>
      </c>
      <c r="D4126">
        <v>0</v>
      </c>
      <c r="E4126">
        <v>0</v>
      </c>
      <c r="F4126">
        <v>0</v>
      </c>
    </row>
    <row r="4127" spans="1:6" x14ac:dyDescent="0.25">
      <c r="A4127" s="1">
        <v>45047</v>
      </c>
      <c r="B4127" t="s">
        <v>40</v>
      </c>
      <c r="C4127" t="s">
        <v>450</v>
      </c>
      <c r="D4127" s="2">
        <v>2160600.52</v>
      </c>
      <c r="E4127" s="2">
        <v>616217.63</v>
      </c>
      <c r="F4127" s="2">
        <v>671493.11</v>
      </c>
    </row>
    <row r="4128" spans="1:6" x14ac:dyDescent="0.25">
      <c r="A4128" s="1">
        <v>45047</v>
      </c>
      <c r="B4128" t="s">
        <v>50</v>
      </c>
      <c r="C4128" t="s">
        <v>425</v>
      </c>
      <c r="D4128">
        <v>0</v>
      </c>
      <c r="E4128">
        <v>0</v>
      </c>
      <c r="F4128">
        <v>0</v>
      </c>
    </row>
    <row r="4129" spans="1:6" x14ac:dyDescent="0.25">
      <c r="A4129" s="1">
        <v>45047</v>
      </c>
      <c r="B4129" t="s">
        <v>48</v>
      </c>
      <c r="C4129" t="s">
        <v>1243</v>
      </c>
      <c r="D4129">
        <v>0</v>
      </c>
      <c r="E4129">
        <v>0</v>
      </c>
      <c r="F4129">
        <v>0</v>
      </c>
    </row>
    <row r="4130" spans="1:6" x14ac:dyDescent="0.25">
      <c r="A4130" s="1">
        <v>45047</v>
      </c>
      <c r="B4130" t="s">
        <v>118</v>
      </c>
      <c r="C4130" t="s">
        <v>508</v>
      </c>
      <c r="D4130" s="2">
        <v>15802</v>
      </c>
      <c r="E4130">
        <v>0</v>
      </c>
      <c r="F4130">
        <v>0</v>
      </c>
    </row>
    <row r="4131" spans="1:6" x14ac:dyDescent="0.25">
      <c r="A4131" s="1">
        <v>45047</v>
      </c>
      <c r="B4131" t="s">
        <v>55</v>
      </c>
      <c r="C4131" t="s">
        <v>1244</v>
      </c>
      <c r="D4131">
        <v>0</v>
      </c>
      <c r="E4131">
        <v>0</v>
      </c>
      <c r="F4131">
        <v>0</v>
      </c>
    </row>
    <row r="4132" spans="1:6" x14ac:dyDescent="0.25">
      <c r="A4132" s="1">
        <v>45047</v>
      </c>
      <c r="B4132" t="s">
        <v>107</v>
      </c>
      <c r="C4132" t="s">
        <v>505</v>
      </c>
      <c r="D4132" s="2">
        <v>5037117.96</v>
      </c>
      <c r="E4132" s="2">
        <v>4440277.43</v>
      </c>
      <c r="F4132" s="2">
        <v>4440277.43</v>
      </c>
    </row>
    <row r="4133" spans="1:6" x14ac:dyDescent="0.25">
      <c r="A4133" s="1">
        <v>45047</v>
      </c>
      <c r="B4133" t="s">
        <v>21</v>
      </c>
      <c r="C4133" t="s">
        <v>463</v>
      </c>
      <c r="D4133" s="2">
        <v>1648256.86</v>
      </c>
      <c r="E4133">
        <v>0</v>
      </c>
      <c r="F4133">
        <v>0</v>
      </c>
    </row>
    <row r="4134" spans="1:6" x14ac:dyDescent="0.25">
      <c r="A4134" s="1">
        <v>45047</v>
      </c>
      <c r="B4134" t="s">
        <v>490</v>
      </c>
      <c r="C4134" t="s">
        <v>993</v>
      </c>
      <c r="D4134">
        <v>0</v>
      </c>
      <c r="E4134">
        <v>0</v>
      </c>
      <c r="F4134">
        <v>0</v>
      </c>
    </row>
    <row r="4135" spans="1:6" x14ac:dyDescent="0.25">
      <c r="A4135" s="1">
        <v>45047</v>
      </c>
      <c r="B4135" t="s">
        <v>48</v>
      </c>
      <c r="C4135" t="s">
        <v>1245</v>
      </c>
      <c r="D4135">
        <v>0</v>
      </c>
      <c r="E4135">
        <v>0</v>
      </c>
      <c r="F4135">
        <v>0</v>
      </c>
    </row>
    <row r="4136" spans="1:6" x14ac:dyDescent="0.25">
      <c r="A4136" s="1">
        <v>45047</v>
      </c>
      <c r="B4136" t="s">
        <v>44</v>
      </c>
      <c r="C4136" t="s">
        <v>254</v>
      </c>
      <c r="D4136" s="2">
        <v>27165.5</v>
      </c>
      <c r="E4136" s="2">
        <v>73084.5</v>
      </c>
      <c r="F4136" s="2">
        <v>73084.5</v>
      </c>
    </row>
    <row r="4137" spans="1:6" x14ac:dyDescent="0.25">
      <c r="A4137" s="1">
        <v>45047</v>
      </c>
      <c r="B4137" t="s">
        <v>21</v>
      </c>
      <c r="C4137" t="s">
        <v>642</v>
      </c>
      <c r="D4137" s="2">
        <v>1429538.6</v>
      </c>
      <c r="E4137" s="2">
        <v>2011320.96</v>
      </c>
      <c r="F4137" s="2">
        <v>1926504.77</v>
      </c>
    </row>
    <row r="4138" spans="1:6" x14ac:dyDescent="0.25">
      <c r="A4138" s="1">
        <v>45047</v>
      </c>
      <c r="B4138" t="s">
        <v>120</v>
      </c>
      <c r="C4138" t="s">
        <v>927</v>
      </c>
      <c r="D4138">
        <v>0</v>
      </c>
      <c r="E4138">
        <v>0</v>
      </c>
      <c r="F4138">
        <v>0</v>
      </c>
    </row>
    <row r="4139" spans="1:6" x14ac:dyDescent="0.25">
      <c r="A4139" s="1">
        <v>45047</v>
      </c>
      <c r="B4139" t="s">
        <v>181</v>
      </c>
      <c r="C4139" t="s">
        <v>1125</v>
      </c>
      <c r="D4139">
        <v>0</v>
      </c>
      <c r="E4139">
        <v>0</v>
      </c>
      <c r="F4139">
        <v>0</v>
      </c>
    </row>
    <row r="4140" spans="1:6" x14ac:dyDescent="0.25">
      <c r="A4140" s="1">
        <v>45047</v>
      </c>
      <c r="B4140" t="s">
        <v>107</v>
      </c>
      <c r="C4140" t="s">
        <v>189</v>
      </c>
      <c r="D4140" s="2">
        <v>14884800</v>
      </c>
      <c r="E4140" s="2">
        <v>25293800</v>
      </c>
      <c r="F4140" s="2">
        <v>25293800</v>
      </c>
    </row>
    <row r="4141" spans="1:6" x14ac:dyDescent="0.25">
      <c r="A4141" s="1">
        <v>45047</v>
      </c>
      <c r="B4141" t="s">
        <v>196</v>
      </c>
      <c r="C4141" t="s">
        <v>897</v>
      </c>
      <c r="D4141">
        <v>0</v>
      </c>
      <c r="E4141">
        <v>0</v>
      </c>
      <c r="F4141">
        <v>0</v>
      </c>
    </row>
    <row r="4142" spans="1:6" x14ac:dyDescent="0.25">
      <c r="A4142" s="1">
        <v>45047</v>
      </c>
      <c r="B4142" t="s">
        <v>17</v>
      </c>
      <c r="C4142" t="s">
        <v>935</v>
      </c>
      <c r="D4142" s="2">
        <v>10628.72</v>
      </c>
      <c r="E4142">
        <v>0</v>
      </c>
      <c r="F4142">
        <v>0</v>
      </c>
    </row>
    <row r="4143" spans="1:6" x14ac:dyDescent="0.25">
      <c r="A4143" s="1">
        <v>45047</v>
      </c>
      <c r="B4143" t="s">
        <v>306</v>
      </c>
      <c r="C4143" t="s">
        <v>841</v>
      </c>
      <c r="D4143" s="2">
        <v>9935297.3499999996</v>
      </c>
      <c r="E4143" s="2">
        <v>2589590.61</v>
      </c>
      <c r="F4143" s="2">
        <v>1980968.73</v>
      </c>
    </row>
    <row r="4144" spans="1:6" x14ac:dyDescent="0.25">
      <c r="A4144" s="1">
        <v>45047</v>
      </c>
      <c r="B4144" t="s">
        <v>46</v>
      </c>
      <c r="C4144" t="s">
        <v>674</v>
      </c>
      <c r="D4144" s="2">
        <v>18915962.129999999</v>
      </c>
      <c r="E4144" s="2">
        <v>10117269.48</v>
      </c>
      <c r="F4144" s="2">
        <v>9921763.8200000003</v>
      </c>
    </row>
    <row r="4145" spans="1:6" x14ac:dyDescent="0.25">
      <c r="A4145" s="1">
        <v>45047</v>
      </c>
      <c r="B4145" t="s">
        <v>13</v>
      </c>
      <c r="C4145" t="s">
        <v>446</v>
      </c>
      <c r="D4145" s="2">
        <v>63759138.780000001</v>
      </c>
      <c r="E4145" s="2">
        <v>82199500.629999995</v>
      </c>
      <c r="F4145" s="2">
        <v>79213636.920000002</v>
      </c>
    </row>
    <row r="4146" spans="1:6" x14ac:dyDescent="0.25">
      <c r="A4146" s="1">
        <v>45047</v>
      </c>
      <c r="B4146" t="s">
        <v>23</v>
      </c>
      <c r="C4146" t="s">
        <v>1012</v>
      </c>
      <c r="D4146" s="2">
        <v>8846270.8399999999</v>
      </c>
      <c r="E4146">
        <v>938.06</v>
      </c>
      <c r="F4146">
        <v>938.06</v>
      </c>
    </row>
    <row r="4147" spans="1:6" x14ac:dyDescent="0.25">
      <c r="A4147" s="1">
        <v>45047</v>
      </c>
      <c r="B4147" t="s">
        <v>101</v>
      </c>
      <c r="C4147" t="s">
        <v>102</v>
      </c>
      <c r="D4147">
        <v>0</v>
      </c>
      <c r="E4147" s="2">
        <v>2258.15</v>
      </c>
      <c r="F4147">
        <v>0</v>
      </c>
    </row>
    <row r="4148" spans="1:6" x14ac:dyDescent="0.25">
      <c r="A4148" s="1">
        <v>45047</v>
      </c>
      <c r="B4148" t="s">
        <v>105</v>
      </c>
      <c r="C4148" t="s">
        <v>150</v>
      </c>
      <c r="D4148" s="2">
        <v>41851250</v>
      </c>
      <c r="E4148" s="2">
        <v>5587225.75</v>
      </c>
      <c r="F4148" s="2">
        <v>5587225.75</v>
      </c>
    </row>
    <row r="4149" spans="1:6" x14ac:dyDescent="0.25">
      <c r="A4149" s="1">
        <v>45047</v>
      </c>
      <c r="B4149" t="s">
        <v>37</v>
      </c>
      <c r="C4149" t="s">
        <v>577</v>
      </c>
      <c r="D4149" s="2">
        <v>15466.31</v>
      </c>
      <c r="E4149" s="2">
        <v>126181.73</v>
      </c>
      <c r="F4149" s="2">
        <v>126318.44</v>
      </c>
    </row>
    <row r="4150" spans="1:6" x14ac:dyDescent="0.25">
      <c r="A4150" s="1">
        <v>45047</v>
      </c>
      <c r="B4150" t="s">
        <v>40</v>
      </c>
      <c r="C4150" t="s">
        <v>857</v>
      </c>
      <c r="D4150" s="2">
        <v>297887113.06999999</v>
      </c>
      <c r="E4150" s="2">
        <v>1951563178.04</v>
      </c>
      <c r="F4150" s="2">
        <v>1942373988.4300001</v>
      </c>
    </row>
    <row r="4151" spans="1:6" x14ac:dyDescent="0.25">
      <c r="A4151" s="1">
        <v>45047</v>
      </c>
      <c r="B4151" t="s">
        <v>132</v>
      </c>
      <c r="C4151" t="s">
        <v>265</v>
      </c>
      <c r="D4151" s="2">
        <v>108333333.33</v>
      </c>
      <c r="E4151" s="2">
        <v>108333333.33</v>
      </c>
      <c r="F4151" s="2">
        <v>108333333.33</v>
      </c>
    </row>
    <row r="4152" spans="1:6" x14ac:dyDescent="0.25">
      <c r="A4152" s="1">
        <v>45047</v>
      </c>
      <c r="B4152" t="s">
        <v>40</v>
      </c>
      <c r="C4152" t="s">
        <v>803</v>
      </c>
      <c r="D4152" s="2">
        <v>68000</v>
      </c>
      <c r="E4152" s="2">
        <v>621068.80000000005</v>
      </c>
      <c r="F4152" s="2">
        <v>673851.19</v>
      </c>
    </row>
    <row r="4153" spans="1:6" x14ac:dyDescent="0.25">
      <c r="A4153" s="1">
        <v>45047</v>
      </c>
      <c r="B4153" t="s">
        <v>355</v>
      </c>
      <c r="C4153" t="s">
        <v>417</v>
      </c>
      <c r="D4153">
        <v>0</v>
      </c>
      <c r="E4153" s="2">
        <v>233966.02</v>
      </c>
      <c r="F4153" s="2">
        <v>233966.02</v>
      </c>
    </row>
    <row r="4154" spans="1:6" x14ac:dyDescent="0.25">
      <c r="A4154" s="1">
        <v>45047</v>
      </c>
      <c r="B4154" t="s">
        <v>40</v>
      </c>
      <c r="C4154" t="s">
        <v>388</v>
      </c>
      <c r="D4154">
        <v>0</v>
      </c>
      <c r="E4154" s="2">
        <v>149084.25</v>
      </c>
      <c r="F4154" s="2">
        <v>45884.12</v>
      </c>
    </row>
    <row r="4155" spans="1:6" x14ac:dyDescent="0.25">
      <c r="A4155" s="1">
        <v>45047</v>
      </c>
      <c r="B4155" t="s">
        <v>27</v>
      </c>
      <c r="C4155" t="s">
        <v>835</v>
      </c>
      <c r="D4155" s="2">
        <v>2960800</v>
      </c>
      <c r="E4155" s="2">
        <v>403461.64</v>
      </c>
      <c r="F4155" s="2">
        <v>403461.64</v>
      </c>
    </row>
    <row r="4156" spans="1:6" x14ac:dyDescent="0.25">
      <c r="A4156" s="1">
        <v>45047</v>
      </c>
      <c r="B4156" t="s">
        <v>206</v>
      </c>
      <c r="C4156" t="s">
        <v>534</v>
      </c>
      <c r="D4156" s="2">
        <v>6700</v>
      </c>
      <c r="E4156" s="2">
        <v>83616.81</v>
      </c>
      <c r="F4156" s="2">
        <v>86264.24</v>
      </c>
    </row>
    <row r="4157" spans="1:6" x14ac:dyDescent="0.25">
      <c r="A4157" s="1">
        <v>45047</v>
      </c>
      <c r="B4157" t="s">
        <v>94</v>
      </c>
      <c r="C4157" t="s">
        <v>95</v>
      </c>
      <c r="D4157">
        <v>0</v>
      </c>
      <c r="E4157">
        <v>0</v>
      </c>
      <c r="F4157">
        <v>0</v>
      </c>
    </row>
    <row r="4158" spans="1:6" x14ac:dyDescent="0.25">
      <c r="A4158" s="1">
        <v>45047</v>
      </c>
      <c r="B4158" t="s">
        <v>40</v>
      </c>
      <c r="C4158" t="s">
        <v>440</v>
      </c>
      <c r="D4158" s="2">
        <v>1400925.11</v>
      </c>
      <c r="E4158" s="2">
        <v>235168.3</v>
      </c>
      <c r="F4158" s="2">
        <v>272031.09000000003</v>
      </c>
    </row>
    <row r="4159" spans="1:6" x14ac:dyDescent="0.25">
      <c r="A4159" s="1">
        <v>45047</v>
      </c>
      <c r="B4159" t="s">
        <v>21</v>
      </c>
      <c r="C4159" t="s">
        <v>973</v>
      </c>
      <c r="D4159" s="2">
        <v>30000000</v>
      </c>
      <c r="E4159" s="2">
        <v>107452.02</v>
      </c>
      <c r="F4159">
        <v>0</v>
      </c>
    </row>
    <row r="4160" spans="1:6" x14ac:dyDescent="0.25">
      <c r="A4160" s="1">
        <v>45047</v>
      </c>
      <c r="B4160" t="s">
        <v>31</v>
      </c>
      <c r="C4160" t="s">
        <v>223</v>
      </c>
      <c r="D4160" s="2">
        <v>351822967.06</v>
      </c>
      <c r="E4160">
        <v>0</v>
      </c>
      <c r="F4160">
        <v>0</v>
      </c>
    </row>
    <row r="4161" spans="1:6" x14ac:dyDescent="0.25">
      <c r="A4161" s="1">
        <v>45047</v>
      </c>
      <c r="B4161" t="s">
        <v>42</v>
      </c>
      <c r="C4161" t="s">
        <v>670</v>
      </c>
      <c r="D4161" s="2">
        <v>2329978.4500000002</v>
      </c>
      <c r="E4161" s="2">
        <v>611580.21</v>
      </c>
      <c r="F4161" s="2">
        <v>1208776.8799999999</v>
      </c>
    </row>
    <row r="4162" spans="1:6" x14ac:dyDescent="0.25">
      <c r="A4162" s="1">
        <v>45047</v>
      </c>
      <c r="B4162" t="s">
        <v>46</v>
      </c>
      <c r="C4162" t="s">
        <v>86</v>
      </c>
      <c r="D4162" s="2">
        <v>4115870.06</v>
      </c>
      <c r="E4162" s="2">
        <v>251444.89</v>
      </c>
      <c r="F4162" s="2">
        <v>244864.59</v>
      </c>
    </row>
    <row r="4163" spans="1:6" x14ac:dyDescent="0.25">
      <c r="A4163" s="1">
        <v>45047</v>
      </c>
      <c r="B4163" t="s">
        <v>19</v>
      </c>
      <c r="C4163" t="s">
        <v>168</v>
      </c>
      <c r="D4163" s="2">
        <v>658169.03</v>
      </c>
      <c r="E4163" s="2">
        <v>2175076.0699999998</v>
      </c>
      <c r="F4163" s="2">
        <v>3473301.18</v>
      </c>
    </row>
    <row r="4164" spans="1:6" x14ac:dyDescent="0.25">
      <c r="A4164" s="1">
        <v>45047</v>
      </c>
      <c r="B4164" t="s">
        <v>9</v>
      </c>
      <c r="C4164" t="s">
        <v>1151</v>
      </c>
      <c r="D4164">
        <v>0</v>
      </c>
      <c r="E4164">
        <v>0</v>
      </c>
      <c r="F4164">
        <v>0</v>
      </c>
    </row>
    <row r="4165" spans="1:6" x14ac:dyDescent="0.25">
      <c r="A4165" s="1">
        <v>45047</v>
      </c>
      <c r="B4165" t="s">
        <v>44</v>
      </c>
      <c r="C4165" t="s">
        <v>45</v>
      </c>
      <c r="D4165" s="2">
        <v>30000</v>
      </c>
      <c r="E4165" s="2">
        <v>2022.77</v>
      </c>
      <c r="F4165" s="2">
        <v>2022.77</v>
      </c>
    </row>
    <row r="4166" spans="1:6" x14ac:dyDescent="0.25">
      <c r="A4166" s="1">
        <v>45047</v>
      </c>
      <c r="B4166" t="s">
        <v>46</v>
      </c>
      <c r="C4166" t="s">
        <v>820</v>
      </c>
      <c r="D4166" s="2">
        <v>4472240.13</v>
      </c>
      <c r="E4166" s="2">
        <v>130700.59</v>
      </c>
      <c r="F4166" s="2">
        <v>130965.34</v>
      </c>
    </row>
    <row r="4167" spans="1:6" x14ac:dyDescent="0.25">
      <c r="A4167" s="1">
        <v>45047</v>
      </c>
      <c r="B4167" t="s">
        <v>21</v>
      </c>
      <c r="C4167" t="s">
        <v>1246</v>
      </c>
      <c r="D4167">
        <v>0</v>
      </c>
      <c r="E4167">
        <v>0</v>
      </c>
      <c r="F4167">
        <v>0</v>
      </c>
    </row>
    <row r="4168" spans="1:6" x14ac:dyDescent="0.25">
      <c r="A4168" s="1">
        <v>45047</v>
      </c>
      <c r="B4168" t="s">
        <v>11</v>
      </c>
      <c r="C4168" t="s">
        <v>250</v>
      </c>
      <c r="D4168" s="2">
        <v>275471972</v>
      </c>
      <c r="E4168">
        <v>0</v>
      </c>
      <c r="F4168">
        <v>0</v>
      </c>
    </row>
    <row r="4169" spans="1:6" x14ac:dyDescent="0.25">
      <c r="A4169" s="1">
        <v>45047</v>
      </c>
      <c r="B4169" t="s">
        <v>159</v>
      </c>
      <c r="C4169" t="s">
        <v>986</v>
      </c>
      <c r="D4169" s="2">
        <v>23650000</v>
      </c>
      <c r="E4169">
        <v>0</v>
      </c>
      <c r="F4169">
        <v>0</v>
      </c>
    </row>
    <row r="4170" spans="1:6" x14ac:dyDescent="0.25">
      <c r="A4170" s="1">
        <v>45047</v>
      </c>
      <c r="B4170" t="s">
        <v>206</v>
      </c>
      <c r="C4170" t="s">
        <v>832</v>
      </c>
      <c r="D4170" s="2">
        <v>-18900000</v>
      </c>
      <c r="E4170">
        <v>0</v>
      </c>
      <c r="F4170">
        <v>0</v>
      </c>
    </row>
    <row r="4171" spans="1:6" x14ac:dyDescent="0.25">
      <c r="A4171" s="1">
        <v>45047</v>
      </c>
      <c r="B4171" t="s">
        <v>490</v>
      </c>
      <c r="C4171" t="s">
        <v>538</v>
      </c>
      <c r="D4171" s="2">
        <v>136485</v>
      </c>
      <c r="E4171" s="2">
        <v>80099555</v>
      </c>
      <c r="F4171" s="2">
        <v>75962555</v>
      </c>
    </row>
    <row r="4172" spans="1:6" x14ac:dyDescent="0.25">
      <c r="A4172" s="1">
        <v>45047</v>
      </c>
      <c r="B4172" t="s">
        <v>23</v>
      </c>
      <c r="C4172" t="s">
        <v>439</v>
      </c>
      <c r="D4172" s="2">
        <v>347705.92</v>
      </c>
      <c r="E4172" s="2">
        <v>17982.93</v>
      </c>
      <c r="F4172" s="2">
        <v>17982.93</v>
      </c>
    </row>
    <row r="4173" spans="1:6" x14ac:dyDescent="0.25">
      <c r="A4173" s="1">
        <v>45047</v>
      </c>
      <c r="B4173" t="s">
        <v>21</v>
      </c>
      <c r="C4173" t="s">
        <v>497</v>
      </c>
      <c r="D4173" s="2">
        <v>6300352.6500000004</v>
      </c>
      <c r="E4173" s="2">
        <v>1479706.79</v>
      </c>
      <c r="F4173" s="2">
        <v>1479706.79</v>
      </c>
    </row>
    <row r="4174" spans="1:6" x14ac:dyDescent="0.25">
      <c r="A4174" s="1">
        <v>45047</v>
      </c>
      <c r="B4174" t="s">
        <v>132</v>
      </c>
      <c r="C4174" t="s">
        <v>140</v>
      </c>
      <c r="D4174" s="2">
        <v>22601670.440000001</v>
      </c>
      <c r="E4174" s="2">
        <v>47421589.060000002</v>
      </c>
      <c r="F4174" s="2">
        <v>40376374.68</v>
      </c>
    </row>
    <row r="4175" spans="1:6" x14ac:dyDescent="0.25">
      <c r="A4175" s="1">
        <v>45047</v>
      </c>
      <c r="B4175" t="s">
        <v>694</v>
      </c>
      <c r="C4175" t="s">
        <v>658</v>
      </c>
      <c r="D4175">
        <v>0</v>
      </c>
      <c r="E4175">
        <v>0</v>
      </c>
      <c r="F4175">
        <v>0</v>
      </c>
    </row>
    <row r="4176" spans="1:6" x14ac:dyDescent="0.25">
      <c r="A4176" s="1">
        <v>45047</v>
      </c>
      <c r="B4176" t="s">
        <v>11</v>
      </c>
      <c r="C4176" t="s">
        <v>705</v>
      </c>
      <c r="D4176">
        <v>0</v>
      </c>
      <c r="E4176" s="2">
        <v>346901813.67000002</v>
      </c>
      <c r="F4176" s="2">
        <v>346901813.67000002</v>
      </c>
    </row>
    <row r="4177" spans="1:6" x14ac:dyDescent="0.25">
      <c r="A4177" s="1">
        <v>45047</v>
      </c>
      <c r="B4177" t="s">
        <v>50</v>
      </c>
      <c r="C4177" t="s">
        <v>51</v>
      </c>
      <c r="D4177">
        <v>0</v>
      </c>
      <c r="E4177">
        <v>0</v>
      </c>
      <c r="F4177">
        <v>0</v>
      </c>
    </row>
    <row r="4178" spans="1:6" x14ac:dyDescent="0.25">
      <c r="A4178" s="1">
        <v>45047</v>
      </c>
      <c r="B4178" t="s">
        <v>48</v>
      </c>
      <c r="C4178" t="s">
        <v>1247</v>
      </c>
      <c r="D4178">
        <v>0</v>
      </c>
      <c r="E4178">
        <v>0</v>
      </c>
      <c r="F4178">
        <v>0</v>
      </c>
    </row>
    <row r="4179" spans="1:6" x14ac:dyDescent="0.25">
      <c r="A4179" s="1">
        <v>45047</v>
      </c>
      <c r="B4179" t="s">
        <v>282</v>
      </c>
      <c r="C4179" t="s">
        <v>1174</v>
      </c>
      <c r="D4179" s="2">
        <v>-54792.13</v>
      </c>
      <c r="E4179" s="2">
        <v>156923004.41</v>
      </c>
      <c r="F4179" s="2">
        <v>156923004.41</v>
      </c>
    </row>
    <row r="4180" spans="1:6" x14ac:dyDescent="0.25">
      <c r="A4180" s="1">
        <v>45047</v>
      </c>
      <c r="B4180" t="s">
        <v>318</v>
      </c>
      <c r="C4180" t="s">
        <v>319</v>
      </c>
      <c r="D4180">
        <v>0</v>
      </c>
      <c r="E4180">
        <v>0</v>
      </c>
      <c r="F4180">
        <v>0</v>
      </c>
    </row>
    <row r="4181" spans="1:6" x14ac:dyDescent="0.25">
      <c r="A4181" s="1">
        <v>45047</v>
      </c>
      <c r="B4181" t="s">
        <v>40</v>
      </c>
      <c r="C4181" t="s">
        <v>449</v>
      </c>
      <c r="D4181" s="2">
        <v>18325252.5</v>
      </c>
      <c r="E4181" s="2">
        <v>423514.02</v>
      </c>
      <c r="F4181" s="2">
        <v>386843.82</v>
      </c>
    </row>
    <row r="4182" spans="1:6" x14ac:dyDescent="0.25">
      <c r="A4182" s="1">
        <v>45047</v>
      </c>
      <c r="B4182" t="s">
        <v>21</v>
      </c>
      <c r="C4182" t="s">
        <v>211</v>
      </c>
      <c r="D4182" s="2">
        <v>520000</v>
      </c>
      <c r="E4182">
        <v>0</v>
      </c>
      <c r="F4182">
        <v>0</v>
      </c>
    </row>
    <row r="4183" spans="1:6" x14ac:dyDescent="0.25">
      <c r="A4183" s="1">
        <v>45047</v>
      </c>
      <c r="B4183" t="s">
        <v>21</v>
      </c>
      <c r="C4183" t="s">
        <v>795</v>
      </c>
      <c r="D4183" s="2">
        <v>1120000</v>
      </c>
      <c r="E4183">
        <v>0</v>
      </c>
      <c r="F4183">
        <v>0</v>
      </c>
    </row>
    <row r="4184" spans="1:6" x14ac:dyDescent="0.25">
      <c r="A4184" s="1">
        <v>45047</v>
      </c>
      <c r="B4184" t="s">
        <v>37</v>
      </c>
      <c r="C4184" t="s">
        <v>624</v>
      </c>
      <c r="D4184" s="2">
        <v>1432088.58</v>
      </c>
      <c r="E4184" s="2">
        <v>571802.28</v>
      </c>
      <c r="F4184" s="2">
        <v>565886.87</v>
      </c>
    </row>
    <row r="4185" spans="1:6" x14ac:dyDescent="0.25">
      <c r="A4185" s="1">
        <v>45047</v>
      </c>
      <c r="B4185" t="s">
        <v>422</v>
      </c>
      <c r="C4185" t="s">
        <v>473</v>
      </c>
      <c r="D4185" s="2">
        <v>26956.86</v>
      </c>
      <c r="E4185" s="2">
        <v>57180.87</v>
      </c>
      <c r="F4185" s="2">
        <v>57180.87</v>
      </c>
    </row>
    <row r="4186" spans="1:6" x14ac:dyDescent="0.25">
      <c r="A4186" s="1">
        <v>45047</v>
      </c>
      <c r="B4186" t="s">
        <v>15</v>
      </c>
      <c r="C4186" t="s">
        <v>627</v>
      </c>
      <c r="D4186">
        <v>0</v>
      </c>
      <c r="E4186">
        <v>0</v>
      </c>
      <c r="F4186">
        <v>0</v>
      </c>
    </row>
    <row r="4187" spans="1:6" x14ac:dyDescent="0.25">
      <c r="A4187" s="1">
        <v>45047</v>
      </c>
      <c r="B4187" t="s">
        <v>21</v>
      </c>
      <c r="C4187" t="s">
        <v>998</v>
      </c>
      <c r="D4187">
        <v>0</v>
      </c>
      <c r="E4187">
        <v>0</v>
      </c>
      <c r="F4187">
        <v>0</v>
      </c>
    </row>
    <row r="4188" spans="1:6" x14ac:dyDescent="0.25">
      <c r="A4188" s="1">
        <v>45047</v>
      </c>
      <c r="B4188" t="s">
        <v>90</v>
      </c>
      <c r="C4188" t="s">
        <v>428</v>
      </c>
      <c r="D4188" s="2">
        <v>33597158.200000003</v>
      </c>
      <c r="E4188" s="2">
        <v>33259491.350000001</v>
      </c>
      <c r="F4188" s="2">
        <v>33362866.350000001</v>
      </c>
    </row>
    <row r="4189" spans="1:6" x14ac:dyDescent="0.25">
      <c r="A4189" s="1">
        <v>45047</v>
      </c>
      <c r="B4189" t="s">
        <v>40</v>
      </c>
      <c r="C4189" t="s">
        <v>762</v>
      </c>
      <c r="D4189" s="2">
        <v>10481.91</v>
      </c>
      <c r="E4189" s="2">
        <v>3417.39</v>
      </c>
      <c r="F4189">
        <v>0</v>
      </c>
    </row>
    <row r="4190" spans="1:6" x14ac:dyDescent="0.25">
      <c r="A4190" s="1">
        <v>45047</v>
      </c>
      <c r="B4190" t="s">
        <v>23</v>
      </c>
      <c r="C4190" t="s">
        <v>630</v>
      </c>
      <c r="D4190" s="2">
        <v>63815</v>
      </c>
      <c r="E4190" s="2">
        <v>28275</v>
      </c>
      <c r="F4190" s="2">
        <v>28275</v>
      </c>
    </row>
    <row r="4191" spans="1:6" x14ac:dyDescent="0.25">
      <c r="A4191" s="1">
        <v>45047</v>
      </c>
      <c r="B4191" t="s">
        <v>29</v>
      </c>
      <c r="C4191" t="s">
        <v>798</v>
      </c>
      <c r="D4191" s="2">
        <v>98000</v>
      </c>
      <c r="E4191" s="2">
        <v>18000</v>
      </c>
      <c r="F4191" s="2">
        <v>18000</v>
      </c>
    </row>
    <row r="4192" spans="1:6" x14ac:dyDescent="0.25">
      <c r="A4192" s="1">
        <v>45047</v>
      </c>
      <c r="B4192" t="s">
        <v>196</v>
      </c>
      <c r="C4192" t="s">
        <v>468</v>
      </c>
      <c r="D4192">
        <v>0</v>
      </c>
      <c r="E4192">
        <v>0</v>
      </c>
      <c r="F4192">
        <v>0</v>
      </c>
    </row>
    <row r="4193" spans="1:6" x14ac:dyDescent="0.25">
      <c r="A4193" s="1">
        <v>45047</v>
      </c>
      <c r="B4193" t="s">
        <v>1117</v>
      </c>
      <c r="C4193" t="s">
        <v>95</v>
      </c>
      <c r="D4193">
        <v>0</v>
      </c>
      <c r="E4193">
        <v>0</v>
      </c>
      <c r="F4193">
        <v>0</v>
      </c>
    </row>
    <row r="4194" spans="1:6" x14ac:dyDescent="0.25">
      <c r="A4194" s="1">
        <v>45047</v>
      </c>
      <c r="B4194" t="s">
        <v>288</v>
      </c>
      <c r="C4194" t="s">
        <v>390</v>
      </c>
      <c r="D4194" s="2">
        <v>119130.7</v>
      </c>
      <c r="E4194" s="2">
        <v>16162</v>
      </c>
      <c r="F4194" s="2">
        <v>16162</v>
      </c>
    </row>
    <row r="4195" spans="1:6" x14ac:dyDescent="0.25">
      <c r="A4195" s="1">
        <v>45047</v>
      </c>
      <c r="B4195" t="s">
        <v>37</v>
      </c>
      <c r="C4195" t="s">
        <v>1033</v>
      </c>
      <c r="D4195" s="2">
        <v>154845.26</v>
      </c>
      <c r="E4195">
        <v>0</v>
      </c>
      <c r="F4195">
        <v>0</v>
      </c>
    </row>
    <row r="4196" spans="1:6" x14ac:dyDescent="0.25">
      <c r="A4196" s="1">
        <v>45047</v>
      </c>
      <c r="B4196" t="s">
        <v>17</v>
      </c>
      <c r="C4196" t="s">
        <v>954</v>
      </c>
      <c r="D4196">
        <v>0</v>
      </c>
      <c r="E4196">
        <v>0</v>
      </c>
      <c r="F4196">
        <v>0</v>
      </c>
    </row>
    <row r="4197" spans="1:6" x14ac:dyDescent="0.25">
      <c r="A4197" s="1">
        <v>45047</v>
      </c>
      <c r="B4197" t="s">
        <v>27</v>
      </c>
      <c r="C4197" t="s">
        <v>788</v>
      </c>
      <c r="D4197" s="2">
        <v>43576</v>
      </c>
      <c r="E4197" s="2">
        <v>18518.59</v>
      </c>
      <c r="F4197" s="2">
        <v>22738.02</v>
      </c>
    </row>
    <row r="4198" spans="1:6" x14ac:dyDescent="0.25">
      <c r="A4198" s="1">
        <v>45047</v>
      </c>
      <c r="B4198" t="s">
        <v>35</v>
      </c>
      <c r="C4198" t="s">
        <v>560</v>
      </c>
      <c r="D4198" s="2">
        <v>1100328.75</v>
      </c>
      <c r="E4198" s="2">
        <v>1619305</v>
      </c>
      <c r="F4198" s="2">
        <v>1656914.1</v>
      </c>
    </row>
    <row r="4199" spans="1:6" x14ac:dyDescent="0.25">
      <c r="A4199" s="1">
        <v>45047</v>
      </c>
      <c r="B4199" t="s">
        <v>68</v>
      </c>
      <c r="C4199" t="s">
        <v>87</v>
      </c>
      <c r="D4199" s="2">
        <v>16574.2</v>
      </c>
      <c r="E4199" s="2">
        <v>1109214.24</v>
      </c>
      <c r="F4199" s="2">
        <v>1093427.8999999999</v>
      </c>
    </row>
    <row r="4200" spans="1:6" x14ac:dyDescent="0.25">
      <c r="A4200" s="1">
        <v>45047</v>
      </c>
      <c r="B4200" t="s">
        <v>48</v>
      </c>
      <c r="C4200" t="s">
        <v>1248</v>
      </c>
      <c r="D4200" s="2">
        <v>2900117</v>
      </c>
      <c r="E4200" s="2">
        <v>1000000</v>
      </c>
      <c r="F4200">
        <v>0</v>
      </c>
    </row>
    <row r="4201" spans="1:6" x14ac:dyDescent="0.25">
      <c r="A4201" s="1">
        <v>45047</v>
      </c>
      <c r="B4201" t="s">
        <v>282</v>
      </c>
      <c r="C4201" t="s">
        <v>571</v>
      </c>
      <c r="D4201">
        <v>0</v>
      </c>
      <c r="E4201" s="2">
        <v>373607.54</v>
      </c>
      <c r="F4201" s="2">
        <v>373607.54</v>
      </c>
    </row>
    <row r="4202" spans="1:6" x14ac:dyDescent="0.25">
      <c r="A4202" s="1">
        <v>45047</v>
      </c>
      <c r="B4202" t="s">
        <v>27</v>
      </c>
      <c r="C4202" t="s">
        <v>535</v>
      </c>
      <c r="D4202" s="2">
        <v>137116764.12</v>
      </c>
      <c r="E4202" s="2">
        <v>14054205.27</v>
      </c>
      <c r="F4202" s="2">
        <v>8093587.1399999997</v>
      </c>
    </row>
    <row r="4203" spans="1:6" x14ac:dyDescent="0.25">
      <c r="A4203" s="1">
        <v>45047</v>
      </c>
      <c r="B4203" t="s">
        <v>193</v>
      </c>
      <c r="C4203" t="s">
        <v>1204</v>
      </c>
      <c r="D4203" s="2">
        <v>30131650.969999999</v>
      </c>
      <c r="E4203" s="2">
        <v>30131650.969999999</v>
      </c>
      <c r="F4203" s="2">
        <v>30131650.969999999</v>
      </c>
    </row>
    <row r="4204" spans="1:6" x14ac:dyDescent="0.25">
      <c r="A4204" s="1">
        <v>45047</v>
      </c>
      <c r="B4204" t="s">
        <v>23</v>
      </c>
      <c r="C4204" t="s">
        <v>715</v>
      </c>
      <c r="D4204" s="2">
        <v>3732287.71</v>
      </c>
      <c r="E4204" s="2">
        <v>956915.47</v>
      </c>
      <c r="F4204" s="2">
        <v>756323.66</v>
      </c>
    </row>
    <row r="4205" spans="1:6" x14ac:dyDescent="0.25">
      <c r="A4205" s="1">
        <v>45047</v>
      </c>
      <c r="B4205" t="s">
        <v>25</v>
      </c>
      <c r="C4205" t="s">
        <v>1039</v>
      </c>
      <c r="D4205" s="2">
        <v>118142.04</v>
      </c>
      <c r="E4205" s="2">
        <v>74028.539999999994</v>
      </c>
      <c r="F4205" s="2">
        <v>73839.48</v>
      </c>
    </row>
    <row r="4206" spans="1:6" x14ac:dyDescent="0.25">
      <c r="A4206" s="1">
        <v>45047</v>
      </c>
      <c r="B4206" t="s">
        <v>118</v>
      </c>
      <c r="C4206" t="s">
        <v>730</v>
      </c>
      <c r="D4206">
        <v>0</v>
      </c>
      <c r="E4206">
        <v>0</v>
      </c>
      <c r="F4206">
        <v>0</v>
      </c>
    </row>
    <row r="4207" spans="1:6" x14ac:dyDescent="0.25">
      <c r="A4207" s="1">
        <v>45047</v>
      </c>
      <c r="B4207" t="s">
        <v>75</v>
      </c>
      <c r="C4207" t="s">
        <v>485</v>
      </c>
      <c r="D4207" s="2">
        <v>8072819.3799999999</v>
      </c>
      <c r="E4207" s="2">
        <v>2896709.89</v>
      </c>
      <c r="F4207" s="2">
        <v>1689536.07</v>
      </c>
    </row>
    <row r="4208" spans="1:6" x14ac:dyDescent="0.25">
      <c r="A4208" s="1">
        <v>45047</v>
      </c>
      <c r="B4208" t="s">
        <v>21</v>
      </c>
      <c r="C4208" t="s">
        <v>652</v>
      </c>
      <c r="D4208" s="2">
        <v>80000000</v>
      </c>
      <c r="E4208" s="2">
        <v>20204030.199999999</v>
      </c>
      <c r="F4208" s="2">
        <v>17241238.870000001</v>
      </c>
    </row>
    <row r="4209" spans="1:6" x14ac:dyDescent="0.25">
      <c r="A4209" s="1">
        <v>45047</v>
      </c>
      <c r="B4209" t="s">
        <v>7</v>
      </c>
      <c r="C4209" t="s">
        <v>448</v>
      </c>
      <c r="D4209">
        <v>0</v>
      </c>
      <c r="E4209" s="2">
        <v>5533432.0599999996</v>
      </c>
      <c r="F4209" s="2">
        <v>5533432.0599999996</v>
      </c>
    </row>
    <row r="4210" spans="1:6" x14ac:dyDescent="0.25">
      <c r="A4210" s="1">
        <v>45047</v>
      </c>
      <c r="B4210" t="s">
        <v>11</v>
      </c>
      <c r="C4210" t="s">
        <v>479</v>
      </c>
      <c r="D4210">
        <v>0</v>
      </c>
      <c r="E4210" s="2">
        <v>432371539.35000002</v>
      </c>
      <c r="F4210" s="2">
        <v>432371539.35000002</v>
      </c>
    </row>
    <row r="4211" spans="1:6" x14ac:dyDescent="0.25">
      <c r="A4211" s="1">
        <v>45047</v>
      </c>
      <c r="B4211" t="s">
        <v>458</v>
      </c>
      <c r="C4211" t="s">
        <v>260</v>
      </c>
      <c r="D4211">
        <v>0</v>
      </c>
      <c r="E4211">
        <v>0</v>
      </c>
      <c r="F4211">
        <v>0</v>
      </c>
    </row>
    <row r="4212" spans="1:6" x14ac:dyDescent="0.25">
      <c r="A4212" s="1">
        <v>45047</v>
      </c>
      <c r="B4212" t="s">
        <v>162</v>
      </c>
      <c r="C4212" t="s">
        <v>421</v>
      </c>
      <c r="D4212" s="2">
        <v>1760520.98</v>
      </c>
      <c r="E4212" s="2">
        <v>1518882.44</v>
      </c>
      <c r="F4212" s="2">
        <v>2175374.81</v>
      </c>
    </row>
    <row r="4213" spans="1:6" x14ac:dyDescent="0.25">
      <c r="A4213" s="1">
        <v>45047</v>
      </c>
      <c r="B4213" t="s">
        <v>37</v>
      </c>
      <c r="C4213" t="s">
        <v>647</v>
      </c>
      <c r="D4213" s="2">
        <v>2052122.42</v>
      </c>
      <c r="E4213" s="2">
        <v>1824015.06</v>
      </c>
      <c r="F4213" s="2">
        <v>998821.84</v>
      </c>
    </row>
    <row r="4214" spans="1:6" x14ac:dyDescent="0.25">
      <c r="A4214" s="1">
        <v>45047</v>
      </c>
      <c r="B4214" t="s">
        <v>70</v>
      </c>
      <c r="C4214" t="s">
        <v>141</v>
      </c>
      <c r="D4214" s="2">
        <v>20865892.260000002</v>
      </c>
      <c r="E4214" s="2">
        <v>3987682.95</v>
      </c>
      <c r="F4214" s="2">
        <v>3914033.2</v>
      </c>
    </row>
    <row r="4215" spans="1:6" x14ac:dyDescent="0.25">
      <c r="A4215" s="1">
        <v>45047</v>
      </c>
      <c r="B4215" t="s">
        <v>37</v>
      </c>
      <c r="C4215" t="s">
        <v>151</v>
      </c>
      <c r="D4215">
        <v>0</v>
      </c>
      <c r="E4215" s="2">
        <v>594126.96</v>
      </c>
      <c r="F4215" s="2">
        <v>594126.96</v>
      </c>
    </row>
    <row r="4216" spans="1:6" x14ac:dyDescent="0.25">
      <c r="A4216" s="1">
        <v>45047</v>
      </c>
      <c r="B4216" t="s">
        <v>251</v>
      </c>
      <c r="C4216" t="s">
        <v>725</v>
      </c>
      <c r="D4216" s="2">
        <v>29678929.120000001</v>
      </c>
      <c r="E4216" s="2">
        <v>39344227.100000001</v>
      </c>
      <c r="F4216" s="2">
        <v>39344227.100000001</v>
      </c>
    </row>
    <row r="4217" spans="1:6" x14ac:dyDescent="0.25">
      <c r="A4217" s="1">
        <v>45047</v>
      </c>
      <c r="B4217" t="s">
        <v>23</v>
      </c>
      <c r="C4217" t="s">
        <v>418</v>
      </c>
      <c r="D4217" s="2">
        <v>912413.41</v>
      </c>
      <c r="E4217" s="2">
        <v>12435014.07</v>
      </c>
      <c r="F4217" s="2">
        <v>12435014.07</v>
      </c>
    </row>
    <row r="4218" spans="1:6" x14ac:dyDescent="0.25">
      <c r="A4218" s="1">
        <v>45047</v>
      </c>
      <c r="B4218" t="s">
        <v>691</v>
      </c>
      <c r="C4218" t="s">
        <v>95</v>
      </c>
      <c r="D4218">
        <v>0</v>
      </c>
      <c r="E4218">
        <v>0</v>
      </c>
      <c r="F4218">
        <v>0</v>
      </c>
    </row>
    <row r="4219" spans="1:6" x14ac:dyDescent="0.25">
      <c r="A4219" s="1">
        <v>45047</v>
      </c>
      <c r="B4219" t="s">
        <v>53</v>
      </c>
      <c r="C4219" t="s">
        <v>669</v>
      </c>
      <c r="D4219">
        <v>0</v>
      </c>
      <c r="E4219" s="2">
        <v>423573520.81</v>
      </c>
      <c r="F4219" s="2">
        <v>423582949.70999998</v>
      </c>
    </row>
    <row r="4220" spans="1:6" x14ac:dyDescent="0.25">
      <c r="A4220" s="1">
        <v>45047</v>
      </c>
      <c r="B4220" t="s">
        <v>68</v>
      </c>
      <c r="C4220" t="s">
        <v>995</v>
      </c>
      <c r="D4220" s="2">
        <v>3531343.15</v>
      </c>
      <c r="E4220" s="2">
        <v>3531343.15</v>
      </c>
      <c r="F4220" s="2">
        <v>3531343.15</v>
      </c>
    </row>
    <row r="4221" spans="1:6" x14ac:dyDescent="0.25">
      <c r="A4221" s="1">
        <v>45047</v>
      </c>
      <c r="B4221" t="s">
        <v>42</v>
      </c>
      <c r="C4221" t="s">
        <v>400</v>
      </c>
      <c r="D4221">
        <v>0</v>
      </c>
      <c r="E4221" s="2">
        <v>700000000</v>
      </c>
      <c r="F4221" s="2">
        <v>700000000</v>
      </c>
    </row>
    <row r="4222" spans="1:6" x14ac:dyDescent="0.25">
      <c r="A4222" s="1">
        <v>45047</v>
      </c>
      <c r="B4222" t="s">
        <v>40</v>
      </c>
      <c r="C4222" t="s">
        <v>149</v>
      </c>
      <c r="D4222" s="2">
        <v>8832562.9199999999</v>
      </c>
      <c r="E4222" s="2">
        <v>8309665.3700000001</v>
      </c>
      <c r="F4222" s="2">
        <v>8309665.3700000001</v>
      </c>
    </row>
    <row r="4223" spans="1:6" x14ac:dyDescent="0.25">
      <c r="A4223" s="1">
        <v>45047</v>
      </c>
      <c r="B4223" t="s">
        <v>92</v>
      </c>
      <c r="C4223" t="s">
        <v>465</v>
      </c>
      <c r="D4223" s="2">
        <v>3382.88</v>
      </c>
      <c r="E4223" s="2">
        <v>3382.88</v>
      </c>
      <c r="F4223" s="2">
        <v>3382.88</v>
      </c>
    </row>
    <row r="4224" spans="1:6" x14ac:dyDescent="0.25">
      <c r="A4224" s="1">
        <v>45047</v>
      </c>
      <c r="B4224" t="s">
        <v>691</v>
      </c>
      <c r="C4224" t="s">
        <v>692</v>
      </c>
      <c r="D4224">
        <v>0</v>
      </c>
      <c r="E4224">
        <v>0</v>
      </c>
      <c r="F4224">
        <v>0</v>
      </c>
    </row>
    <row r="4225" spans="1:6" x14ac:dyDescent="0.25">
      <c r="A4225" s="1">
        <v>45047</v>
      </c>
      <c r="B4225" t="s">
        <v>21</v>
      </c>
      <c r="C4225" t="s">
        <v>1028</v>
      </c>
      <c r="D4225">
        <v>0</v>
      </c>
      <c r="E4225">
        <v>0</v>
      </c>
      <c r="F4225">
        <v>0</v>
      </c>
    </row>
    <row r="4226" spans="1:6" x14ac:dyDescent="0.25">
      <c r="A4226" s="1">
        <v>45047</v>
      </c>
      <c r="B4226" t="s">
        <v>23</v>
      </c>
      <c r="C4226" t="s">
        <v>1020</v>
      </c>
      <c r="D4226" s="2">
        <v>1355016.32</v>
      </c>
      <c r="E4226" s="2">
        <v>523995.06</v>
      </c>
      <c r="F4226" s="2">
        <v>208311.45</v>
      </c>
    </row>
    <row r="4227" spans="1:6" x14ac:dyDescent="0.25">
      <c r="A4227" s="1">
        <v>45047</v>
      </c>
      <c r="B4227" t="s">
        <v>545</v>
      </c>
      <c r="C4227" t="s">
        <v>738</v>
      </c>
      <c r="D4227" s="2">
        <v>638472.61</v>
      </c>
      <c r="E4227" s="2">
        <v>3767.61</v>
      </c>
      <c r="F4227" s="2">
        <v>3560.61</v>
      </c>
    </row>
    <row r="4228" spans="1:6" x14ac:dyDescent="0.25">
      <c r="A4228" s="1">
        <v>45047</v>
      </c>
      <c r="B4228" t="s">
        <v>37</v>
      </c>
      <c r="C4228" t="s">
        <v>583</v>
      </c>
      <c r="D4228" s="2">
        <v>121120</v>
      </c>
      <c r="E4228">
        <v>0</v>
      </c>
      <c r="F4228">
        <v>0</v>
      </c>
    </row>
    <row r="4229" spans="1:6" x14ac:dyDescent="0.25">
      <c r="A4229" s="1">
        <v>45047</v>
      </c>
      <c r="B4229" t="s">
        <v>40</v>
      </c>
      <c r="C4229" t="s">
        <v>541</v>
      </c>
      <c r="D4229" s="2">
        <v>68392.03</v>
      </c>
      <c r="E4229" s="2">
        <v>56982.03</v>
      </c>
      <c r="F4229" s="2">
        <v>53068.08</v>
      </c>
    </row>
    <row r="4230" spans="1:6" x14ac:dyDescent="0.25">
      <c r="A4230" s="1">
        <v>45047</v>
      </c>
      <c r="B4230" t="s">
        <v>9</v>
      </c>
      <c r="C4230" t="s">
        <v>396</v>
      </c>
      <c r="D4230" s="2">
        <v>8492608.2400000002</v>
      </c>
      <c r="E4230" s="2">
        <v>68685.98</v>
      </c>
      <c r="F4230" s="2">
        <v>68305.98</v>
      </c>
    </row>
    <row r="4231" spans="1:6" x14ac:dyDescent="0.25">
      <c r="A4231" s="1">
        <v>45047</v>
      </c>
      <c r="B4231" t="s">
        <v>40</v>
      </c>
      <c r="C4231" t="s">
        <v>457</v>
      </c>
      <c r="D4231" s="2">
        <v>62094738.859999999</v>
      </c>
      <c r="E4231" s="2">
        <v>19579831.850000001</v>
      </c>
      <c r="F4231" s="2">
        <v>19882010.559999999</v>
      </c>
    </row>
    <row r="4232" spans="1:6" x14ac:dyDescent="0.25">
      <c r="A4232" s="1">
        <v>45047</v>
      </c>
      <c r="B4232" t="s">
        <v>309</v>
      </c>
      <c r="C4232" t="s">
        <v>310</v>
      </c>
      <c r="D4232">
        <v>0</v>
      </c>
      <c r="E4232">
        <v>0</v>
      </c>
      <c r="F4232">
        <v>0</v>
      </c>
    </row>
    <row r="4233" spans="1:6" x14ac:dyDescent="0.25">
      <c r="A4233" s="1">
        <v>45047</v>
      </c>
      <c r="B4233" t="s">
        <v>25</v>
      </c>
      <c r="C4233" t="s">
        <v>373</v>
      </c>
      <c r="D4233" s="2">
        <v>86335.26</v>
      </c>
      <c r="E4233" s="2">
        <v>24244.51</v>
      </c>
      <c r="F4233" s="2">
        <v>23967.63</v>
      </c>
    </row>
    <row r="4234" spans="1:6" x14ac:dyDescent="0.25">
      <c r="A4234" s="1">
        <v>45047</v>
      </c>
      <c r="B4234" t="s">
        <v>92</v>
      </c>
      <c r="C4234" t="s">
        <v>381</v>
      </c>
      <c r="D4234" s="2">
        <v>152308.18</v>
      </c>
      <c r="E4234" s="2">
        <v>536346.55000000005</v>
      </c>
      <c r="F4234" s="2">
        <v>513533.33</v>
      </c>
    </row>
    <row r="4235" spans="1:6" x14ac:dyDescent="0.25">
      <c r="A4235" s="1">
        <v>45047</v>
      </c>
      <c r="B4235" t="s">
        <v>17</v>
      </c>
      <c r="C4235" t="s">
        <v>1013</v>
      </c>
      <c r="D4235">
        <v>0</v>
      </c>
      <c r="E4235">
        <v>0</v>
      </c>
      <c r="F4235">
        <v>0</v>
      </c>
    </row>
    <row r="4236" spans="1:6" x14ac:dyDescent="0.25">
      <c r="A4236" s="1">
        <v>45047</v>
      </c>
      <c r="B4236" t="s">
        <v>132</v>
      </c>
      <c r="C4236" t="s">
        <v>429</v>
      </c>
      <c r="D4236" s="2">
        <v>4328756.5599999996</v>
      </c>
      <c r="E4236" s="2">
        <v>21942975.27</v>
      </c>
      <c r="F4236" s="2">
        <v>19685743.629999999</v>
      </c>
    </row>
    <row r="4237" spans="1:6" x14ac:dyDescent="0.25">
      <c r="A4237" s="1">
        <v>45047</v>
      </c>
      <c r="B4237" t="s">
        <v>648</v>
      </c>
      <c r="C4237" t="s">
        <v>649</v>
      </c>
      <c r="D4237" s="2">
        <v>7927221.9699999997</v>
      </c>
      <c r="E4237" s="2">
        <v>2386769.6800000002</v>
      </c>
      <c r="F4237" s="2">
        <v>2370060.1</v>
      </c>
    </row>
    <row r="4238" spans="1:6" x14ac:dyDescent="0.25">
      <c r="A4238" s="1">
        <v>45047</v>
      </c>
      <c r="B4238" t="s">
        <v>15</v>
      </c>
      <c r="C4238" t="s">
        <v>1043</v>
      </c>
      <c r="D4238" s="2">
        <v>450069.51</v>
      </c>
      <c r="E4238" s="2">
        <v>4345973.1500000004</v>
      </c>
      <c r="F4238">
        <v>0</v>
      </c>
    </row>
    <row r="4239" spans="1:6" x14ac:dyDescent="0.25">
      <c r="A4239" s="1">
        <v>45047</v>
      </c>
      <c r="B4239" t="s">
        <v>282</v>
      </c>
      <c r="C4239" t="s">
        <v>664</v>
      </c>
      <c r="D4239" s="2">
        <v>2008200</v>
      </c>
      <c r="E4239" s="2">
        <v>14030963519.559999</v>
      </c>
      <c r="F4239" s="2">
        <v>14030963519.559999</v>
      </c>
    </row>
    <row r="4240" spans="1:6" x14ac:dyDescent="0.25">
      <c r="A4240" s="1">
        <v>45047</v>
      </c>
      <c r="B4240" t="s">
        <v>407</v>
      </c>
      <c r="C4240" t="s">
        <v>408</v>
      </c>
      <c r="D4240" s="2">
        <v>15000</v>
      </c>
      <c r="E4240" s="2">
        <v>5940.6</v>
      </c>
      <c r="F4240" s="2">
        <v>5940.6</v>
      </c>
    </row>
    <row r="4241" spans="1:6" x14ac:dyDescent="0.25">
      <c r="A4241" s="1">
        <v>45047</v>
      </c>
      <c r="B4241" t="s">
        <v>31</v>
      </c>
      <c r="C4241" t="s">
        <v>1249</v>
      </c>
      <c r="D4241" s="2">
        <v>8890772.2400000002</v>
      </c>
      <c r="E4241">
        <v>0</v>
      </c>
      <c r="F4241">
        <v>0</v>
      </c>
    </row>
    <row r="4242" spans="1:6" x14ac:dyDescent="0.25">
      <c r="A4242" s="1">
        <v>45047</v>
      </c>
      <c r="B4242" t="s">
        <v>50</v>
      </c>
      <c r="C4242" t="s">
        <v>222</v>
      </c>
      <c r="D4242" s="2">
        <v>11191.27</v>
      </c>
      <c r="E4242" s="2">
        <v>2768241.81</v>
      </c>
      <c r="F4242" s="2">
        <v>4407380.95</v>
      </c>
    </row>
    <row r="4243" spans="1:6" x14ac:dyDescent="0.25">
      <c r="A4243" s="1">
        <v>45047</v>
      </c>
      <c r="B4243" t="s">
        <v>46</v>
      </c>
      <c r="C4243" t="s">
        <v>89</v>
      </c>
      <c r="D4243" s="2">
        <v>-618370.28</v>
      </c>
      <c r="E4243" s="2">
        <v>-63581.919999999998</v>
      </c>
      <c r="F4243" s="2">
        <v>1160813.5</v>
      </c>
    </row>
    <row r="4244" spans="1:6" x14ac:dyDescent="0.25">
      <c r="A4244" s="1">
        <v>45047</v>
      </c>
      <c r="B4244" t="s">
        <v>118</v>
      </c>
      <c r="C4244" t="s">
        <v>419</v>
      </c>
      <c r="D4244" s="2">
        <v>29356.99</v>
      </c>
      <c r="E4244" s="2">
        <v>11441.94</v>
      </c>
      <c r="F4244" s="2">
        <v>8586.51</v>
      </c>
    </row>
    <row r="4245" spans="1:6" x14ac:dyDescent="0.25">
      <c r="A4245" s="1">
        <v>45047</v>
      </c>
      <c r="B4245" t="s">
        <v>53</v>
      </c>
      <c r="C4245" t="s">
        <v>84</v>
      </c>
      <c r="D4245" s="2">
        <v>1706238103.3900001</v>
      </c>
      <c r="E4245" s="2">
        <v>1706238103.3900001</v>
      </c>
      <c r="F4245" s="2">
        <v>1706238103.3900001</v>
      </c>
    </row>
    <row r="4246" spans="1:6" x14ac:dyDescent="0.25">
      <c r="A4246" s="1">
        <v>45047</v>
      </c>
      <c r="B4246" t="s">
        <v>405</v>
      </c>
      <c r="C4246" t="s">
        <v>953</v>
      </c>
      <c r="D4246" s="2">
        <v>659184385</v>
      </c>
      <c r="E4246" s="2">
        <v>862709320.21000004</v>
      </c>
      <c r="F4246" s="2">
        <v>862709320.21000004</v>
      </c>
    </row>
    <row r="4247" spans="1:6" x14ac:dyDescent="0.25">
      <c r="A4247" s="1">
        <v>45047</v>
      </c>
      <c r="B4247" t="s">
        <v>27</v>
      </c>
      <c r="C4247" t="s">
        <v>28</v>
      </c>
      <c r="D4247" s="2">
        <v>36281804.039999999</v>
      </c>
      <c r="E4247" s="2">
        <v>4800759.46</v>
      </c>
      <c r="F4247" s="2">
        <v>5816857.4500000002</v>
      </c>
    </row>
    <row r="4248" spans="1:6" x14ac:dyDescent="0.25">
      <c r="A4248" s="1">
        <v>45047</v>
      </c>
      <c r="B4248" t="s">
        <v>90</v>
      </c>
      <c r="C4248" t="s">
        <v>73</v>
      </c>
      <c r="D4248" s="2">
        <v>-27941.69</v>
      </c>
      <c r="E4248" s="2">
        <v>37602.03</v>
      </c>
      <c r="F4248">
        <v>0</v>
      </c>
    </row>
    <row r="4249" spans="1:6" x14ac:dyDescent="0.25">
      <c r="A4249" s="1">
        <v>45047</v>
      </c>
      <c r="B4249" t="s">
        <v>9</v>
      </c>
      <c r="C4249" t="s">
        <v>130</v>
      </c>
      <c r="D4249">
        <v>0</v>
      </c>
      <c r="E4249">
        <v>0</v>
      </c>
      <c r="F4249">
        <v>0</v>
      </c>
    </row>
    <row r="4250" spans="1:6" x14ac:dyDescent="0.25">
      <c r="A4250" s="1">
        <v>45047</v>
      </c>
      <c r="B4250" t="s">
        <v>143</v>
      </c>
      <c r="C4250" t="s">
        <v>144</v>
      </c>
      <c r="D4250" s="2">
        <v>2116000</v>
      </c>
      <c r="E4250" s="2">
        <v>2116000</v>
      </c>
      <c r="F4250" s="2">
        <v>2116000</v>
      </c>
    </row>
    <row r="4251" spans="1:6" x14ac:dyDescent="0.25">
      <c r="A4251" s="1">
        <v>45047</v>
      </c>
      <c r="B4251" t="s">
        <v>50</v>
      </c>
      <c r="C4251" t="s">
        <v>372</v>
      </c>
      <c r="D4251">
        <v>0</v>
      </c>
      <c r="E4251" s="2">
        <v>1248.5999999999999</v>
      </c>
      <c r="F4251" s="2">
        <v>1248.5999999999999</v>
      </c>
    </row>
    <row r="4252" spans="1:6" x14ac:dyDescent="0.25">
      <c r="A4252" s="1">
        <v>45047</v>
      </c>
      <c r="B4252" t="s">
        <v>441</v>
      </c>
      <c r="C4252" t="s">
        <v>576</v>
      </c>
      <c r="D4252">
        <v>0</v>
      </c>
      <c r="E4252">
        <v>0</v>
      </c>
      <c r="F4252">
        <v>0</v>
      </c>
    </row>
    <row r="4253" spans="1:6" x14ac:dyDescent="0.25">
      <c r="A4253" s="1">
        <v>45047</v>
      </c>
      <c r="B4253" t="s">
        <v>40</v>
      </c>
      <c r="C4253" t="s">
        <v>1123</v>
      </c>
      <c r="D4253" s="2">
        <v>3363852.77</v>
      </c>
      <c r="E4253" s="2">
        <v>147038.9</v>
      </c>
      <c r="F4253">
        <v>0</v>
      </c>
    </row>
    <row r="4254" spans="1:6" x14ac:dyDescent="0.25">
      <c r="A4254" s="1">
        <v>45047</v>
      </c>
      <c r="B4254" t="s">
        <v>306</v>
      </c>
      <c r="C4254" t="s">
        <v>307</v>
      </c>
      <c r="D4254" s="2">
        <v>5898889.6100000003</v>
      </c>
      <c r="E4254" s="2">
        <v>4088524.68</v>
      </c>
      <c r="F4254" s="2">
        <v>3720328.12</v>
      </c>
    </row>
    <row r="4255" spans="1:6" x14ac:dyDescent="0.25">
      <c r="A4255" s="1">
        <v>45047</v>
      </c>
      <c r="B4255" t="s">
        <v>15</v>
      </c>
      <c r="C4255" t="s">
        <v>732</v>
      </c>
      <c r="D4255" s="2">
        <v>1880389</v>
      </c>
      <c r="E4255" s="2">
        <v>1317036</v>
      </c>
      <c r="F4255" s="2">
        <v>2611916</v>
      </c>
    </row>
    <row r="4256" spans="1:6" x14ac:dyDescent="0.25">
      <c r="A4256" s="1">
        <v>45047</v>
      </c>
      <c r="B4256" t="s">
        <v>251</v>
      </c>
      <c r="C4256" t="s">
        <v>1016</v>
      </c>
      <c r="D4256">
        <v>0</v>
      </c>
      <c r="E4256">
        <v>0</v>
      </c>
      <c r="F4256">
        <v>0</v>
      </c>
    </row>
    <row r="4257" spans="1:6" x14ac:dyDescent="0.25">
      <c r="A4257" s="1">
        <v>45047</v>
      </c>
      <c r="B4257" t="s">
        <v>13</v>
      </c>
      <c r="C4257" t="s">
        <v>617</v>
      </c>
      <c r="D4257" s="2">
        <v>190980.89</v>
      </c>
      <c r="E4257" s="2">
        <v>221377.63</v>
      </c>
      <c r="F4257" s="2">
        <v>26263.81</v>
      </c>
    </row>
    <row r="4258" spans="1:6" x14ac:dyDescent="0.25">
      <c r="A4258" s="1">
        <v>45047</v>
      </c>
      <c r="B4258" t="s">
        <v>107</v>
      </c>
      <c r="C4258" t="s">
        <v>982</v>
      </c>
      <c r="D4258">
        <v>0</v>
      </c>
      <c r="E4258">
        <v>0</v>
      </c>
      <c r="F4258">
        <v>0</v>
      </c>
    </row>
    <row r="4259" spans="1:6" x14ac:dyDescent="0.25">
      <c r="A4259" s="1">
        <v>45047</v>
      </c>
      <c r="B4259" t="s">
        <v>107</v>
      </c>
      <c r="C4259" t="s">
        <v>687</v>
      </c>
      <c r="D4259" s="2">
        <v>41512.1</v>
      </c>
      <c r="E4259" s="2">
        <v>36416.15</v>
      </c>
      <c r="F4259" s="2">
        <v>62123.71</v>
      </c>
    </row>
    <row r="4260" spans="1:6" x14ac:dyDescent="0.25">
      <c r="A4260" s="1">
        <v>45047</v>
      </c>
      <c r="B4260" t="s">
        <v>55</v>
      </c>
      <c r="C4260" t="s">
        <v>203</v>
      </c>
      <c r="D4260">
        <v>0</v>
      </c>
      <c r="E4260">
        <v>0</v>
      </c>
      <c r="F4260">
        <v>0</v>
      </c>
    </row>
    <row r="4261" spans="1:6" x14ac:dyDescent="0.25">
      <c r="A4261" s="1">
        <v>45047</v>
      </c>
      <c r="B4261" t="s">
        <v>63</v>
      </c>
      <c r="C4261" t="s">
        <v>1135</v>
      </c>
      <c r="D4261">
        <v>0</v>
      </c>
      <c r="E4261">
        <v>0</v>
      </c>
      <c r="F4261">
        <v>0</v>
      </c>
    </row>
    <row r="4262" spans="1:6" x14ac:dyDescent="0.25">
      <c r="A4262" s="1">
        <v>45047</v>
      </c>
      <c r="B4262" t="s">
        <v>40</v>
      </c>
      <c r="C4262" t="s">
        <v>802</v>
      </c>
      <c r="D4262" s="2">
        <v>440563055.12</v>
      </c>
      <c r="E4262" s="2">
        <v>117423358.13</v>
      </c>
      <c r="F4262" s="2">
        <v>92082272.730000004</v>
      </c>
    </row>
    <row r="4263" spans="1:6" x14ac:dyDescent="0.25">
      <c r="A4263" s="1">
        <v>45047</v>
      </c>
      <c r="B4263" t="s">
        <v>263</v>
      </c>
      <c r="C4263" t="s">
        <v>741</v>
      </c>
      <c r="D4263" s="2">
        <v>409074.81</v>
      </c>
      <c r="E4263" s="2">
        <v>67611.03</v>
      </c>
      <c r="F4263" s="2">
        <v>68837.14</v>
      </c>
    </row>
    <row r="4264" spans="1:6" x14ac:dyDescent="0.25">
      <c r="A4264" s="1">
        <v>45047</v>
      </c>
      <c r="B4264" t="s">
        <v>92</v>
      </c>
      <c r="C4264" t="s">
        <v>488</v>
      </c>
      <c r="D4264" s="2">
        <v>231367.96</v>
      </c>
      <c r="E4264" s="2">
        <v>65451.27</v>
      </c>
      <c r="F4264" s="2">
        <v>65451.27</v>
      </c>
    </row>
    <row r="4265" spans="1:6" x14ac:dyDescent="0.25">
      <c r="A4265" s="1">
        <v>45047</v>
      </c>
      <c r="B4265" t="s">
        <v>933</v>
      </c>
      <c r="C4265" t="s">
        <v>934</v>
      </c>
      <c r="D4265" s="2">
        <v>7000000</v>
      </c>
      <c r="E4265">
        <v>974.92</v>
      </c>
      <c r="F4265">
        <v>974.92</v>
      </c>
    </row>
    <row r="4266" spans="1:6" x14ac:dyDescent="0.25">
      <c r="A4266" s="1">
        <v>45047</v>
      </c>
      <c r="B4266" t="s">
        <v>68</v>
      </c>
      <c r="C4266" t="s">
        <v>503</v>
      </c>
      <c r="D4266" s="2">
        <v>1007000</v>
      </c>
      <c r="E4266" s="2">
        <v>4942947.46</v>
      </c>
      <c r="F4266" s="2">
        <v>4942947.46</v>
      </c>
    </row>
    <row r="4267" spans="1:6" x14ac:dyDescent="0.25">
      <c r="A4267" s="1">
        <v>45047</v>
      </c>
      <c r="B4267" t="s">
        <v>101</v>
      </c>
      <c r="C4267" t="s">
        <v>849</v>
      </c>
      <c r="D4267" s="2">
        <v>682730</v>
      </c>
      <c r="E4267" s="2">
        <v>25432.28</v>
      </c>
      <c r="F4267" s="2">
        <v>25432.28</v>
      </c>
    </row>
    <row r="4268" spans="1:6" x14ac:dyDescent="0.25">
      <c r="A4268" s="1">
        <v>45047</v>
      </c>
      <c r="B4268" t="s">
        <v>9</v>
      </c>
      <c r="C4268" t="s">
        <v>182</v>
      </c>
      <c r="D4268">
        <v>0</v>
      </c>
      <c r="E4268">
        <v>0</v>
      </c>
      <c r="F4268">
        <v>0</v>
      </c>
    </row>
    <row r="4269" spans="1:6" x14ac:dyDescent="0.25">
      <c r="A4269" s="1">
        <v>45047</v>
      </c>
      <c r="B4269" t="s">
        <v>23</v>
      </c>
      <c r="C4269" t="s">
        <v>1055</v>
      </c>
      <c r="D4269">
        <v>0</v>
      </c>
      <c r="E4269" s="2">
        <v>93952.26</v>
      </c>
      <c r="F4269" s="2">
        <v>93952.26</v>
      </c>
    </row>
    <row r="4270" spans="1:6" x14ac:dyDescent="0.25">
      <c r="A4270" s="1">
        <v>45047</v>
      </c>
      <c r="B4270" t="s">
        <v>96</v>
      </c>
      <c r="C4270" t="s">
        <v>323</v>
      </c>
      <c r="D4270">
        <v>0</v>
      </c>
      <c r="E4270">
        <v>0</v>
      </c>
      <c r="F4270">
        <v>0</v>
      </c>
    </row>
    <row r="4271" spans="1:6" x14ac:dyDescent="0.25">
      <c r="A4271" s="1">
        <v>45047</v>
      </c>
      <c r="B4271" t="s">
        <v>21</v>
      </c>
      <c r="C4271" t="s">
        <v>312</v>
      </c>
      <c r="D4271" s="2">
        <v>1815722</v>
      </c>
      <c r="E4271">
        <v>0</v>
      </c>
      <c r="F4271">
        <v>0</v>
      </c>
    </row>
    <row r="4272" spans="1:6" x14ac:dyDescent="0.25">
      <c r="A4272" s="1">
        <v>45047</v>
      </c>
      <c r="B4272" t="s">
        <v>966</v>
      </c>
      <c r="C4272" t="s">
        <v>416</v>
      </c>
      <c r="D4272">
        <v>0</v>
      </c>
      <c r="E4272">
        <v>0</v>
      </c>
      <c r="F4272">
        <v>0</v>
      </c>
    </row>
    <row r="4273" spans="1:6" x14ac:dyDescent="0.25">
      <c r="A4273" s="1">
        <v>45047</v>
      </c>
      <c r="B4273" t="s">
        <v>101</v>
      </c>
      <c r="C4273" t="s">
        <v>984</v>
      </c>
      <c r="D4273" s="2">
        <v>7200</v>
      </c>
      <c r="E4273" s="2">
        <v>512891.92</v>
      </c>
      <c r="F4273" s="2">
        <v>522773.92</v>
      </c>
    </row>
    <row r="4274" spans="1:6" x14ac:dyDescent="0.25">
      <c r="A4274" s="1">
        <v>45047</v>
      </c>
      <c r="B4274" t="s">
        <v>46</v>
      </c>
      <c r="C4274" t="s">
        <v>409</v>
      </c>
      <c r="D4274" s="2">
        <v>540000</v>
      </c>
      <c r="E4274" s="2">
        <v>508810.33</v>
      </c>
      <c r="F4274" s="2">
        <v>575188.94999999995</v>
      </c>
    </row>
    <row r="4275" spans="1:6" x14ac:dyDescent="0.25">
      <c r="A4275" s="1">
        <v>45047</v>
      </c>
      <c r="B4275" t="s">
        <v>53</v>
      </c>
      <c r="C4275" t="s">
        <v>219</v>
      </c>
      <c r="D4275" s="2">
        <v>164775096</v>
      </c>
      <c r="E4275" s="2">
        <v>1181419072.8399999</v>
      </c>
      <c r="F4275" s="2">
        <v>1181419072.8399999</v>
      </c>
    </row>
    <row r="4276" spans="1:6" x14ac:dyDescent="0.25">
      <c r="A4276" s="1">
        <v>45047</v>
      </c>
      <c r="B4276" t="s">
        <v>23</v>
      </c>
      <c r="C4276" t="s">
        <v>294</v>
      </c>
      <c r="D4276">
        <v>0</v>
      </c>
      <c r="E4276">
        <v>0</v>
      </c>
      <c r="F4276">
        <v>0</v>
      </c>
    </row>
    <row r="4277" spans="1:6" x14ac:dyDescent="0.25">
      <c r="A4277" s="1">
        <v>45047</v>
      </c>
      <c r="B4277" t="s">
        <v>15</v>
      </c>
      <c r="C4277" t="s">
        <v>359</v>
      </c>
      <c r="D4277">
        <v>0</v>
      </c>
      <c r="E4277">
        <v>0</v>
      </c>
      <c r="F4277">
        <v>0</v>
      </c>
    </row>
    <row r="4278" spans="1:6" x14ac:dyDescent="0.25">
      <c r="A4278" s="1">
        <v>45047</v>
      </c>
      <c r="B4278" t="s">
        <v>21</v>
      </c>
      <c r="C4278" t="s">
        <v>562</v>
      </c>
      <c r="D4278" s="2">
        <v>17665295.640000001</v>
      </c>
      <c r="E4278" s="2">
        <v>4302142.79</v>
      </c>
      <c r="F4278" s="2">
        <v>3940692.41</v>
      </c>
    </row>
    <row r="4279" spans="1:6" x14ac:dyDescent="0.25">
      <c r="A4279" s="1">
        <v>45047</v>
      </c>
      <c r="B4279" t="s">
        <v>21</v>
      </c>
      <c r="C4279" t="s">
        <v>404</v>
      </c>
      <c r="D4279">
        <v>0</v>
      </c>
      <c r="E4279">
        <v>0</v>
      </c>
      <c r="F4279">
        <v>0</v>
      </c>
    </row>
    <row r="4280" spans="1:6" x14ac:dyDescent="0.25">
      <c r="A4280" s="1">
        <v>45047</v>
      </c>
      <c r="B4280" t="s">
        <v>21</v>
      </c>
      <c r="C4280" t="s">
        <v>456</v>
      </c>
      <c r="D4280" s="2">
        <v>100000</v>
      </c>
      <c r="E4280" s="2">
        <v>38150.21</v>
      </c>
      <c r="F4280" s="2">
        <v>38150.21</v>
      </c>
    </row>
    <row r="4281" spans="1:6" x14ac:dyDescent="0.25">
      <c r="A4281" s="1">
        <v>45047</v>
      </c>
      <c r="B4281" t="s">
        <v>405</v>
      </c>
      <c r="C4281" t="s">
        <v>1250</v>
      </c>
      <c r="D4281">
        <v>0</v>
      </c>
      <c r="E4281">
        <v>0</v>
      </c>
      <c r="F4281">
        <v>0</v>
      </c>
    </row>
    <row r="4282" spans="1:6" x14ac:dyDescent="0.25">
      <c r="A4282" s="1">
        <v>45047</v>
      </c>
      <c r="B4282" t="s">
        <v>21</v>
      </c>
      <c r="C4282" t="s">
        <v>790</v>
      </c>
      <c r="D4282" s="2">
        <v>45019329.909999996</v>
      </c>
      <c r="E4282" s="2">
        <v>7805919.2199999997</v>
      </c>
      <c r="F4282" s="2">
        <v>8668911.1600000001</v>
      </c>
    </row>
    <row r="4283" spans="1:6" x14ac:dyDescent="0.25">
      <c r="A4283" s="1">
        <v>45047</v>
      </c>
      <c r="B4283" t="s">
        <v>21</v>
      </c>
      <c r="C4283" t="s">
        <v>238</v>
      </c>
      <c r="D4283">
        <v>0</v>
      </c>
      <c r="E4283" s="2">
        <v>291117.7</v>
      </c>
      <c r="F4283" s="2">
        <v>291117.7</v>
      </c>
    </row>
    <row r="4284" spans="1:6" x14ac:dyDescent="0.25">
      <c r="A4284" s="1">
        <v>45047</v>
      </c>
      <c r="B4284" t="s">
        <v>35</v>
      </c>
      <c r="C4284" t="s">
        <v>293</v>
      </c>
      <c r="D4284" s="2">
        <v>11893427.880000001</v>
      </c>
      <c r="E4284" s="2">
        <v>1270744.43</v>
      </c>
      <c r="F4284" s="2">
        <v>1271709.76</v>
      </c>
    </row>
    <row r="4285" spans="1:6" x14ac:dyDescent="0.25">
      <c r="A4285" s="1">
        <v>45047</v>
      </c>
      <c r="B4285" t="s">
        <v>13</v>
      </c>
      <c r="C4285" t="s">
        <v>737</v>
      </c>
      <c r="D4285" s="2">
        <v>16500000</v>
      </c>
      <c r="E4285" s="2">
        <v>6267145.0899999999</v>
      </c>
      <c r="F4285" s="2">
        <v>6280606.7699999996</v>
      </c>
    </row>
    <row r="4286" spans="1:6" x14ac:dyDescent="0.25">
      <c r="A4286" s="1">
        <v>45047</v>
      </c>
      <c r="B4286" t="s">
        <v>114</v>
      </c>
      <c r="C4286" t="s">
        <v>764</v>
      </c>
      <c r="D4286" s="2">
        <v>75843372.530000001</v>
      </c>
      <c r="E4286" s="2">
        <v>32837348.25</v>
      </c>
      <c r="F4286" s="2">
        <v>94172424.200000003</v>
      </c>
    </row>
    <row r="4287" spans="1:6" x14ac:dyDescent="0.25">
      <c r="A4287" s="1">
        <v>45047</v>
      </c>
      <c r="B4287" t="s">
        <v>23</v>
      </c>
      <c r="C4287" t="s">
        <v>370</v>
      </c>
      <c r="D4287" s="2">
        <v>13725.12</v>
      </c>
      <c r="E4287" s="2">
        <v>693907.62</v>
      </c>
      <c r="F4287" s="2">
        <v>692973.67</v>
      </c>
    </row>
    <row r="4288" spans="1:6" x14ac:dyDescent="0.25">
      <c r="A4288" s="1">
        <v>45047</v>
      </c>
      <c r="B4288" t="s">
        <v>100</v>
      </c>
      <c r="C4288" t="s">
        <v>1139</v>
      </c>
      <c r="D4288">
        <v>0</v>
      </c>
      <c r="E4288">
        <v>0</v>
      </c>
      <c r="F4288">
        <v>0</v>
      </c>
    </row>
    <row r="4289" spans="1:6" x14ac:dyDescent="0.25">
      <c r="A4289" s="1">
        <v>45047</v>
      </c>
      <c r="B4289" t="s">
        <v>31</v>
      </c>
      <c r="C4289" t="s">
        <v>192</v>
      </c>
      <c r="D4289" s="2">
        <v>70197789.200000003</v>
      </c>
      <c r="E4289">
        <v>0</v>
      </c>
      <c r="F4289">
        <v>0</v>
      </c>
    </row>
    <row r="4290" spans="1:6" x14ac:dyDescent="0.25">
      <c r="A4290" s="1">
        <v>45047</v>
      </c>
      <c r="B4290" t="s">
        <v>42</v>
      </c>
      <c r="C4290" t="s">
        <v>736</v>
      </c>
      <c r="D4290" s="2">
        <v>148583.65</v>
      </c>
      <c r="E4290" s="2">
        <v>47334793.840000004</v>
      </c>
      <c r="F4290" s="2">
        <v>28350945.91</v>
      </c>
    </row>
    <row r="4291" spans="1:6" x14ac:dyDescent="0.25">
      <c r="A4291" s="1">
        <v>45047</v>
      </c>
      <c r="B4291" t="s">
        <v>21</v>
      </c>
      <c r="C4291" t="s">
        <v>516</v>
      </c>
      <c r="D4291" s="2">
        <v>520000</v>
      </c>
      <c r="E4291">
        <v>0</v>
      </c>
      <c r="F4291">
        <v>0</v>
      </c>
    </row>
    <row r="4292" spans="1:6" x14ac:dyDescent="0.25">
      <c r="A4292" s="1">
        <v>45047</v>
      </c>
      <c r="B4292" t="s">
        <v>46</v>
      </c>
      <c r="C4292" t="s">
        <v>57</v>
      </c>
      <c r="D4292">
        <v>0</v>
      </c>
      <c r="E4292">
        <v>0</v>
      </c>
      <c r="F4292" s="2">
        <v>3369.66</v>
      </c>
    </row>
    <row r="4293" spans="1:6" x14ac:dyDescent="0.25">
      <c r="A4293" s="1">
        <v>45047</v>
      </c>
      <c r="B4293" t="s">
        <v>40</v>
      </c>
      <c r="C4293" t="s">
        <v>777</v>
      </c>
      <c r="D4293" s="2">
        <v>-11258633</v>
      </c>
      <c r="E4293" s="2">
        <v>33635742.219999999</v>
      </c>
      <c r="F4293" s="2">
        <v>30934399.43</v>
      </c>
    </row>
    <row r="4294" spans="1:6" x14ac:dyDescent="0.25">
      <c r="A4294" s="1">
        <v>45047</v>
      </c>
      <c r="B4294" t="s">
        <v>278</v>
      </c>
      <c r="C4294" t="s">
        <v>572</v>
      </c>
      <c r="D4294" s="2">
        <v>240337591.66999999</v>
      </c>
      <c r="E4294">
        <v>0</v>
      </c>
      <c r="F4294">
        <v>0</v>
      </c>
    </row>
    <row r="4295" spans="1:6" x14ac:dyDescent="0.25">
      <c r="A4295" s="1">
        <v>45047</v>
      </c>
      <c r="B4295" t="s">
        <v>48</v>
      </c>
      <c r="C4295" t="s">
        <v>1179</v>
      </c>
      <c r="D4295" s="2">
        <v>315000</v>
      </c>
      <c r="E4295" s="2">
        <v>259737.76</v>
      </c>
      <c r="F4295" s="2">
        <v>259737.76</v>
      </c>
    </row>
    <row r="4296" spans="1:6" x14ac:dyDescent="0.25">
      <c r="A4296" s="1">
        <v>45047</v>
      </c>
      <c r="B4296" t="s">
        <v>17</v>
      </c>
      <c r="C4296" t="s">
        <v>432</v>
      </c>
      <c r="D4296" s="2">
        <v>378273.21</v>
      </c>
      <c r="E4296" s="2">
        <v>430229.63</v>
      </c>
      <c r="F4296" s="2">
        <v>39383</v>
      </c>
    </row>
    <row r="4297" spans="1:6" x14ac:dyDescent="0.25">
      <c r="A4297" s="1">
        <v>45047</v>
      </c>
      <c r="B4297" t="s">
        <v>21</v>
      </c>
      <c r="C4297" t="s">
        <v>720</v>
      </c>
      <c r="D4297">
        <v>0</v>
      </c>
      <c r="E4297">
        <v>0</v>
      </c>
      <c r="F4297">
        <v>0</v>
      </c>
    </row>
    <row r="4298" spans="1:6" x14ac:dyDescent="0.25">
      <c r="A4298" s="1">
        <v>45047</v>
      </c>
      <c r="B4298" t="s">
        <v>1251</v>
      </c>
      <c r="C4298" t="s">
        <v>468</v>
      </c>
      <c r="D4298">
        <v>0</v>
      </c>
      <c r="E4298">
        <v>0</v>
      </c>
      <c r="F4298">
        <v>0</v>
      </c>
    </row>
    <row r="4299" spans="1:6" x14ac:dyDescent="0.25">
      <c r="A4299" s="1">
        <v>45047</v>
      </c>
      <c r="B4299" t="s">
        <v>234</v>
      </c>
      <c r="C4299" t="s">
        <v>235</v>
      </c>
      <c r="D4299" s="2">
        <v>46279.26</v>
      </c>
      <c r="E4299" s="2">
        <v>40718.730000000003</v>
      </c>
      <c r="F4299" s="2">
        <v>48139.24</v>
      </c>
    </row>
    <row r="4300" spans="1:6" x14ac:dyDescent="0.25">
      <c r="A4300" s="1">
        <v>45047</v>
      </c>
      <c r="B4300" t="s">
        <v>53</v>
      </c>
      <c r="C4300" t="s">
        <v>237</v>
      </c>
      <c r="D4300">
        <v>0</v>
      </c>
      <c r="E4300" s="2">
        <v>8708799.0500000007</v>
      </c>
      <c r="F4300" s="2">
        <v>8708799.0500000007</v>
      </c>
    </row>
    <row r="4301" spans="1:6" x14ac:dyDescent="0.25">
      <c r="A4301" s="1">
        <v>45047</v>
      </c>
      <c r="B4301" t="s">
        <v>21</v>
      </c>
      <c r="C4301" t="s">
        <v>245</v>
      </c>
      <c r="D4301">
        <v>0</v>
      </c>
      <c r="E4301" s="2">
        <v>224495.45</v>
      </c>
      <c r="F4301" s="2">
        <v>224495.45</v>
      </c>
    </row>
    <row r="4302" spans="1:6" x14ac:dyDescent="0.25">
      <c r="A4302" s="1">
        <v>45047</v>
      </c>
      <c r="B4302" t="s">
        <v>143</v>
      </c>
      <c r="C4302" t="s">
        <v>899</v>
      </c>
      <c r="D4302">
        <v>0</v>
      </c>
      <c r="E4302">
        <v>0</v>
      </c>
      <c r="F4302">
        <v>0</v>
      </c>
    </row>
    <row r="4303" spans="1:6" x14ac:dyDescent="0.25">
      <c r="A4303" s="1">
        <v>45047</v>
      </c>
      <c r="B4303" t="s">
        <v>37</v>
      </c>
      <c r="C4303" t="s">
        <v>721</v>
      </c>
      <c r="D4303" s="2">
        <v>-68894.720000000001</v>
      </c>
      <c r="E4303" s="2">
        <v>-13754.7</v>
      </c>
      <c r="F4303" s="2">
        <v>-13754.7</v>
      </c>
    </row>
    <row r="4304" spans="1:6" x14ac:dyDescent="0.25">
      <c r="A4304" s="1">
        <v>45047</v>
      </c>
      <c r="B4304" t="s">
        <v>31</v>
      </c>
      <c r="C4304" t="s">
        <v>855</v>
      </c>
      <c r="D4304" s="2">
        <v>-50776.07</v>
      </c>
      <c r="E4304">
        <v>0</v>
      </c>
      <c r="F4304">
        <v>0</v>
      </c>
    </row>
    <row r="4305" spans="1:6" x14ac:dyDescent="0.25">
      <c r="A4305" s="1">
        <v>45047</v>
      </c>
      <c r="B4305" t="s">
        <v>40</v>
      </c>
      <c r="C4305" t="s">
        <v>1082</v>
      </c>
      <c r="D4305">
        <v>0</v>
      </c>
      <c r="E4305" s="2">
        <v>58000.42</v>
      </c>
      <c r="F4305">
        <v>0</v>
      </c>
    </row>
    <row r="4306" spans="1:6" x14ac:dyDescent="0.25">
      <c r="A4306" s="1">
        <v>45047</v>
      </c>
      <c r="B4306" t="s">
        <v>682</v>
      </c>
      <c r="C4306" t="s">
        <v>683</v>
      </c>
      <c r="D4306" s="2">
        <v>6039983.3799999999</v>
      </c>
      <c r="E4306" s="2">
        <v>764123.74</v>
      </c>
      <c r="F4306" s="2">
        <v>758173.74</v>
      </c>
    </row>
    <row r="4307" spans="1:6" x14ac:dyDescent="0.25">
      <c r="A4307" s="1">
        <v>45047</v>
      </c>
      <c r="B4307" t="s">
        <v>398</v>
      </c>
      <c r="C4307" t="s">
        <v>564</v>
      </c>
      <c r="D4307">
        <v>0</v>
      </c>
      <c r="E4307">
        <v>0</v>
      </c>
      <c r="F4307">
        <v>0</v>
      </c>
    </row>
    <row r="4308" spans="1:6" x14ac:dyDescent="0.25">
      <c r="A4308" s="1">
        <v>45047</v>
      </c>
      <c r="B4308" t="s">
        <v>21</v>
      </c>
      <c r="C4308" t="s">
        <v>1133</v>
      </c>
      <c r="D4308" s="2">
        <v>3813649.56</v>
      </c>
      <c r="E4308" s="2">
        <v>7263.29</v>
      </c>
      <c r="F4308">
        <v>0</v>
      </c>
    </row>
    <row r="4309" spans="1:6" x14ac:dyDescent="0.25">
      <c r="A4309" s="1">
        <v>45047</v>
      </c>
      <c r="B4309" t="s">
        <v>48</v>
      </c>
      <c r="C4309" t="s">
        <v>1252</v>
      </c>
      <c r="D4309" s="2">
        <v>9807562</v>
      </c>
      <c r="E4309" s="2">
        <v>4640188</v>
      </c>
      <c r="F4309">
        <v>0</v>
      </c>
    </row>
    <row r="4310" spans="1:6" x14ac:dyDescent="0.25">
      <c r="A4310" s="1">
        <v>45047</v>
      </c>
      <c r="B4310" t="s">
        <v>50</v>
      </c>
      <c r="C4310" t="s">
        <v>977</v>
      </c>
      <c r="D4310" s="2">
        <v>700000</v>
      </c>
      <c r="E4310" s="2">
        <v>17042203</v>
      </c>
      <c r="F4310" s="2">
        <v>5692542.6100000003</v>
      </c>
    </row>
    <row r="4311" spans="1:6" x14ac:dyDescent="0.25">
      <c r="A4311" s="1">
        <v>45047</v>
      </c>
      <c r="B4311" t="s">
        <v>40</v>
      </c>
      <c r="C4311" t="s">
        <v>466</v>
      </c>
      <c r="D4311" s="2">
        <v>180000</v>
      </c>
      <c r="E4311" s="2">
        <v>176047.18</v>
      </c>
      <c r="F4311">
        <v>0</v>
      </c>
    </row>
    <row r="4312" spans="1:6" x14ac:dyDescent="0.25">
      <c r="A4312" s="1">
        <v>45047</v>
      </c>
      <c r="B4312" t="s">
        <v>1058</v>
      </c>
      <c r="C4312" t="s">
        <v>1059</v>
      </c>
      <c r="D4312" s="2">
        <v>13496526.66</v>
      </c>
      <c r="E4312" s="2">
        <v>24915333.309999999</v>
      </c>
      <c r="F4312" s="2">
        <v>30536348.969999999</v>
      </c>
    </row>
    <row r="4313" spans="1:6" x14ac:dyDescent="0.25">
      <c r="A4313" s="1">
        <v>45047</v>
      </c>
      <c r="B4313" t="s">
        <v>37</v>
      </c>
      <c r="C4313" t="s">
        <v>743</v>
      </c>
      <c r="D4313" s="2">
        <v>-136177.72</v>
      </c>
      <c r="E4313" s="2">
        <v>-115093.1</v>
      </c>
      <c r="F4313" s="2">
        <v>-115093.1</v>
      </c>
    </row>
    <row r="4314" spans="1:6" x14ac:dyDescent="0.25">
      <c r="A4314" s="1">
        <v>45047</v>
      </c>
      <c r="B4314" t="s">
        <v>114</v>
      </c>
      <c r="C4314" t="s">
        <v>578</v>
      </c>
      <c r="D4314" s="2">
        <v>-777872</v>
      </c>
      <c r="E4314" s="2">
        <v>9353358.5800000001</v>
      </c>
      <c r="F4314" s="2">
        <v>9840700.9800000004</v>
      </c>
    </row>
    <row r="4315" spans="1:6" x14ac:dyDescent="0.25">
      <c r="A4315" s="1">
        <v>45047</v>
      </c>
      <c r="B4315" t="s">
        <v>185</v>
      </c>
      <c r="C4315" t="s">
        <v>190</v>
      </c>
      <c r="D4315" s="2">
        <v>48488300.18</v>
      </c>
      <c r="E4315" s="2">
        <v>-3689.83</v>
      </c>
      <c r="F4315" s="2">
        <v>-3689.83</v>
      </c>
    </row>
    <row r="4316" spans="1:6" x14ac:dyDescent="0.25">
      <c r="A4316" s="1">
        <v>45047</v>
      </c>
      <c r="B4316" t="s">
        <v>23</v>
      </c>
      <c r="C4316" t="s">
        <v>74</v>
      </c>
      <c r="D4316">
        <v>0</v>
      </c>
      <c r="E4316">
        <v>0</v>
      </c>
      <c r="F4316">
        <v>0</v>
      </c>
    </row>
    <row r="4317" spans="1:6" x14ac:dyDescent="0.25">
      <c r="A4317" s="1">
        <v>45047</v>
      </c>
      <c r="B4317" t="s">
        <v>196</v>
      </c>
      <c r="C4317" t="s">
        <v>348</v>
      </c>
      <c r="D4317">
        <v>0</v>
      </c>
      <c r="E4317">
        <v>0</v>
      </c>
      <c r="F4317">
        <v>0</v>
      </c>
    </row>
    <row r="4318" spans="1:6" x14ac:dyDescent="0.25">
      <c r="A4318" s="1">
        <v>45047</v>
      </c>
      <c r="B4318" t="s">
        <v>9</v>
      </c>
      <c r="C4318" t="s">
        <v>10</v>
      </c>
      <c r="D4318" s="2">
        <v>795950</v>
      </c>
      <c r="E4318" s="2">
        <v>795950</v>
      </c>
      <c r="F4318" s="2">
        <v>795950</v>
      </c>
    </row>
    <row r="4319" spans="1:6" x14ac:dyDescent="0.25">
      <c r="A4319" s="1">
        <v>45047</v>
      </c>
      <c r="B4319" t="s">
        <v>50</v>
      </c>
      <c r="C4319" t="s">
        <v>594</v>
      </c>
      <c r="D4319" s="2">
        <v>1189439.32</v>
      </c>
      <c r="E4319" s="2">
        <v>10956517.710000001</v>
      </c>
      <c r="F4319" s="2">
        <v>6554499.1600000001</v>
      </c>
    </row>
    <row r="4320" spans="1:6" x14ac:dyDescent="0.25">
      <c r="A4320" s="1">
        <v>45047</v>
      </c>
      <c r="B4320" t="s">
        <v>21</v>
      </c>
      <c r="C4320" t="s">
        <v>559</v>
      </c>
      <c r="D4320" s="2">
        <v>48000000</v>
      </c>
      <c r="E4320" s="2">
        <v>9839628.5899999999</v>
      </c>
      <c r="F4320" s="2">
        <v>9839628.5899999999</v>
      </c>
    </row>
    <row r="4321" spans="1:6" x14ac:dyDescent="0.25">
      <c r="A4321" s="1">
        <v>45047</v>
      </c>
      <c r="B4321" t="s">
        <v>21</v>
      </c>
      <c r="C4321" t="s">
        <v>123</v>
      </c>
      <c r="D4321" s="2">
        <v>121312.91</v>
      </c>
      <c r="E4321" s="2">
        <v>21028136.379999999</v>
      </c>
      <c r="F4321" s="2">
        <v>19227932.280000001</v>
      </c>
    </row>
    <row r="4322" spans="1:6" x14ac:dyDescent="0.25">
      <c r="A4322" s="1">
        <v>45047</v>
      </c>
      <c r="B4322" t="s">
        <v>726</v>
      </c>
      <c r="C4322" t="s">
        <v>961</v>
      </c>
      <c r="D4322" s="2">
        <v>63000</v>
      </c>
      <c r="E4322" s="2">
        <v>7127.06</v>
      </c>
      <c r="F4322" s="2">
        <v>6634.67</v>
      </c>
    </row>
    <row r="4323" spans="1:6" x14ac:dyDescent="0.25">
      <c r="A4323" s="1">
        <v>45047</v>
      </c>
      <c r="B4323" t="s">
        <v>42</v>
      </c>
      <c r="C4323" t="s">
        <v>447</v>
      </c>
      <c r="D4323">
        <v>0</v>
      </c>
      <c r="E4323">
        <v>0</v>
      </c>
      <c r="F4323">
        <v>0</v>
      </c>
    </row>
    <row r="4324" spans="1:6" x14ac:dyDescent="0.25">
      <c r="A4324" s="1">
        <v>45047</v>
      </c>
      <c r="B4324" t="s">
        <v>29</v>
      </c>
      <c r="C4324" t="s">
        <v>653</v>
      </c>
      <c r="D4324" s="2">
        <v>1532544.75</v>
      </c>
      <c r="E4324" s="2">
        <v>200000</v>
      </c>
      <c r="F4324" s="2">
        <v>200000</v>
      </c>
    </row>
    <row r="4325" spans="1:6" x14ac:dyDescent="0.25">
      <c r="A4325" s="1">
        <v>45047</v>
      </c>
      <c r="B4325" t="s">
        <v>187</v>
      </c>
      <c r="C4325" t="s">
        <v>1008</v>
      </c>
      <c r="D4325" s="2">
        <v>5000</v>
      </c>
      <c r="E4325" s="2">
        <v>8630.67</v>
      </c>
      <c r="F4325" s="2">
        <v>8630.67</v>
      </c>
    </row>
    <row r="4326" spans="1:6" x14ac:dyDescent="0.25">
      <c r="A4326" s="1">
        <v>45047</v>
      </c>
      <c r="B4326" t="s">
        <v>101</v>
      </c>
      <c r="C4326" t="s">
        <v>536</v>
      </c>
      <c r="D4326" s="2">
        <v>60017.72</v>
      </c>
      <c r="E4326" s="2">
        <v>171375.34</v>
      </c>
      <c r="F4326" s="2">
        <v>157725.9</v>
      </c>
    </row>
    <row r="4327" spans="1:6" x14ac:dyDescent="0.25">
      <c r="A4327" s="1">
        <v>45047</v>
      </c>
      <c r="B4327" t="s">
        <v>398</v>
      </c>
      <c r="C4327" t="s">
        <v>1046</v>
      </c>
      <c r="D4327" s="2">
        <v>1055000</v>
      </c>
      <c r="E4327" s="2">
        <v>2402512.5</v>
      </c>
      <c r="F4327" s="2">
        <v>2402512.5</v>
      </c>
    </row>
    <row r="4328" spans="1:6" x14ac:dyDescent="0.25">
      <c r="A4328" s="1">
        <v>45047</v>
      </c>
      <c r="B4328" t="s">
        <v>68</v>
      </c>
      <c r="C4328" t="s">
        <v>1253</v>
      </c>
      <c r="D4328" s="2">
        <v>298102745</v>
      </c>
      <c r="E4328">
        <v>0</v>
      </c>
      <c r="F4328">
        <v>0</v>
      </c>
    </row>
    <row r="4329" spans="1:6" x14ac:dyDescent="0.25">
      <c r="A4329" s="1">
        <v>45047</v>
      </c>
      <c r="B4329" t="s">
        <v>31</v>
      </c>
      <c r="C4329" t="s">
        <v>833</v>
      </c>
      <c r="D4329" s="2">
        <v>-16284.69</v>
      </c>
      <c r="E4329">
        <v>0</v>
      </c>
      <c r="F4329">
        <v>0</v>
      </c>
    </row>
    <row r="4330" spans="1:6" x14ac:dyDescent="0.25">
      <c r="A4330" s="1">
        <v>45047</v>
      </c>
      <c r="B4330" t="s">
        <v>53</v>
      </c>
      <c r="C4330" t="s">
        <v>739</v>
      </c>
      <c r="D4330" s="2">
        <v>164775096</v>
      </c>
      <c r="E4330" s="2">
        <v>1181419072.8399999</v>
      </c>
      <c r="F4330" s="2">
        <v>1181419072.8399999</v>
      </c>
    </row>
    <row r="4331" spans="1:6" x14ac:dyDescent="0.25">
      <c r="A4331" s="1">
        <v>45047</v>
      </c>
      <c r="B4331" t="s">
        <v>79</v>
      </c>
      <c r="C4331" t="s">
        <v>572</v>
      </c>
      <c r="D4331">
        <v>0</v>
      </c>
      <c r="E4331">
        <v>0</v>
      </c>
      <c r="F4331">
        <v>0</v>
      </c>
    </row>
    <row r="4332" spans="1:6" x14ac:dyDescent="0.25">
      <c r="A4332" s="1">
        <v>45047</v>
      </c>
      <c r="B4332" t="s">
        <v>15</v>
      </c>
      <c r="C4332" t="s">
        <v>614</v>
      </c>
      <c r="D4332" s="2">
        <v>20207703.84</v>
      </c>
      <c r="E4332" s="2">
        <v>2845501.55</v>
      </c>
      <c r="F4332" s="2">
        <v>2866889.55</v>
      </c>
    </row>
    <row r="4333" spans="1:6" x14ac:dyDescent="0.25">
      <c r="A4333" s="1">
        <v>45047</v>
      </c>
      <c r="B4333" t="s">
        <v>490</v>
      </c>
      <c r="C4333" t="s">
        <v>542</v>
      </c>
      <c r="D4333">
        <v>0</v>
      </c>
      <c r="E4333" s="2">
        <v>802865.24</v>
      </c>
      <c r="F4333" s="2">
        <v>541680.73</v>
      </c>
    </row>
    <row r="4334" spans="1:6" x14ac:dyDescent="0.25">
      <c r="A4334" s="1">
        <v>45047</v>
      </c>
      <c r="B4334" t="s">
        <v>118</v>
      </c>
      <c r="C4334" t="s">
        <v>179</v>
      </c>
      <c r="D4334">
        <v>0</v>
      </c>
      <c r="E4334">
        <v>0</v>
      </c>
      <c r="F4334">
        <v>0</v>
      </c>
    </row>
    <row r="4335" spans="1:6" x14ac:dyDescent="0.25">
      <c r="A4335" s="1">
        <v>45047</v>
      </c>
      <c r="B4335" t="s">
        <v>63</v>
      </c>
      <c r="C4335" t="s">
        <v>1092</v>
      </c>
      <c r="D4335" s="2">
        <v>6388601.2000000002</v>
      </c>
      <c r="E4335">
        <v>0</v>
      </c>
      <c r="F4335">
        <v>0</v>
      </c>
    </row>
    <row r="4336" spans="1:6" x14ac:dyDescent="0.25">
      <c r="A4336" s="1">
        <v>45047</v>
      </c>
      <c r="B4336" t="s">
        <v>114</v>
      </c>
      <c r="C4336" t="s">
        <v>136</v>
      </c>
      <c r="D4336" s="2">
        <v>1274201.5</v>
      </c>
      <c r="E4336" s="2">
        <v>2325801.2200000002</v>
      </c>
      <c r="F4336" s="2">
        <v>2326102.02</v>
      </c>
    </row>
    <row r="4337" spans="1:6" x14ac:dyDescent="0.25">
      <c r="A4337" s="1">
        <v>45047</v>
      </c>
      <c r="B4337" t="s">
        <v>402</v>
      </c>
      <c r="C4337" t="s">
        <v>403</v>
      </c>
      <c r="D4337">
        <v>0</v>
      </c>
      <c r="E4337">
        <v>0</v>
      </c>
      <c r="F4337">
        <v>0</v>
      </c>
    </row>
    <row r="4338" spans="1:6" x14ac:dyDescent="0.25">
      <c r="A4338" s="1">
        <v>45047</v>
      </c>
      <c r="B4338" t="s">
        <v>272</v>
      </c>
      <c r="C4338" t="s">
        <v>593</v>
      </c>
      <c r="D4338" s="2">
        <v>1512484.82</v>
      </c>
      <c r="E4338" s="2">
        <v>1743289.29</v>
      </c>
      <c r="F4338" s="2">
        <v>1666358.2</v>
      </c>
    </row>
    <row r="4339" spans="1:6" x14ac:dyDescent="0.25">
      <c r="A4339" s="1">
        <v>45047</v>
      </c>
      <c r="B4339" t="s">
        <v>726</v>
      </c>
      <c r="C4339" t="s">
        <v>837</v>
      </c>
      <c r="D4339" s="2">
        <v>1147019.8600000001</v>
      </c>
      <c r="E4339" s="2">
        <v>1298393.49</v>
      </c>
      <c r="F4339" s="2">
        <v>1316519.17</v>
      </c>
    </row>
    <row r="4340" spans="1:6" x14ac:dyDescent="0.25">
      <c r="A4340" s="1">
        <v>45047</v>
      </c>
      <c r="B4340" t="s">
        <v>42</v>
      </c>
      <c r="C4340" t="s">
        <v>893</v>
      </c>
      <c r="D4340" s="2">
        <v>2278100000</v>
      </c>
      <c r="E4340">
        <v>0</v>
      </c>
      <c r="F4340">
        <v>0</v>
      </c>
    </row>
    <row r="4341" spans="1:6" x14ac:dyDescent="0.25">
      <c r="A4341" s="1">
        <v>45047</v>
      </c>
      <c r="B4341" t="s">
        <v>13</v>
      </c>
      <c r="C4341" t="s">
        <v>475</v>
      </c>
      <c r="D4341" s="2">
        <v>548900</v>
      </c>
      <c r="E4341" s="2">
        <v>575469.84</v>
      </c>
      <c r="F4341" s="2">
        <v>625776.92000000004</v>
      </c>
    </row>
    <row r="4342" spans="1:6" x14ac:dyDescent="0.25">
      <c r="A4342" s="1">
        <v>45047</v>
      </c>
      <c r="B4342" t="s">
        <v>11</v>
      </c>
      <c r="C4342" t="s">
        <v>195</v>
      </c>
      <c r="D4342" s="2">
        <v>165926589.09999999</v>
      </c>
      <c r="E4342" s="2">
        <v>165826946.80000001</v>
      </c>
      <c r="F4342" s="2">
        <v>165285361.56999999</v>
      </c>
    </row>
    <row r="4343" spans="1:6" x14ac:dyDescent="0.25">
      <c r="A4343" s="1">
        <v>45047</v>
      </c>
      <c r="B4343" t="s">
        <v>50</v>
      </c>
      <c r="C4343" t="s">
        <v>1107</v>
      </c>
      <c r="D4343" s="2">
        <v>613195</v>
      </c>
      <c r="E4343">
        <v>0</v>
      </c>
      <c r="F4343">
        <v>0</v>
      </c>
    </row>
    <row r="4344" spans="1:6" x14ac:dyDescent="0.25">
      <c r="A4344" s="1">
        <v>45047</v>
      </c>
      <c r="B4344" t="s">
        <v>23</v>
      </c>
      <c r="C4344" t="s">
        <v>603</v>
      </c>
      <c r="D4344" s="2">
        <v>1781886.68</v>
      </c>
      <c r="E4344" s="2">
        <v>353163.22</v>
      </c>
      <c r="F4344" s="2">
        <v>352369.41</v>
      </c>
    </row>
    <row r="4345" spans="1:6" x14ac:dyDescent="0.25">
      <c r="A4345" s="1">
        <v>45047</v>
      </c>
      <c r="B4345" t="s">
        <v>181</v>
      </c>
      <c r="C4345" t="s">
        <v>881</v>
      </c>
      <c r="D4345">
        <v>0</v>
      </c>
      <c r="E4345">
        <v>0</v>
      </c>
      <c r="F4345">
        <v>0</v>
      </c>
    </row>
    <row r="4346" spans="1:6" x14ac:dyDescent="0.25">
      <c r="A4346" s="1">
        <v>45047</v>
      </c>
      <c r="B4346" t="s">
        <v>13</v>
      </c>
      <c r="C4346" t="s">
        <v>266</v>
      </c>
      <c r="D4346" s="2">
        <v>387066</v>
      </c>
      <c r="E4346" s="2">
        <v>3170756.39</v>
      </c>
      <c r="F4346" s="2">
        <v>2442505.5699999998</v>
      </c>
    </row>
    <row r="4347" spans="1:6" x14ac:dyDescent="0.25">
      <c r="A4347" s="1">
        <v>45047</v>
      </c>
      <c r="B4347" t="s">
        <v>162</v>
      </c>
      <c r="C4347" t="s">
        <v>335</v>
      </c>
      <c r="D4347" s="2">
        <v>32279455.030000001</v>
      </c>
      <c r="E4347" s="2">
        <v>43511146.82</v>
      </c>
      <c r="F4347" s="2">
        <v>37897677.270000003</v>
      </c>
    </row>
    <row r="4348" spans="1:6" x14ac:dyDescent="0.25">
      <c r="A4348" s="1">
        <v>45047</v>
      </c>
      <c r="B4348" t="s">
        <v>48</v>
      </c>
      <c r="C4348" t="s">
        <v>1254</v>
      </c>
      <c r="D4348" s="2">
        <v>2900117</v>
      </c>
      <c r="E4348" s="2">
        <v>1000000</v>
      </c>
      <c r="F4348" s="2">
        <v>1000000</v>
      </c>
    </row>
    <row r="4349" spans="1:6" x14ac:dyDescent="0.25">
      <c r="A4349" s="1">
        <v>45047</v>
      </c>
      <c r="B4349" t="s">
        <v>40</v>
      </c>
      <c r="C4349" t="s">
        <v>805</v>
      </c>
      <c r="D4349" s="2">
        <v>218301562.31</v>
      </c>
      <c r="E4349" s="2">
        <v>122865893.65000001</v>
      </c>
      <c r="F4349" s="2">
        <v>22210603.350000001</v>
      </c>
    </row>
    <row r="4350" spans="1:6" x14ac:dyDescent="0.25">
      <c r="A4350" s="1">
        <v>45047</v>
      </c>
      <c r="B4350" t="s">
        <v>11</v>
      </c>
      <c r="C4350" t="s">
        <v>231</v>
      </c>
      <c r="D4350" s="2">
        <v>7322092502.6800003</v>
      </c>
      <c r="E4350" s="2">
        <v>7384989273.3800001</v>
      </c>
      <c r="F4350" s="2">
        <v>7384989273.3800001</v>
      </c>
    </row>
    <row r="4351" spans="1:6" x14ac:dyDescent="0.25">
      <c r="A4351" s="1">
        <v>45047</v>
      </c>
      <c r="B4351" t="s">
        <v>40</v>
      </c>
      <c r="C4351" t="s">
        <v>692</v>
      </c>
      <c r="D4351">
        <v>0</v>
      </c>
      <c r="E4351">
        <v>0</v>
      </c>
      <c r="F4351">
        <v>0</v>
      </c>
    </row>
    <row r="4352" spans="1:6" x14ac:dyDescent="0.25">
      <c r="A4352" s="1">
        <v>45047</v>
      </c>
      <c r="B4352" t="s">
        <v>35</v>
      </c>
      <c r="C4352" t="s">
        <v>632</v>
      </c>
      <c r="D4352" s="2">
        <v>2066944.49</v>
      </c>
      <c r="E4352" s="2">
        <v>289099.23</v>
      </c>
      <c r="F4352" s="2">
        <v>342988.93</v>
      </c>
    </row>
    <row r="4353" spans="1:6" x14ac:dyDescent="0.25">
      <c r="A4353" s="1">
        <v>45047</v>
      </c>
      <c r="B4353" t="s">
        <v>118</v>
      </c>
      <c r="C4353" t="s">
        <v>298</v>
      </c>
      <c r="D4353" s="2">
        <v>10000000</v>
      </c>
      <c r="E4353" s="2">
        <v>9215.1200000000008</v>
      </c>
      <c r="F4353">
        <v>0</v>
      </c>
    </row>
    <row r="4354" spans="1:6" x14ac:dyDescent="0.25">
      <c r="A4354" s="1">
        <v>45047</v>
      </c>
      <c r="B4354" t="s">
        <v>50</v>
      </c>
      <c r="C4354" t="s">
        <v>574</v>
      </c>
      <c r="D4354" s="2">
        <v>11358284.859999999</v>
      </c>
      <c r="E4354" s="2">
        <v>5149327.2300000004</v>
      </c>
      <c r="F4354" s="2">
        <v>4592970.47</v>
      </c>
    </row>
    <row r="4355" spans="1:6" x14ac:dyDescent="0.25">
      <c r="A4355" s="1">
        <v>45047</v>
      </c>
      <c r="B4355" t="s">
        <v>422</v>
      </c>
      <c r="C4355" t="s">
        <v>1045</v>
      </c>
      <c r="D4355" s="2">
        <v>1307.3800000000001</v>
      </c>
      <c r="E4355" s="2">
        <v>1307.3800000000001</v>
      </c>
      <c r="F4355" s="2">
        <v>1307.3800000000001</v>
      </c>
    </row>
    <row r="4356" spans="1:6" x14ac:dyDescent="0.25">
      <c r="A4356" s="1">
        <v>45047</v>
      </c>
      <c r="B4356" t="s">
        <v>75</v>
      </c>
      <c r="C4356" t="s">
        <v>85</v>
      </c>
      <c r="D4356" s="2">
        <v>247561.94</v>
      </c>
      <c r="E4356" s="2">
        <v>74158.289999999994</v>
      </c>
      <c r="F4356" s="2">
        <v>46158.29</v>
      </c>
    </row>
    <row r="4357" spans="1:6" x14ac:dyDescent="0.25">
      <c r="A4357" s="1">
        <v>45047</v>
      </c>
      <c r="B4357" t="s">
        <v>15</v>
      </c>
      <c r="C4357" t="s">
        <v>16</v>
      </c>
      <c r="D4357">
        <v>0</v>
      </c>
      <c r="E4357" s="2">
        <v>100908.63</v>
      </c>
      <c r="F4357">
        <v>0</v>
      </c>
    </row>
    <row r="4358" spans="1:6" x14ac:dyDescent="0.25">
      <c r="A4358" s="1">
        <v>45047</v>
      </c>
      <c r="B4358" t="s">
        <v>15</v>
      </c>
      <c r="C4358" t="s">
        <v>1255</v>
      </c>
      <c r="D4358" s="2">
        <v>1742400</v>
      </c>
      <c r="E4358">
        <v>0</v>
      </c>
      <c r="F4358">
        <v>0</v>
      </c>
    </row>
    <row r="4359" spans="1:6" x14ac:dyDescent="0.25">
      <c r="A4359" s="1">
        <v>45047</v>
      </c>
      <c r="B4359" t="s">
        <v>50</v>
      </c>
      <c r="C4359" t="s">
        <v>1150</v>
      </c>
      <c r="D4359">
        <v>0</v>
      </c>
      <c r="E4359" s="2">
        <v>3388.96</v>
      </c>
      <c r="F4359" s="2">
        <v>3388.96</v>
      </c>
    </row>
    <row r="4360" spans="1:6" x14ac:dyDescent="0.25">
      <c r="A4360" s="1">
        <v>45047</v>
      </c>
      <c r="B4360" t="s">
        <v>23</v>
      </c>
      <c r="C4360" t="s">
        <v>1165</v>
      </c>
      <c r="D4360" s="2">
        <v>43938981.310000002</v>
      </c>
      <c r="E4360">
        <v>0</v>
      </c>
      <c r="F4360">
        <v>0</v>
      </c>
    </row>
    <row r="4361" spans="1:6" x14ac:dyDescent="0.25">
      <c r="A4361" s="1">
        <v>45047</v>
      </c>
      <c r="B4361" t="s">
        <v>213</v>
      </c>
      <c r="C4361" t="s">
        <v>586</v>
      </c>
      <c r="D4361">
        <v>0</v>
      </c>
      <c r="E4361">
        <v>0</v>
      </c>
      <c r="F4361">
        <v>0</v>
      </c>
    </row>
    <row r="4362" spans="1:6" x14ac:dyDescent="0.25">
      <c r="A4362" s="1">
        <v>45047</v>
      </c>
      <c r="B4362" t="s">
        <v>107</v>
      </c>
      <c r="C4362" t="s">
        <v>499</v>
      </c>
      <c r="D4362">
        <v>0</v>
      </c>
      <c r="E4362">
        <v>0</v>
      </c>
      <c r="F4362">
        <v>0</v>
      </c>
    </row>
    <row r="4363" spans="1:6" x14ac:dyDescent="0.25">
      <c r="A4363" s="1">
        <v>45047</v>
      </c>
      <c r="B4363" t="s">
        <v>90</v>
      </c>
      <c r="C4363" t="s">
        <v>1037</v>
      </c>
      <c r="D4363">
        <v>0</v>
      </c>
      <c r="E4363" s="2">
        <v>1736.27</v>
      </c>
      <c r="F4363" s="2">
        <v>1736.27</v>
      </c>
    </row>
    <row r="4364" spans="1:6" x14ac:dyDescent="0.25">
      <c r="A4364" s="1">
        <v>45047</v>
      </c>
      <c r="B4364" t="s">
        <v>40</v>
      </c>
      <c r="C4364" t="s">
        <v>604</v>
      </c>
      <c r="D4364" s="2">
        <v>325114058.91000003</v>
      </c>
      <c r="E4364" s="2">
        <v>80325668.959999993</v>
      </c>
      <c r="F4364" s="2">
        <v>70174102.810000002</v>
      </c>
    </row>
    <row r="4365" spans="1:6" x14ac:dyDescent="0.25">
      <c r="A4365" s="1">
        <v>45047</v>
      </c>
      <c r="B4365" t="s">
        <v>13</v>
      </c>
      <c r="C4365" t="s">
        <v>474</v>
      </c>
      <c r="D4365">
        <v>0</v>
      </c>
      <c r="E4365" s="2">
        <v>510508330.07999998</v>
      </c>
      <c r="F4365" s="2">
        <v>638988356.90999997</v>
      </c>
    </row>
    <row r="4366" spans="1:6" x14ac:dyDescent="0.25">
      <c r="A4366" s="1">
        <v>45047</v>
      </c>
      <c r="B4366" t="s">
        <v>31</v>
      </c>
      <c r="C4366" t="s">
        <v>464</v>
      </c>
      <c r="D4366" s="2">
        <v>74166488.120000005</v>
      </c>
      <c r="E4366">
        <v>0</v>
      </c>
      <c r="F4366">
        <v>0</v>
      </c>
    </row>
    <row r="4367" spans="1:6" x14ac:dyDescent="0.25">
      <c r="A4367" s="1">
        <v>45047</v>
      </c>
      <c r="B4367" t="s">
        <v>278</v>
      </c>
      <c r="C4367" t="s">
        <v>395</v>
      </c>
      <c r="D4367" s="2">
        <v>144086.57</v>
      </c>
      <c r="E4367" s="2">
        <v>8289137.1399999997</v>
      </c>
      <c r="F4367" s="2">
        <v>8289137.1399999997</v>
      </c>
    </row>
    <row r="4368" spans="1:6" x14ac:dyDescent="0.25">
      <c r="A4368" s="1">
        <v>45047</v>
      </c>
      <c r="B4368" t="s">
        <v>933</v>
      </c>
      <c r="C4368" t="s">
        <v>1041</v>
      </c>
      <c r="D4368" s="2">
        <v>76620614.989999995</v>
      </c>
      <c r="E4368" s="2">
        <v>14050.57</v>
      </c>
      <c r="F4368" s="2">
        <v>14050.57</v>
      </c>
    </row>
    <row r="4369" spans="1:6" x14ac:dyDescent="0.25">
      <c r="A4369" s="1">
        <v>45047</v>
      </c>
      <c r="B4369" t="s">
        <v>68</v>
      </c>
      <c r="C4369" t="s">
        <v>137</v>
      </c>
      <c r="D4369" s="2">
        <v>44964995.82</v>
      </c>
      <c r="E4369" s="2">
        <v>3288754.5</v>
      </c>
      <c r="F4369" s="2">
        <v>7181103.9400000004</v>
      </c>
    </row>
    <row r="4370" spans="1:6" x14ac:dyDescent="0.25">
      <c r="A4370" s="1">
        <v>45047</v>
      </c>
      <c r="B4370" t="s">
        <v>40</v>
      </c>
      <c r="C4370" t="s">
        <v>666</v>
      </c>
      <c r="D4370" s="2">
        <v>250000</v>
      </c>
      <c r="E4370" s="2">
        <v>6838.92</v>
      </c>
      <c r="F4370" s="2">
        <v>6838.92</v>
      </c>
    </row>
    <row r="4371" spans="1:6" x14ac:dyDescent="0.25">
      <c r="A4371" s="1">
        <v>45047</v>
      </c>
      <c r="B4371" t="s">
        <v>75</v>
      </c>
      <c r="C4371" t="s">
        <v>847</v>
      </c>
      <c r="D4371" s="2">
        <v>1157257.92</v>
      </c>
      <c r="E4371" s="2">
        <v>71789.929999999993</v>
      </c>
      <c r="F4371" s="2">
        <v>71789.929999999993</v>
      </c>
    </row>
    <row r="4372" spans="1:6" x14ac:dyDescent="0.25">
      <c r="A4372" s="1">
        <v>45047</v>
      </c>
      <c r="B4372" t="s">
        <v>9</v>
      </c>
      <c r="C4372" t="s">
        <v>363</v>
      </c>
      <c r="D4372" s="2">
        <v>2646935.0499999998</v>
      </c>
      <c r="E4372" s="2">
        <v>144528.43</v>
      </c>
      <c r="F4372" s="2">
        <v>135066.22</v>
      </c>
    </row>
    <row r="4373" spans="1:6" x14ac:dyDescent="0.25">
      <c r="A4373" s="1">
        <v>45047</v>
      </c>
      <c r="B4373" t="s">
        <v>65</v>
      </c>
      <c r="C4373" t="s">
        <v>66</v>
      </c>
      <c r="D4373" s="2">
        <v>479382.58</v>
      </c>
      <c r="E4373" s="2">
        <v>512205.62</v>
      </c>
      <c r="F4373" s="2">
        <v>512205.62</v>
      </c>
    </row>
    <row r="4374" spans="1:6" x14ac:dyDescent="0.25">
      <c r="A4374" s="1">
        <v>45047</v>
      </c>
      <c r="B4374" t="s">
        <v>42</v>
      </c>
      <c r="C4374" t="s">
        <v>719</v>
      </c>
      <c r="D4374" s="2">
        <v>166075</v>
      </c>
      <c r="E4374" s="2">
        <v>9743757.6400000006</v>
      </c>
      <c r="F4374" s="2">
        <v>11382470.92</v>
      </c>
    </row>
    <row r="4375" spans="1:6" x14ac:dyDescent="0.25">
      <c r="A4375" s="1">
        <v>45047</v>
      </c>
      <c r="B4375" t="s">
        <v>40</v>
      </c>
      <c r="C4375" t="s">
        <v>487</v>
      </c>
      <c r="D4375" s="2">
        <v>373008926.49000001</v>
      </c>
      <c r="E4375" s="2">
        <v>2456910395.0599999</v>
      </c>
      <c r="F4375" s="2">
        <v>2550064958.5300002</v>
      </c>
    </row>
    <row r="4376" spans="1:6" x14ac:dyDescent="0.25">
      <c r="A4376" s="1">
        <v>45047</v>
      </c>
      <c r="B4376" t="s">
        <v>159</v>
      </c>
      <c r="C4376" t="s">
        <v>34</v>
      </c>
      <c r="D4376" s="2">
        <v>21147282</v>
      </c>
      <c r="E4376">
        <v>765.85</v>
      </c>
      <c r="F4376">
        <v>765.85</v>
      </c>
    </row>
    <row r="4377" spans="1:6" x14ac:dyDescent="0.25">
      <c r="A4377" s="1">
        <v>45047</v>
      </c>
      <c r="B4377" t="s">
        <v>27</v>
      </c>
      <c r="C4377" t="s">
        <v>902</v>
      </c>
      <c r="D4377" s="2">
        <v>9141185.2899999991</v>
      </c>
      <c r="E4377" s="2">
        <v>3204639.95</v>
      </c>
      <c r="F4377" s="2">
        <v>2893847.44</v>
      </c>
    </row>
    <row r="4378" spans="1:6" x14ac:dyDescent="0.25">
      <c r="A4378" s="1">
        <v>45047</v>
      </c>
      <c r="B4378" t="s">
        <v>90</v>
      </c>
      <c r="C4378" t="s">
        <v>895</v>
      </c>
      <c r="D4378" s="2">
        <v>190058.38</v>
      </c>
      <c r="E4378" s="2">
        <v>614019.34</v>
      </c>
      <c r="F4378" s="2">
        <v>554864.12</v>
      </c>
    </row>
    <row r="4379" spans="1:6" x14ac:dyDescent="0.25">
      <c r="A4379" s="1">
        <v>45047</v>
      </c>
      <c r="B4379" t="s">
        <v>21</v>
      </c>
      <c r="C4379" t="s">
        <v>1075</v>
      </c>
      <c r="D4379">
        <v>0</v>
      </c>
      <c r="E4379">
        <v>0</v>
      </c>
      <c r="F4379">
        <v>0</v>
      </c>
    </row>
    <row r="4380" spans="1:6" x14ac:dyDescent="0.25">
      <c r="A4380" s="1">
        <v>45047</v>
      </c>
      <c r="B4380" t="s">
        <v>105</v>
      </c>
      <c r="C4380" t="s">
        <v>310</v>
      </c>
      <c r="D4380">
        <v>0</v>
      </c>
      <c r="E4380">
        <v>0</v>
      </c>
      <c r="F4380">
        <v>0</v>
      </c>
    </row>
    <row r="4381" spans="1:6" x14ac:dyDescent="0.25">
      <c r="A4381" s="1">
        <v>45047</v>
      </c>
      <c r="B4381" t="s">
        <v>40</v>
      </c>
      <c r="C4381" t="s">
        <v>148</v>
      </c>
      <c r="D4381" s="2">
        <v>58600000</v>
      </c>
      <c r="E4381" s="2">
        <v>1431734.12</v>
      </c>
      <c r="F4381" s="2">
        <v>1439049</v>
      </c>
    </row>
    <row r="4382" spans="1:6" x14ac:dyDescent="0.25">
      <c r="A4382" s="1">
        <v>45047</v>
      </c>
      <c r="B4382" t="s">
        <v>40</v>
      </c>
      <c r="C4382" t="s">
        <v>325</v>
      </c>
      <c r="D4382" s="2">
        <v>17561159.25</v>
      </c>
      <c r="E4382" s="2">
        <v>3512241.43</v>
      </c>
      <c r="F4382" s="2">
        <v>2165124.61</v>
      </c>
    </row>
    <row r="4383" spans="1:6" x14ac:dyDescent="0.25">
      <c r="A4383" s="1">
        <v>45047</v>
      </c>
      <c r="B4383" t="s">
        <v>37</v>
      </c>
      <c r="C4383" t="s">
        <v>271</v>
      </c>
      <c r="D4383" s="2">
        <v>389000</v>
      </c>
      <c r="E4383" s="2">
        <v>88000</v>
      </c>
      <c r="F4383" s="2">
        <v>88000</v>
      </c>
    </row>
    <row r="4384" spans="1:6" x14ac:dyDescent="0.25">
      <c r="A4384" s="1">
        <v>45047</v>
      </c>
      <c r="B4384" t="s">
        <v>422</v>
      </c>
      <c r="C4384" t="s">
        <v>423</v>
      </c>
      <c r="D4384" s="2">
        <v>28764960.050000001</v>
      </c>
      <c r="E4384">
        <v>0</v>
      </c>
      <c r="F4384">
        <v>0</v>
      </c>
    </row>
    <row r="4385" spans="1:6" x14ac:dyDescent="0.25">
      <c r="A4385" s="1">
        <v>45047</v>
      </c>
      <c r="B4385" t="s">
        <v>98</v>
      </c>
      <c r="C4385" t="s">
        <v>543</v>
      </c>
      <c r="D4385">
        <v>0</v>
      </c>
      <c r="E4385">
        <v>0</v>
      </c>
      <c r="F4385">
        <v>0</v>
      </c>
    </row>
    <row r="4386" spans="1:6" x14ac:dyDescent="0.25">
      <c r="A4386" s="1">
        <v>45047</v>
      </c>
      <c r="B4386" t="s">
        <v>17</v>
      </c>
      <c r="C4386" t="s">
        <v>951</v>
      </c>
      <c r="D4386">
        <v>0</v>
      </c>
      <c r="E4386">
        <v>0</v>
      </c>
      <c r="F4386">
        <v>0</v>
      </c>
    </row>
    <row r="4387" spans="1:6" x14ac:dyDescent="0.25">
      <c r="A4387" s="1">
        <v>45047</v>
      </c>
      <c r="B4387" t="s">
        <v>13</v>
      </c>
      <c r="C4387" t="s">
        <v>868</v>
      </c>
      <c r="D4387" s="2">
        <v>3783355.82</v>
      </c>
      <c r="E4387" s="2">
        <v>251237.03</v>
      </c>
      <c r="F4387" s="2">
        <v>284224.94</v>
      </c>
    </row>
    <row r="4388" spans="1:6" x14ac:dyDescent="0.25">
      <c r="A4388" s="1">
        <v>45047</v>
      </c>
      <c r="B4388" t="s">
        <v>40</v>
      </c>
      <c r="C4388" t="s">
        <v>311</v>
      </c>
      <c r="D4388" s="2">
        <v>3000000</v>
      </c>
      <c r="E4388" s="2">
        <v>2733416.62</v>
      </c>
      <c r="F4388" s="2">
        <v>2710841.4</v>
      </c>
    </row>
    <row r="4389" spans="1:6" x14ac:dyDescent="0.25">
      <c r="A4389" s="1">
        <v>45047</v>
      </c>
      <c r="B4389" t="s">
        <v>19</v>
      </c>
      <c r="C4389" t="s">
        <v>39</v>
      </c>
      <c r="D4389" s="2">
        <v>474064.28</v>
      </c>
      <c r="E4389" s="2">
        <v>629407.06000000006</v>
      </c>
      <c r="F4389" s="2">
        <v>656793.02</v>
      </c>
    </row>
    <row r="4390" spans="1:6" x14ac:dyDescent="0.25">
      <c r="A4390" s="1">
        <v>45047</v>
      </c>
      <c r="B4390" t="s">
        <v>21</v>
      </c>
      <c r="C4390" t="s">
        <v>242</v>
      </c>
      <c r="D4390" s="2">
        <v>3214860.2</v>
      </c>
      <c r="E4390" s="2">
        <v>44343.06</v>
      </c>
      <c r="F4390" s="2">
        <v>44343.06</v>
      </c>
    </row>
    <row r="4391" spans="1:6" x14ac:dyDescent="0.25">
      <c r="A4391" s="1">
        <v>45047</v>
      </c>
      <c r="B4391" t="s">
        <v>518</v>
      </c>
      <c r="C4391" t="s">
        <v>892</v>
      </c>
      <c r="D4391" s="2">
        <v>82699.37</v>
      </c>
      <c r="E4391" s="2">
        <v>168315.31</v>
      </c>
      <c r="F4391" s="2">
        <v>184195.72</v>
      </c>
    </row>
    <row r="4392" spans="1:6" x14ac:dyDescent="0.25">
      <c r="A4392" s="1">
        <v>45047</v>
      </c>
      <c r="B4392" t="s">
        <v>545</v>
      </c>
      <c r="C4392" t="s">
        <v>362</v>
      </c>
      <c r="D4392" s="2">
        <v>35811275.520000003</v>
      </c>
      <c r="E4392" s="2">
        <v>14312745.289999999</v>
      </c>
      <c r="F4392" s="2">
        <v>11947629.58</v>
      </c>
    </row>
    <row r="4393" spans="1:6" x14ac:dyDescent="0.25">
      <c r="A4393" s="1">
        <v>45047</v>
      </c>
      <c r="B4393" t="s">
        <v>383</v>
      </c>
      <c r="C4393" t="s">
        <v>754</v>
      </c>
      <c r="D4393">
        <v>0</v>
      </c>
      <c r="E4393">
        <v>0</v>
      </c>
      <c r="F4393">
        <v>0</v>
      </c>
    </row>
    <row r="4394" spans="1:6" x14ac:dyDescent="0.25">
      <c r="A4394" s="1">
        <v>45047</v>
      </c>
      <c r="B4394" t="s">
        <v>196</v>
      </c>
      <c r="C4394" t="s">
        <v>806</v>
      </c>
      <c r="D4394">
        <v>0</v>
      </c>
      <c r="E4394">
        <v>0</v>
      </c>
      <c r="F4394">
        <v>0</v>
      </c>
    </row>
    <row r="4395" spans="1:6" x14ac:dyDescent="0.25">
      <c r="A4395" s="1">
        <v>45047</v>
      </c>
      <c r="B4395" t="s">
        <v>21</v>
      </c>
      <c r="C4395" t="s">
        <v>757</v>
      </c>
      <c r="D4395" s="2">
        <v>379490.02</v>
      </c>
      <c r="E4395" s="2">
        <v>1088736.95</v>
      </c>
      <c r="F4395" s="2">
        <v>1068416.95</v>
      </c>
    </row>
    <row r="4396" spans="1:6" x14ac:dyDescent="0.25">
      <c r="A4396" s="1">
        <v>45047</v>
      </c>
      <c r="B4396" t="s">
        <v>75</v>
      </c>
      <c r="C4396" t="s">
        <v>269</v>
      </c>
      <c r="D4396" s="2">
        <v>9647941.9299999997</v>
      </c>
      <c r="E4396" s="2">
        <v>9647941.9299999997</v>
      </c>
      <c r="F4396">
        <v>0</v>
      </c>
    </row>
    <row r="4397" spans="1:6" x14ac:dyDescent="0.25">
      <c r="A4397" s="1">
        <v>45047</v>
      </c>
      <c r="B4397" t="s">
        <v>21</v>
      </c>
      <c r="C4397" t="s">
        <v>1006</v>
      </c>
      <c r="D4397">
        <v>0</v>
      </c>
      <c r="E4397">
        <v>0</v>
      </c>
      <c r="F4397">
        <v>0</v>
      </c>
    </row>
    <row r="4398" spans="1:6" x14ac:dyDescent="0.25">
      <c r="A4398" s="1">
        <v>45047</v>
      </c>
      <c r="B4398" t="s">
        <v>23</v>
      </c>
      <c r="C4398" t="s">
        <v>879</v>
      </c>
      <c r="D4398" s="2">
        <v>494436.43</v>
      </c>
      <c r="E4398" s="2">
        <v>372078.37</v>
      </c>
      <c r="F4398" s="2">
        <v>378761.99</v>
      </c>
    </row>
    <row r="4399" spans="1:6" x14ac:dyDescent="0.25">
      <c r="A4399" s="1">
        <v>45047</v>
      </c>
      <c r="B4399" t="s">
        <v>98</v>
      </c>
      <c r="C4399" t="s">
        <v>1256</v>
      </c>
      <c r="D4399">
        <v>0</v>
      </c>
      <c r="E4399">
        <v>0</v>
      </c>
      <c r="F4399">
        <v>0</v>
      </c>
    </row>
    <row r="4400" spans="1:6" x14ac:dyDescent="0.25">
      <c r="A4400" s="1">
        <v>45047</v>
      </c>
      <c r="B4400" t="s">
        <v>118</v>
      </c>
      <c r="C4400" t="s">
        <v>374</v>
      </c>
      <c r="D4400">
        <v>0</v>
      </c>
      <c r="E4400">
        <v>0</v>
      </c>
      <c r="F4400">
        <v>0</v>
      </c>
    </row>
    <row r="4401" spans="1:6" x14ac:dyDescent="0.25">
      <c r="A4401" s="1">
        <v>45047</v>
      </c>
      <c r="B4401" t="s">
        <v>21</v>
      </c>
      <c r="C4401" t="s">
        <v>191</v>
      </c>
      <c r="D4401">
        <v>0</v>
      </c>
      <c r="E4401" s="2">
        <v>1879070.58</v>
      </c>
      <c r="F4401" s="2">
        <v>1539316.63</v>
      </c>
    </row>
    <row r="4402" spans="1:6" x14ac:dyDescent="0.25">
      <c r="A4402" s="1">
        <v>45047</v>
      </c>
      <c r="B4402" t="s">
        <v>46</v>
      </c>
      <c r="C4402" t="s">
        <v>232</v>
      </c>
      <c r="D4402" s="2">
        <v>39261.040000000001</v>
      </c>
      <c r="E4402" s="2">
        <v>33138.71</v>
      </c>
      <c r="F4402" s="2">
        <v>30386.83</v>
      </c>
    </row>
    <row r="4403" spans="1:6" x14ac:dyDescent="0.25">
      <c r="A4403" s="1">
        <v>45047</v>
      </c>
      <c r="B4403" t="s">
        <v>27</v>
      </c>
      <c r="C4403" t="s">
        <v>280</v>
      </c>
      <c r="D4403">
        <v>0</v>
      </c>
      <c r="E4403">
        <v>0</v>
      </c>
      <c r="F4403">
        <v>0</v>
      </c>
    </row>
    <row r="4404" spans="1:6" x14ac:dyDescent="0.25">
      <c r="A4404" s="1">
        <v>45047</v>
      </c>
      <c r="B4404" t="s">
        <v>216</v>
      </c>
      <c r="C4404" t="s">
        <v>217</v>
      </c>
      <c r="D4404">
        <v>0</v>
      </c>
      <c r="E4404">
        <v>0</v>
      </c>
      <c r="F4404">
        <v>0</v>
      </c>
    </row>
    <row r="4405" spans="1:6" x14ac:dyDescent="0.25">
      <c r="A4405" s="1">
        <v>45047</v>
      </c>
      <c r="B4405" t="s">
        <v>40</v>
      </c>
      <c r="C4405" t="s">
        <v>581</v>
      </c>
      <c r="D4405" s="2">
        <v>-8739516</v>
      </c>
      <c r="E4405" s="2">
        <v>38493900</v>
      </c>
      <c r="F4405" s="2">
        <v>38655510.240000002</v>
      </c>
    </row>
    <row r="4406" spans="1:6" x14ac:dyDescent="0.25">
      <c r="A4406" s="1">
        <v>45047</v>
      </c>
      <c r="B4406" t="s">
        <v>164</v>
      </c>
      <c r="C4406" t="s">
        <v>840</v>
      </c>
      <c r="D4406">
        <v>0</v>
      </c>
      <c r="E4406">
        <v>0</v>
      </c>
      <c r="F4406">
        <v>0</v>
      </c>
    </row>
    <row r="4407" spans="1:6" x14ac:dyDescent="0.25">
      <c r="A4407" s="1">
        <v>45047</v>
      </c>
      <c r="B4407" t="s">
        <v>17</v>
      </c>
      <c r="C4407" t="s">
        <v>1057</v>
      </c>
      <c r="D4407" s="2">
        <v>500000</v>
      </c>
      <c r="E4407" s="2">
        <v>500000</v>
      </c>
      <c r="F4407" s="2">
        <v>500000</v>
      </c>
    </row>
    <row r="4408" spans="1:6" x14ac:dyDescent="0.25">
      <c r="A4408" s="1">
        <v>45047</v>
      </c>
      <c r="B4408" t="s">
        <v>50</v>
      </c>
      <c r="C4408" t="s">
        <v>274</v>
      </c>
      <c r="D4408">
        <v>0</v>
      </c>
      <c r="E4408" s="2">
        <v>15133.58</v>
      </c>
      <c r="F4408" s="2">
        <v>12698.63</v>
      </c>
    </row>
    <row r="4409" spans="1:6" x14ac:dyDescent="0.25">
      <c r="A4409" s="1">
        <v>45047</v>
      </c>
      <c r="B4409" t="s">
        <v>23</v>
      </c>
      <c r="C4409" t="s">
        <v>331</v>
      </c>
      <c r="D4409" s="2">
        <v>7233995.8499999996</v>
      </c>
      <c r="E4409" s="2">
        <v>2644256.2000000002</v>
      </c>
      <c r="F4409" s="2">
        <v>2471581.21</v>
      </c>
    </row>
    <row r="4410" spans="1:6" x14ac:dyDescent="0.25">
      <c r="A4410" s="1">
        <v>45047</v>
      </c>
      <c r="B4410" t="s">
        <v>21</v>
      </c>
      <c r="C4410" t="s">
        <v>797</v>
      </c>
      <c r="D4410">
        <v>0</v>
      </c>
      <c r="E4410" s="2">
        <v>97192.72</v>
      </c>
      <c r="F4410" s="2">
        <v>97192.72</v>
      </c>
    </row>
    <row r="4411" spans="1:6" x14ac:dyDescent="0.25">
      <c r="A4411" s="1">
        <v>45047</v>
      </c>
      <c r="B4411" t="s">
        <v>11</v>
      </c>
      <c r="C4411" t="s">
        <v>484</v>
      </c>
      <c r="D4411" s="2">
        <v>52410262</v>
      </c>
      <c r="E4411" s="2">
        <v>4911797.54</v>
      </c>
      <c r="F4411" s="2">
        <v>4911797.54</v>
      </c>
    </row>
    <row r="4412" spans="1:6" x14ac:dyDescent="0.25">
      <c r="A4412" s="1">
        <v>45047</v>
      </c>
      <c r="B4412" t="s">
        <v>29</v>
      </c>
      <c r="C4412" t="s">
        <v>30</v>
      </c>
      <c r="D4412">
        <v>0</v>
      </c>
      <c r="E4412">
        <v>0</v>
      </c>
      <c r="F4412">
        <v>0</v>
      </c>
    </row>
    <row r="4413" spans="1:6" x14ac:dyDescent="0.25">
      <c r="A4413" s="1">
        <v>45047</v>
      </c>
      <c r="B4413" t="s">
        <v>196</v>
      </c>
      <c r="C4413" t="s">
        <v>912</v>
      </c>
      <c r="D4413">
        <v>0</v>
      </c>
      <c r="E4413">
        <v>0</v>
      </c>
      <c r="F4413">
        <v>0</v>
      </c>
    </row>
    <row r="4414" spans="1:6" x14ac:dyDescent="0.25">
      <c r="A4414" s="1">
        <v>45047</v>
      </c>
      <c r="B4414" t="s">
        <v>98</v>
      </c>
      <c r="C4414" t="s">
        <v>948</v>
      </c>
      <c r="D4414">
        <v>0</v>
      </c>
      <c r="E4414">
        <v>0</v>
      </c>
      <c r="F4414">
        <v>0</v>
      </c>
    </row>
    <row r="4415" spans="1:6" x14ac:dyDescent="0.25">
      <c r="A4415" s="1">
        <v>45047</v>
      </c>
      <c r="B4415" t="s">
        <v>185</v>
      </c>
      <c r="C4415" t="s">
        <v>493</v>
      </c>
      <c r="D4415" s="2">
        <v>7896755.3700000001</v>
      </c>
      <c r="E4415" s="2">
        <v>166072589.08000001</v>
      </c>
      <c r="F4415" s="2">
        <v>124465548.16</v>
      </c>
    </row>
    <row r="4416" spans="1:6" x14ac:dyDescent="0.25">
      <c r="A4416" s="1">
        <v>45047</v>
      </c>
      <c r="B4416" t="s">
        <v>37</v>
      </c>
      <c r="C4416" t="s">
        <v>840</v>
      </c>
      <c r="D4416" s="2">
        <v>11160928.390000001</v>
      </c>
      <c r="E4416" s="2">
        <v>3499.66</v>
      </c>
      <c r="F4416" s="2">
        <v>3901.35</v>
      </c>
    </row>
    <row r="4417" spans="1:6" x14ac:dyDescent="0.25">
      <c r="A4417" s="1">
        <v>45047</v>
      </c>
      <c r="B4417" t="s">
        <v>40</v>
      </c>
      <c r="C4417" t="s">
        <v>695</v>
      </c>
      <c r="D4417">
        <v>0</v>
      </c>
      <c r="E4417" s="2">
        <v>3106.03</v>
      </c>
      <c r="F4417" s="2">
        <v>5249.53</v>
      </c>
    </row>
    <row r="4418" spans="1:6" x14ac:dyDescent="0.25">
      <c r="A4418" s="1">
        <v>45047</v>
      </c>
      <c r="B4418" t="s">
        <v>196</v>
      </c>
      <c r="C4418" t="s">
        <v>542</v>
      </c>
      <c r="D4418">
        <v>0</v>
      </c>
      <c r="E4418">
        <v>0</v>
      </c>
      <c r="F4418">
        <v>0</v>
      </c>
    </row>
    <row r="4419" spans="1:6" x14ac:dyDescent="0.25">
      <c r="A4419" s="1">
        <v>45047</v>
      </c>
      <c r="B4419" t="s">
        <v>23</v>
      </c>
      <c r="C4419" t="s">
        <v>681</v>
      </c>
      <c r="D4419" s="2">
        <v>362924443.08999997</v>
      </c>
      <c r="E4419" s="2">
        <v>390584.99</v>
      </c>
      <c r="F4419" s="2">
        <v>300148.12</v>
      </c>
    </row>
    <row r="4420" spans="1:6" x14ac:dyDescent="0.25">
      <c r="A4420" s="1">
        <v>45047</v>
      </c>
      <c r="B4420" t="s">
        <v>154</v>
      </c>
      <c r="C4420" t="s">
        <v>155</v>
      </c>
      <c r="D4420">
        <v>0</v>
      </c>
      <c r="E4420" s="2">
        <v>6205.92</v>
      </c>
      <c r="F4420" s="2">
        <v>6205.92</v>
      </c>
    </row>
    <row r="4421" spans="1:6" x14ac:dyDescent="0.25">
      <c r="A4421" s="1">
        <v>45047</v>
      </c>
      <c r="B4421" t="s">
        <v>21</v>
      </c>
      <c r="C4421" t="s">
        <v>276</v>
      </c>
      <c r="D4421" s="2">
        <v>82454.53</v>
      </c>
      <c r="E4421" s="2">
        <v>82454.53</v>
      </c>
      <c r="F4421" s="2">
        <v>82454.53</v>
      </c>
    </row>
    <row r="4422" spans="1:6" x14ac:dyDescent="0.25">
      <c r="A4422" s="1">
        <v>45047</v>
      </c>
      <c r="B4422" t="s">
        <v>11</v>
      </c>
      <c r="C4422" t="s">
        <v>696</v>
      </c>
      <c r="D4422" s="2">
        <v>19248604.530000001</v>
      </c>
      <c r="E4422" s="2">
        <v>19266668.010000002</v>
      </c>
      <c r="F4422" s="2">
        <v>19344162.359999999</v>
      </c>
    </row>
    <row r="4423" spans="1:6" x14ac:dyDescent="0.25">
      <c r="A4423" s="1">
        <v>45047</v>
      </c>
      <c r="B4423" t="s">
        <v>933</v>
      </c>
      <c r="C4423" t="s">
        <v>1203</v>
      </c>
      <c r="D4423">
        <v>0</v>
      </c>
      <c r="E4423" s="2">
        <v>4600.2299999999996</v>
      </c>
      <c r="F4423" s="2">
        <v>4600.2299999999996</v>
      </c>
    </row>
    <row r="4424" spans="1:6" x14ac:dyDescent="0.25">
      <c r="A4424" s="1">
        <v>45047</v>
      </c>
      <c r="B4424" t="s">
        <v>213</v>
      </c>
      <c r="C4424" t="s">
        <v>1061</v>
      </c>
      <c r="D4424">
        <v>0</v>
      </c>
      <c r="E4424">
        <v>0</v>
      </c>
      <c r="F4424">
        <v>0</v>
      </c>
    </row>
    <row r="4425" spans="1:6" x14ac:dyDescent="0.25">
      <c r="A4425" s="1">
        <v>45047</v>
      </c>
      <c r="B4425" t="s">
        <v>682</v>
      </c>
      <c r="C4425" t="s">
        <v>1067</v>
      </c>
      <c r="D4425" s="2">
        <v>165730.31</v>
      </c>
      <c r="E4425" s="2">
        <v>173410.6</v>
      </c>
      <c r="F4425" s="2">
        <v>172515.16</v>
      </c>
    </row>
    <row r="4426" spans="1:6" x14ac:dyDescent="0.25">
      <c r="A4426" s="1">
        <v>45047</v>
      </c>
      <c r="B4426" t="s">
        <v>118</v>
      </c>
      <c r="C4426" t="s">
        <v>277</v>
      </c>
      <c r="D4426" s="2">
        <v>445985</v>
      </c>
      <c r="E4426" s="2">
        <v>16145.25</v>
      </c>
      <c r="F4426" s="2">
        <v>6097.85</v>
      </c>
    </row>
    <row r="4427" spans="1:6" x14ac:dyDescent="0.25">
      <c r="A4427" s="1">
        <v>45047</v>
      </c>
      <c r="B4427" t="s">
        <v>98</v>
      </c>
      <c r="C4427" t="s">
        <v>1161</v>
      </c>
      <c r="D4427">
        <v>0</v>
      </c>
      <c r="E4427">
        <v>0</v>
      </c>
      <c r="F4427">
        <v>0</v>
      </c>
    </row>
    <row r="4428" spans="1:6" x14ac:dyDescent="0.25">
      <c r="A4428" s="1">
        <v>45047</v>
      </c>
      <c r="B4428" t="s">
        <v>23</v>
      </c>
      <c r="C4428" t="s">
        <v>248</v>
      </c>
      <c r="D4428" s="2">
        <v>2105667.79</v>
      </c>
      <c r="E4428" s="2">
        <v>188925.18</v>
      </c>
      <c r="F4428">
        <v>0</v>
      </c>
    </row>
    <row r="4429" spans="1:6" x14ac:dyDescent="0.25">
      <c r="A4429" s="1">
        <v>45047</v>
      </c>
      <c r="B4429" t="s">
        <v>42</v>
      </c>
      <c r="C4429" t="s">
        <v>380</v>
      </c>
      <c r="D4429" s="2">
        <v>16221850</v>
      </c>
      <c r="E4429" s="2">
        <v>1833497.63</v>
      </c>
      <c r="F4429" s="2">
        <v>2248740</v>
      </c>
    </row>
    <row r="4430" spans="1:6" x14ac:dyDescent="0.25">
      <c r="A4430" s="1">
        <v>45047</v>
      </c>
      <c r="B4430" t="s">
        <v>306</v>
      </c>
      <c r="C4430" t="s">
        <v>814</v>
      </c>
      <c r="D4430" s="2">
        <v>4532681.9800000004</v>
      </c>
      <c r="E4430" s="2">
        <v>481521.43</v>
      </c>
      <c r="F4430" s="2">
        <v>448879.52</v>
      </c>
    </row>
    <row r="4431" spans="1:6" x14ac:dyDescent="0.25">
      <c r="A4431" s="1">
        <v>45047</v>
      </c>
      <c r="B4431" t="s">
        <v>11</v>
      </c>
      <c r="C4431" t="s">
        <v>342</v>
      </c>
      <c r="D4431" s="2">
        <v>660580571.12</v>
      </c>
      <c r="E4431" s="2">
        <v>656747034.22000003</v>
      </c>
      <c r="F4431" s="2">
        <v>654746465.5</v>
      </c>
    </row>
    <row r="4432" spans="1:6" x14ac:dyDescent="0.25">
      <c r="A4432" s="1">
        <v>45047</v>
      </c>
      <c r="B4432" t="s">
        <v>44</v>
      </c>
      <c r="C4432" t="s">
        <v>579</v>
      </c>
      <c r="D4432" s="2">
        <v>467167.29</v>
      </c>
      <c r="E4432" s="2">
        <v>216230.78</v>
      </c>
      <c r="F4432" s="2">
        <v>217782.29</v>
      </c>
    </row>
    <row r="4433" spans="1:6" x14ac:dyDescent="0.25">
      <c r="A4433" s="1">
        <v>45047</v>
      </c>
      <c r="B4433" t="s">
        <v>21</v>
      </c>
      <c r="C4433" t="s">
        <v>522</v>
      </c>
      <c r="D4433" s="2">
        <v>187000000</v>
      </c>
      <c r="E4433" s="2">
        <v>10892370.77</v>
      </c>
      <c r="F4433" s="2">
        <v>10892370.77</v>
      </c>
    </row>
    <row r="4434" spans="1:6" x14ac:dyDescent="0.25">
      <c r="A4434" s="1">
        <v>45047</v>
      </c>
      <c r="B4434" t="s">
        <v>40</v>
      </c>
      <c r="C4434" t="s">
        <v>629</v>
      </c>
      <c r="D4434" s="2">
        <v>215718.08</v>
      </c>
      <c r="E4434" s="2">
        <v>313799.96999999997</v>
      </c>
      <c r="F4434" s="2">
        <v>236468.86</v>
      </c>
    </row>
    <row r="4435" spans="1:6" x14ac:dyDescent="0.25">
      <c r="A4435" s="1">
        <v>45047</v>
      </c>
      <c r="B4435" t="s">
        <v>251</v>
      </c>
      <c r="C4435" t="s">
        <v>808</v>
      </c>
      <c r="D4435" s="2">
        <v>3582447.37</v>
      </c>
      <c r="E4435" s="2">
        <v>143497186.46000001</v>
      </c>
      <c r="F4435" s="2">
        <v>142193474.08000001</v>
      </c>
    </row>
    <row r="4436" spans="1:6" x14ac:dyDescent="0.25">
      <c r="A4436" s="1">
        <v>45047</v>
      </c>
      <c r="B4436" t="s">
        <v>296</v>
      </c>
      <c r="C4436" t="s">
        <v>297</v>
      </c>
      <c r="D4436" s="2">
        <v>-15690888.6</v>
      </c>
      <c r="E4436" s="2">
        <v>3109267.81</v>
      </c>
      <c r="F4436" s="2">
        <v>1308080.5900000001</v>
      </c>
    </row>
    <row r="4437" spans="1:6" x14ac:dyDescent="0.25">
      <c r="A4437" s="1">
        <v>45047</v>
      </c>
      <c r="B4437" t="s">
        <v>143</v>
      </c>
      <c r="C4437" t="s">
        <v>378</v>
      </c>
      <c r="D4437" s="2">
        <v>270000</v>
      </c>
      <c r="E4437" s="2">
        <v>270000</v>
      </c>
      <c r="F4437" s="2">
        <v>270000</v>
      </c>
    </row>
    <row r="4438" spans="1:6" x14ac:dyDescent="0.25">
      <c r="A4438" s="1">
        <v>45047</v>
      </c>
      <c r="B4438" t="s">
        <v>17</v>
      </c>
      <c r="C4438" t="s">
        <v>799</v>
      </c>
      <c r="D4438" s="2">
        <v>2296529.96</v>
      </c>
      <c r="E4438" s="2">
        <v>585743.86</v>
      </c>
      <c r="F4438" s="2">
        <v>527941.25</v>
      </c>
    </row>
    <row r="4439" spans="1:6" x14ac:dyDescent="0.25">
      <c r="A4439" s="1">
        <v>45047</v>
      </c>
      <c r="B4439" t="s">
        <v>143</v>
      </c>
      <c r="C4439" t="s">
        <v>1161</v>
      </c>
      <c r="D4439">
        <v>0</v>
      </c>
      <c r="E4439">
        <v>0</v>
      </c>
      <c r="F4439">
        <v>0</v>
      </c>
    </row>
    <row r="4440" spans="1:6" x14ac:dyDescent="0.25">
      <c r="A4440" s="1">
        <v>45047</v>
      </c>
      <c r="B4440" t="s">
        <v>70</v>
      </c>
      <c r="C4440" t="s">
        <v>71</v>
      </c>
      <c r="D4440" s="2">
        <v>13794092.029999999</v>
      </c>
      <c r="E4440" s="2">
        <v>10445137.75</v>
      </c>
      <c r="F4440" s="2">
        <v>7818440.9199999999</v>
      </c>
    </row>
    <row r="4441" spans="1:6" x14ac:dyDescent="0.25">
      <c r="A4441" s="1">
        <v>45047</v>
      </c>
      <c r="B4441" t="s">
        <v>992</v>
      </c>
      <c r="C4441" t="s">
        <v>993</v>
      </c>
      <c r="D4441">
        <v>0</v>
      </c>
      <c r="E4441">
        <v>0</v>
      </c>
      <c r="F4441">
        <v>0</v>
      </c>
    </row>
    <row r="4442" spans="1:6" x14ac:dyDescent="0.25">
      <c r="A4442" s="1">
        <v>45047</v>
      </c>
      <c r="B4442" t="s">
        <v>187</v>
      </c>
      <c r="C4442" t="s">
        <v>830</v>
      </c>
      <c r="D4442" s="2">
        <v>3155009.14</v>
      </c>
      <c r="E4442" s="2">
        <v>1684478.76</v>
      </c>
      <c r="F4442" s="2">
        <v>2326623.13</v>
      </c>
    </row>
    <row r="4443" spans="1:6" x14ac:dyDescent="0.25">
      <c r="A4443" s="1">
        <v>45047</v>
      </c>
      <c r="B4443" t="s">
        <v>96</v>
      </c>
      <c r="C4443" t="s">
        <v>594</v>
      </c>
      <c r="D4443">
        <v>0</v>
      </c>
      <c r="E4443">
        <v>0</v>
      </c>
      <c r="F4443">
        <v>0</v>
      </c>
    </row>
    <row r="4444" spans="1:6" x14ac:dyDescent="0.25">
      <c r="A4444" s="1">
        <v>45047</v>
      </c>
      <c r="B4444" t="s">
        <v>278</v>
      </c>
      <c r="C4444" t="s">
        <v>688</v>
      </c>
      <c r="D4444" s="2">
        <v>300000</v>
      </c>
      <c r="E4444" s="2">
        <v>3266505635.9499998</v>
      </c>
      <c r="F4444" s="2">
        <v>3236459363.4699998</v>
      </c>
    </row>
    <row r="4445" spans="1:6" x14ac:dyDescent="0.25">
      <c r="A4445" s="1">
        <v>45047</v>
      </c>
      <c r="B4445" t="s">
        <v>29</v>
      </c>
      <c r="C4445" t="s">
        <v>717</v>
      </c>
      <c r="D4445" s="2">
        <v>155376490.38</v>
      </c>
      <c r="E4445" s="2">
        <v>30058185.780000001</v>
      </c>
      <c r="F4445" s="2">
        <v>18794743.629999999</v>
      </c>
    </row>
    <row r="4446" spans="1:6" x14ac:dyDescent="0.25">
      <c r="A4446" s="1">
        <v>45047</v>
      </c>
      <c r="B4446" t="s">
        <v>23</v>
      </c>
      <c r="C4446" t="s">
        <v>365</v>
      </c>
      <c r="D4446" s="2">
        <v>747970.62</v>
      </c>
      <c r="E4446" s="2">
        <v>417749.9</v>
      </c>
      <c r="F4446" s="2">
        <v>413230.54</v>
      </c>
    </row>
    <row r="4447" spans="1:6" x14ac:dyDescent="0.25">
      <c r="A4447" s="1">
        <v>45047</v>
      </c>
      <c r="B4447" t="s">
        <v>726</v>
      </c>
      <c r="C4447" t="s">
        <v>789</v>
      </c>
      <c r="D4447" s="2">
        <v>1446904.63</v>
      </c>
      <c r="E4447" s="2">
        <v>632263.43999999994</v>
      </c>
      <c r="F4447" s="2">
        <v>453784.6</v>
      </c>
    </row>
    <row r="4448" spans="1:6" x14ac:dyDescent="0.25">
      <c r="A4448" s="1">
        <v>45047</v>
      </c>
      <c r="B4448" t="s">
        <v>63</v>
      </c>
      <c r="C4448" t="s">
        <v>714</v>
      </c>
      <c r="D4448" s="2">
        <v>6632484.8399999999</v>
      </c>
      <c r="E4448" s="2">
        <v>2813439.6</v>
      </c>
      <c r="F4448" s="2">
        <v>3246911.21</v>
      </c>
    </row>
    <row r="4449" spans="1:6" x14ac:dyDescent="0.25">
      <c r="A4449" s="1">
        <v>45047</v>
      </c>
      <c r="B4449" t="s">
        <v>29</v>
      </c>
      <c r="C4449" t="s">
        <v>804</v>
      </c>
      <c r="D4449" s="2">
        <v>10666812.550000001</v>
      </c>
      <c r="E4449" s="2">
        <v>3439298.33</v>
      </c>
      <c r="F4449" s="2">
        <v>3406569.53</v>
      </c>
    </row>
    <row r="4450" spans="1:6" x14ac:dyDescent="0.25">
      <c r="A4450" s="1">
        <v>45047</v>
      </c>
      <c r="B4450" t="s">
        <v>19</v>
      </c>
      <c r="C4450" t="s">
        <v>156</v>
      </c>
      <c r="D4450" s="2">
        <v>144765.01</v>
      </c>
      <c r="E4450" s="2">
        <v>84391.74</v>
      </c>
      <c r="F4450" s="2">
        <v>84391.74</v>
      </c>
    </row>
    <row r="4451" spans="1:6" x14ac:dyDescent="0.25">
      <c r="A4451" s="1">
        <v>45047</v>
      </c>
      <c r="B4451" t="s">
        <v>21</v>
      </c>
      <c r="C4451" t="s">
        <v>433</v>
      </c>
      <c r="D4451">
        <v>0</v>
      </c>
      <c r="E4451">
        <v>0</v>
      </c>
      <c r="F4451">
        <v>0</v>
      </c>
    </row>
    <row r="4452" spans="1:6" x14ac:dyDescent="0.25">
      <c r="A4452" s="1">
        <v>45047</v>
      </c>
      <c r="B4452" t="s">
        <v>648</v>
      </c>
      <c r="C4452" t="s">
        <v>1047</v>
      </c>
      <c r="D4452" s="2">
        <v>160879.71</v>
      </c>
      <c r="E4452" s="2">
        <v>38128.519999999997</v>
      </c>
      <c r="F4452" s="2">
        <v>38128.519999999997</v>
      </c>
    </row>
    <row r="4453" spans="1:6" x14ac:dyDescent="0.25">
      <c r="A4453" s="1">
        <v>45047</v>
      </c>
      <c r="B4453" t="s">
        <v>23</v>
      </c>
      <c r="C4453" t="s">
        <v>637</v>
      </c>
      <c r="D4453" s="2">
        <v>4331493.95</v>
      </c>
      <c r="E4453" s="2">
        <v>1997670.36</v>
      </c>
      <c r="F4453" s="2">
        <v>1201802.1399999999</v>
      </c>
    </row>
    <row r="4454" spans="1:6" x14ac:dyDescent="0.25">
      <c r="A4454" s="1">
        <v>45047</v>
      </c>
      <c r="B4454" t="s">
        <v>648</v>
      </c>
      <c r="C4454" t="s">
        <v>765</v>
      </c>
      <c r="D4454" s="2">
        <v>547384.5</v>
      </c>
      <c r="E4454" s="2">
        <v>1221168.6599999999</v>
      </c>
      <c r="F4454" s="2">
        <v>1159469.53</v>
      </c>
    </row>
    <row r="4455" spans="1:6" x14ac:dyDescent="0.25">
      <c r="A4455" s="1">
        <v>45047</v>
      </c>
      <c r="B4455" t="s">
        <v>23</v>
      </c>
      <c r="C4455" t="s">
        <v>698</v>
      </c>
      <c r="D4455" s="2">
        <v>252452.69</v>
      </c>
      <c r="E4455" s="2">
        <v>173670.25</v>
      </c>
      <c r="F4455" s="2">
        <v>24476.44</v>
      </c>
    </row>
    <row r="4456" spans="1:6" x14ac:dyDescent="0.25">
      <c r="A4456" s="1">
        <v>45047</v>
      </c>
      <c r="B4456" t="s">
        <v>966</v>
      </c>
      <c r="C4456" t="s">
        <v>1060</v>
      </c>
      <c r="D4456">
        <v>0</v>
      </c>
      <c r="E4456">
        <v>0</v>
      </c>
      <c r="F4456">
        <v>0</v>
      </c>
    </row>
    <row r="4457" spans="1:6" x14ac:dyDescent="0.25">
      <c r="A4457" s="1">
        <v>45047</v>
      </c>
      <c r="B4457" t="s">
        <v>162</v>
      </c>
      <c r="C4457" t="s">
        <v>218</v>
      </c>
      <c r="D4457" s="2">
        <v>166831332</v>
      </c>
      <c r="E4457" s="2">
        <v>164305680</v>
      </c>
      <c r="F4457" s="2">
        <v>164305680</v>
      </c>
    </row>
    <row r="4458" spans="1:6" x14ac:dyDescent="0.25">
      <c r="A4458" s="1">
        <v>45047</v>
      </c>
      <c r="B4458" t="s">
        <v>107</v>
      </c>
      <c r="C4458" t="s">
        <v>108</v>
      </c>
      <c r="D4458" s="2">
        <v>505000000</v>
      </c>
      <c r="E4458" s="2">
        <v>122495865.91</v>
      </c>
      <c r="F4458" s="2">
        <v>122495865.91</v>
      </c>
    </row>
    <row r="4459" spans="1:6" x14ac:dyDescent="0.25">
      <c r="A4459" s="1">
        <v>45047</v>
      </c>
      <c r="B4459" t="s">
        <v>37</v>
      </c>
      <c r="C4459" t="s">
        <v>319</v>
      </c>
      <c r="D4459">
        <v>0</v>
      </c>
      <c r="E4459">
        <v>0</v>
      </c>
      <c r="F4459">
        <v>0</v>
      </c>
    </row>
    <row r="4460" spans="1:6" x14ac:dyDescent="0.25">
      <c r="A4460" s="1">
        <v>45047</v>
      </c>
      <c r="B4460" t="s">
        <v>50</v>
      </c>
      <c r="C4460" t="s">
        <v>689</v>
      </c>
      <c r="D4460" s="2">
        <v>874437</v>
      </c>
      <c r="E4460" s="2">
        <v>12651.24</v>
      </c>
      <c r="F4460" s="2">
        <v>12701.24</v>
      </c>
    </row>
    <row r="4461" spans="1:6" x14ac:dyDescent="0.25">
      <c r="A4461" s="1">
        <v>45047</v>
      </c>
      <c r="B4461" t="s">
        <v>17</v>
      </c>
      <c r="C4461" t="s">
        <v>1025</v>
      </c>
      <c r="D4461">
        <v>0</v>
      </c>
      <c r="E4461">
        <v>0</v>
      </c>
      <c r="F4461">
        <v>0</v>
      </c>
    </row>
    <row r="4462" spans="1:6" x14ac:dyDescent="0.25">
      <c r="A4462" s="1">
        <v>45047</v>
      </c>
      <c r="B4462" t="s">
        <v>23</v>
      </c>
      <c r="C4462" t="s">
        <v>157</v>
      </c>
      <c r="D4462" s="2">
        <v>1362302.1</v>
      </c>
      <c r="E4462" s="2">
        <v>188811.06</v>
      </c>
      <c r="F4462" s="2">
        <v>188453.74</v>
      </c>
    </row>
    <row r="4463" spans="1:6" x14ac:dyDescent="0.25">
      <c r="A4463" s="1">
        <v>45047</v>
      </c>
      <c r="B4463" t="s">
        <v>40</v>
      </c>
      <c r="C4463" t="s">
        <v>459</v>
      </c>
      <c r="D4463" s="2">
        <v>589871580.00999999</v>
      </c>
      <c r="E4463" s="2">
        <v>2377531002.1100001</v>
      </c>
      <c r="F4463" s="2">
        <v>2351342620.4200001</v>
      </c>
    </row>
    <row r="4464" spans="1:6" x14ac:dyDescent="0.25">
      <c r="A4464" s="1">
        <v>45047</v>
      </c>
      <c r="B4464" t="s">
        <v>44</v>
      </c>
      <c r="C4464" t="s">
        <v>253</v>
      </c>
      <c r="D4464" s="2">
        <v>87500</v>
      </c>
      <c r="E4464" s="2">
        <v>27746.43</v>
      </c>
      <c r="F4464" s="2">
        <v>27079.72</v>
      </c>
    </row>
    <row r="4465" spans="1:6" x14ac:dyDescent="0.25">
      <c r="A4465" s="1">
        <v>45047</v>
      </c>
      <c r="B4465" t="s">
        <v>103</v>
      </c>
      <c r="C4465" t="s">
        <v>233</v>
      </c>
      <c r="D4465" s="2">
        <v>-2200000</v>
      </c>
      <c r="E4465" s="2">
        <v>33771619.890000001</v>
      </c>
      <c r="F4465" s="2">
        <v>33771619.890000001</v>
      </c>
    </row>
    <row r="4466" spans="1:6" x14ac:dyDescent="0.25">
      <c r="A4466" s="1">
        <v>45047</v>
      </c>
      <c r="B4466" t="s">
        <v>50</v>
      </c>
      <c r="C4466" t="s">
        <v>625</v>
      </c>
      <c r="D4466" s="2">
        <v>9782474.1999999993</v>
      </c>
      <c r="E4466" s="2">
        <v>800552.67</v>
      </c>
      <c r="F4466" s="2">
        <v>737312.43</v>
      </c>
    </row>
    <row r="4467" spans="1:6" x14ac:dyDescent="0.25">
      <c r="A4467" s="1">
        <v>45047</v>
      </c>
      <c r="B4467" t="s">
        <v>296</v>
      </c>
      <c r="C4467" t="s">
        <v>552</v>
      </c>
      <c r="D4467" s="2">
        <v>-387220.6</v>
      </c>
      <c r="E4467" s="2">
        <v>1767197.76</v>
      </c>
      <c r="F4467" s="2">
        <v>1115612.1399999999</v>
      </c>
    </row>
    <row r="4468" spans="1:6" x14ac:dyDescent="0.25">
      <c r="A4468" s="1">
        <v>45047</v>
      </c>
      <c r="B4468" t="s">
        <v>68</v>
      </c>
      <c r="C4468" t="s">
        <v>810</v>
      </c>
      <c r="D4468" s="2">
        <v>2488939.2999999998</v>
      </c>
      <c r="E4468" s="2">
        <v>1571837.32</v>
      </c>
      <c r="F4468" s="2">
        <v>1562124.17</v>
      </c>
    </row>
    <row r="4469" spans="1:6" x14ac:dyDescent="0.25">
      <c r="A4469" s="1">
        <v>45047</v>
      </c>
      <c r="B4469" t="s">
        <v>23</v>
      </c>
      <c r="C4469" t="s">
        <v>874</v>
      </c>
      <c r="D4469" s="2">
        <v>1529043.24</v>
      </c>
      <c r="E4469" s="2">
        <v>371317.42</v>
      </c>
      <c r="F4469" s="2">
        <v>363107.97</v>
      </c>
    </row>
    <row r="4470" spans="1:6" x14ac:dyDescent="0.25">
      <c r="A4470" s="1">
        <v>45047</v>
      </c>
      <c r="B4470" t="s">
        <v>15</v>
      </c>
      <c r="C4470" t="s">
        <v>697</v>
      </c>
      <c r="D4470" s="2">
        <v>91793540.790000007</v>
      </c>
      <c r="E4470" s="2">
        <v>46393190.619999997</v>
      </c>
      <c r="F4470" s="2">
        <v>35953161.590000004</v>
      </c>
    </row>
    <row r="4471" spans="1:6" x14ac:dyDescent="0.25">
      <c r="A4471" s="1">
        <v>45047</v>
      </c>
      <c r="B4471" t="s">
        <v>42</v>
      </c>
      <c r="C4471" t="s">
        <v>110</v>
      </c>
      <c r="D4471" s="2">
        <v>11016681.640000001</v>
      </c>
      <c r="E4471" s="2">
        <v>10514563.24</v>
      </c>
      <c r="F4471" s="2">
        <v>10514563.24</v>
      </c>
    </row>
    <row r="4472" spans="1:6" x14ac:dyDescent="0.25">
      <c r="A4472" s="1">
        <v>45047</v>
      </c>
      <c r="B4472" t="s">
        <v>15</v>
      </c>
      <c r="C4472" t="s">
        <v>948</v>
      </c>
      <c r="D4472" s="2">
        <v>193075.52</v>
      </c>
      <c r="E4472" s="2">
        <v>19617.439999999999</v>
      </c>
      <c r="F4472" s="2">
        <v>42629.41</v>
      </c>
    </row>
    <row r="4473" spans="1:6" x14ac:dyDescent="0.25">
      <c r="A4473" s="1">
        <v>45047</v>
      </c>
      <c r="B4473" t="s">
        <v>422</v>
      </c>
      <c r="C4473" t="s">
        <v>671</v>
      </c>
      <c r="D4473" s="2">
        <v>6843198.9000000004</v>
      </c>
      <c r="E4473" s="2">
        <v>6024292.2999999998</v>
      </c>
      <c r="F4473" s="2">
        <v>5803104.29</v>
      </c>
    </row>
    <row r="4474" spans="1:6" x14ac:dyDescent="0.25">
      <c r="A4474" s="1">
        <v>45047</v>
      </c>
      <c r="B4474" t="s">
        <v>21</v>
      </c>
      <c r="C4474" t="s">
        <v>700</v>
      </c>
      <c r="D4474" s="2">
        <v>27529115.379999999</v>
      </c>
      <c r="E4474" s="2">
        <v>217819</v>
      </c>
      <c r="F4474" s="2">
        <v>217819</v>
      </c>
    </row>
    <row r="4475" spans="1:6" x14ac:dyDescent="0.25">
      <c r="A4475" s="1">
        <v>45047</v>
      </c>
      <c r="B4475" t="s">
        <v>98</v>
      </c>
      <c r="C4475" t="s">
        <v>1166</v>
      </c>
      <c r="D4475">
        <v>0</v>
      </c>
      <c r="E4475">
        <v>0</v>
      </c>
      <c r="F4475">
        <v>0</v>
      </c>
    </row>
    <row r="4476" spans="1:6" x14ac:dyDescent="0.25">
      <c r="A4476" s="1">
        <v>45047</v>
      </c>
      <c r="B4476" t="s">
        <v>23</v>
      </c>
      <c r="C4476" t="s">
        <v>760</v>
      </c>
      <c r="D4476" s="2">
        <v>3496794.22</v>
      </c>
      <c r="E4476" s="2">
        <v>52294497.07</v>
      </c>
      <c r="F4476" s="2">
        <v>52294497.07</v>
      </c>
    </row>
    <row r="4477" spans="1:6" x14ac:dyDescent="0.25">
      <c r="A4477" s="1">
        <v>45047</v>
      </c>
      <c r="B4477" t="s">
        <v>23</v>
      </c>
      <c r="C4477" t="s">
        <v>436</v>
      </c>
      <c r="D4477" s="2">
        <v>2959304.77</v>
      </c>
      <c r="E4477" s="2">
        <v>126675.17</v>
      </c>
      <c r="F4477">
        <v>0</v>
      </c>
    </row>
    <row r="4478" spans="1:6" x14ac:dyDescent="0.25">
      <c r="A4478" s="1">
        <v>45047</v>
      </c>
      <c r="B4478" t="s">
        <v>185</v>
      </c>
      <c r="C4478" t="s">
        <v>316</v>
      </c>
      <c r="D4478" s="2">
        <v>12414909.34</v>
      </c>
      <c r="E4478" s="2">
        <v>5835845.7599999998</v>
      </c>
      <c r="F4478" s="2">
        <v>6397967.4299999997</v>
      </c>
    </row>
    <row r="4479" spans="1:6" x14ac:dyDescent="0.25">
      <c r="A4479" s="1">
        <v>45047</v>
      </c>
      <c r="B4479" t="s">
        <v>35</v>
      </c>
      <c r="C4479" t="s">
        <v>36</v>
      </c>
      <c r="D4479">
        <v>0</v>
      </c>
      <c r="E4479">
        <v>0</v>
      </c>
      <c r="F4479">
        <v>0</v>
      </c>
    </row>
    <row r="4480" spans="1:6" x14ac:dyDescent="0.25">
      <c r="A4480" s="1">
        <v>45047</v>
      </c>
      <c r="B4480" t="s">
        <v>15</v>
      </c>
      <c r="C4480" t="s">
        <v>693</v>
      </c>
      <c r="D4480" s="2">
        <v>837365.6</v>
      </c>
      <c r="E4480" s="2">
        <v>7058648.2800000003</v>
      </c>
      <c r="F4480" s="2">
        <v>2621322.48</v>
      </c>
    </row>
    <row r="4481" spans="1:6" x14ac:dyDescent="0.25">
      <c r="A4481" s="1">
        <v>45047</v>
      </c>
      <c r="B4481" t="s">
        <v>27</v>
      </c>
      <c r="C4481" t="s">
        <v>811</v>
      </c>
      <c r="D4481">
        <v>0</v>
      </c>
      <c r="E4481" s="2">
        <v>107698.24000000001</v>
      </c>
      <c r="F4481" s="2">
        <v>109181.38</v>
      </c>
    </row>
    <row r="4482" spans="1:6" x14ac:dyDescent="0.25">
      <c r="A4482" s="1">
        <v>45047</v>
      </c>
      <c r="B4482" t="s">
        <v>44</v>
      </c>
      <c r="C4482" t="s">
        <v>872</v>
      </c>
      <c r="D4482" s="2">
        <v>54236.9</v>
      </c>
      <c r="E4482" s="2">
        <v>69726.83</v>
      </c>
      <c r="F4482" s="2">
        <v>129725.81</v>
      </c>
    </row>
    <row r="4483" spans="1:6" x14ac:dyDescent="0.25">
      <c r="A4483" s="1">
        <v>45047</v>
      </c>
      <c r="B4483" t="s">
        <v>518</v>
      </c>
      <c r="C4483" t="s">
        <v>906</v>
      </c>
      <c r="D4483" s="2">
        <v>96243.51</v>
      </c>
      <c r="E4483" s="2">
        <v>76050.63</v>
      </c>
      <c r="F4483" s="2">
        <v>12781.96</v>
      </c>
    </row>
    <row r="4484" spans="1:6" x14ac:dyDescent="0.25">
      <c r="A4484" s="1">
        <v>45047</v>
      </c>
      <c r="B4484" t="s">
        <v>37</v>
      </c>
      <c r="C4484" t="s">
        <v>809</v>
      </c>
      <c r="D4484" s="2">
        <v>899620.35</v>
      </c>
      <c r="E4484" s="2">
        <v>391149.41</v>
      </c>
      <c r="F4484" s="2">
        <v>688797.18</v>
      </c>
    </row>
    <row r="4485" spans="1:6" x14ac:dyDescent="0.25">
      <c r="A4485" s="1">
        <v>45047</v>
      </c>
      <c r="B4485" t="s">
        <v>726</v>
      </c>
      <c r="C4485" t="s">
        <v>918</v>
      </c>
      <c r="D4485" s="2">
        <v>67999.67</v>
      </c>
      <c r="E4485" s="2">
        <v>97450.22</v>
      </c>
      <c r="F4485" s="2">
        <v>113542.96</v>
      </c>
    </row>
    <row r="4486" spans="1:6" x14ac:dyDescent="0.25">
      <c r="A4486" s="1">
        <v>45047</v>
      </c>
      <c r="B4486" t="s">
        <v>114</v>
      </c>
      <c r="C4486" t="s">
        <v>690</v>
      </c>
      <c r="D4486" s="2">
        <v>11628838.779999999</v>
      </c>
      <c r="E4486" s="2">
        <v>32717481.280000001</v>
      </c>
      <c r="F4486" s="2">
        <v>32199338.34</v>
      </c>
    </row>
    <row r="4487" spans="1:6" x14ac:dyDescent="0.25">
      <c r="A4487" s="1">
        <v>45047</v>
      </c>
      <c r="B4487" t="s">
        <v>37</v>
      </c>
      <c r="C4487" t="s">
        <v>676</v>
      </c>
      <c r="D4487" s="2">
        <v>74510.679999999993</v>
      </c>
      <c r="E4487" s="2">
        <v>1062309.33</v>
      </c>
      <c r="F4487" s="2">
        <v>1012300.35</v>
      </c>
    </row>
    <row r="4488" spans="1:6" x14ac:dyDescent="0.25">
      <c r="A4488" s="1">
        <v>45047</v>
      </c>
      <c r="B4488" t="s">
        <v>46</v>
      </c>
      <c r="C4488" t="s">
        <v>584</v>
      </c>
      <c r="D4488" s="2">
        <v>5539260.29</v>
      </c>
      <c r="E4488" s="2">
        <v>3032326.94</v>
      </c>
      <c r="F4488" s="2">
        <v>3536971.68</v>
      </c>
    </row>
    <row r="4489" spans="1:6" x14ac:dyDescent="0.25">
      <c r="A4489" s="1">
        <v>45047</v>
      </c>
      <c r="B4489" t="s">
        <v>92</v>
      </c>
      <c r="C4489" t="s">
        <v>1130</v>
      </c>
      <c r="D4489">
        <v>-91.2</v>
      </c>
      <c r="E4489">
        <v>-81.33</v>
      </c>
      <c r="F4489">
        <v>-81.33</v>
      </c>
    </row>
    <row r="4490" spans="1:6" x14ac:dyDescent="0.25">
      <c r="A4490" s="1">
        <v>45047</v>
      </c>
      <c r="B4490" t="s">
        <v>37</v>
      </c>
      <c r="C4490" t="s">
        <v>685</v>
      </c>
      <c r="D4490" s="2">
        <v>325500.99</v>
      </c>
      <c r="E4490" s="2">
        <v>2938593.74</v>
      </c>
      <c r="F4490" s="2">
        <v>3165593.74</v>
      </c>
    </row>
    <row r="4491" spans="1:6" x14ac:dyDescent="0.25">
      <c r="A4491" s="1">
        <v>45047</v>
      </c>
      <c r="B4491" t="s">
        <v>23</v>
      </c>
      <c r="C4491" t="s">
        <v>482</v>
      </c>
      <c r="D4491" s="2">
        <v>18368672.359999999</v>
      </c>
      <c r="E4491" s="2">
        <v>2072449.51</v>
      </c>
      <c r="F4491" s="2">
        <v>2071417</v>
      </c>
    </row>
    <row r="4492" spans="1:6" x14ac:dyDescent="0.25">
      <c r="A4492" s="1">
        <v>45047</v>
      </c>
      <c r="B4492" t="s">
        <v>490</v>
      </c>
      <c r="C4492" t="s">
        <v>1009</v>
      </c>
      <c r="D4492">
        <v>0</v>
      </c>
      <c r="E4492">
        <v>0</v>
      </c>
      <c r="F4492">
        <v>0</v>
      </c>
    </row>
    <row r="4493" spans="1:6" x14ac:dyDescent="0.25">
      <c r="A4493" s="1">
        <v>45047</v>
      </c>
      <c r="B4493" t="s">
        <v>398</v>
      </c>
      <c r="C4493" t="s">
        <v>498</v>
      </c>
      <c r="D4493" s="2">
        <v>597324.63</v>
      </c>
      <c r="E4493" s="2">
        <v>209561.11</v>
      </c>
      <c r="F4493" s="2">
        <v>183173.15</v>
      </c>
    </row>
    <row r="4494" spans="1:6" x14ac:dyDescent="0.25">
      <c r="A4494" s="1">
        <v>45047</v>
      </c>
      <c r="B4494" t="s">
        <v>159</v>
      </c>
      <c r="C4494" t="s">
        <v>640</v>
      </c>
      <c r="D4494">
        <v>0</v>
      </c>
      <c r="E4494">
        <v>0</v>
      </c>
      <c r="F4494">
        <v>0</v>
      </c>
    </row>
    <row r="4495" spans="1:6" x14ac:dyDescent="0.25">
      <c r="A4495" s="1">
        <v>45047</v>
      </c>
      <c r="B4495" t="s">
        <v>23</v>
      </c>
      <c r="C4495" t="s">
        <v>611</v>
      </c>
      <c r="D4495" s="2">
        <v>276193090.86000001</v>
      </c>
      <c r="E4495" s="2">
        <v>30857310.030000001</v>
      </c>
      <c r="F4495" s="2">
        <v>30734160.940000001</v>
      </c>
    </row>
    <row r="4496" spans="1:6" x14ac:dyDescent="0.25">
      <c r="A4496" s="1">
        <v>45047</v>
      </c>
      <c r="B4496" t="s">
        <v>46</v>
      </c>
      <c r="C4496" t="s">
        <v>987</v>
      </c>
      <c r="D4496" s="2">
        <v>78000</v>
      </c>
      <c r="E4496" s="2">
        <v>25774.12</v>
      </c>
      <c r="F4496" s="2">
        <v>462642.79</v>
      </c>
    </row>
    <row r="4497" spans="1:6" x14ac:dyDescent="0.25">
      <c r="A4497" s="1">
        <v>45047</v>
      </c>
      <c r="B4497" t="s">
        <v>46</v>
      </c>
      <c r="C4497" t="s">
        <v>712</v>
      </c>
      <c r="D4497" s="2">
        <v>25020952</v>
      </c>
      <c r="E4497" s="2">
        <v>8111063.7999999998</v>
      </c>
      <c r="F4497" s="2">
        <v>6144460.0099999998</v>
      </c>
    </row>
    <row r="4498" spans="1:6" x14ac:dyDescent="0.25">
      <c r="A4498" s="1">
        <v>45047</v>
      </c>
      <c r="B4498" t="s">
        <v>40</v>
      </c>
      <c r="C4498" t="s">
        <v>616</v>
      </c>
      <c r="D4498" s="2">
        <v>301834666.31</v>
      </c>
      <c r="E4498" s="2">
        <v>71694111.129999995</v>
      </c>
      <c r="F4498" s="2">
        <v>72685101.519999996</v>
      </c>
    </row>
    <row r="4499" spans="1:6" x14ac:dyDescent="0.25">
      <c r="A4499" s="1">
        <v>45047</v>
      </c>
      <c r="B4499" t="s">
        <v>50</v>
      </c>
      <c r="C4499" t="s">
        <v>243</v>
      </c>
      <c r="D4499" s="2">
        <v>18000000</v>
      </c>
      <c r="E4499" s="2">
        <v>3634318.26</v>
      </c>
      <c r="F4499" s="2">
        <v>4132217.64</v>
      </c>
    </row>
    <row r="4500" spans="1:6" x14ac:dyDescent="0.25">
      <c r="A4500" s="1">
        <v>45047</v>
      </c>
      <c r="B4500" t="s">
        <v>103</v>
      </c>
      <c r="C4500" t="s">
        <v>259</v>
      </c>
      <c r="D4500">
        <v>0</v>
      </c>
      <c r="E4500" s="2">
        <v>26680.43</v>
      </c>
      <c r="F4500" s="2">
        <v>26680.43</v>
      </c>
    </row>
    <row r="4501" spans="1:6" x14ac:dyDescent="0.25">
      <c r="A4501" s="1">
        <v>45047</v>
      </c>
      <c r="B4501" t="s">
        <v>196</v>
      </c>
      <c r="C4501" t="s">
        <v>999</v>
      </c>
      <c r="D4501">
        <v>0</v>
      </c>
      <c r="E4501">
        <v>0</v>
      </c>
      <c r="F4501">
        <v>0</v>
      </c>
    </row>
    <row r="4502" spans="1:6" x14ac:dyDescent="0.25">
      <c r="A4502" s="1">
        <v>45047</v>
      </c>
      <c r="B4502" t="s">
        <v>154</v>
      </c>
      <c r="C4502" t="s">
        <v>785</v>
      </c>
      <c r="D4502">
        <v>0</v>
      </c>
      <c r="E4502" s="2">
        <v>12897158.4</v>
      </c>
      <c r="F4502" s="2">
        <v>12768869.779999999</v>
      </c>
    </row>
    <row r="4503" spans="1:6" x14ac:dyDescent="0.25">
      <c r="A4503" s="1">
        <v>45047</v>
      </c>
      <c r="B4503" t="s">
        <v>726</v>
      </c>
      <c r="C4503" t="s">
        <v>727</v>
      </c>
      <c r="D4503" s="2">
        <v>564013.42000000004</v>
      </c>
      <c r="E4503" s="2">
        <v>1916480.63</v>
      </c>
      <c r="F4503" s="2">
        <v>1596573.4</v>
      </c>
    </row>
    <row r="4504" spans="1:6" x14ac:dyDescent="0.25">
      <c r="A4504" s="1">
        <v>45047</v>
      </c>
      <c r="B4504" t="s">
        <v>162</v>
      </c>
      <c r="C4504" t="s">
        <v>605</v>
      </c>
      <c r="D4504" s="2">
        <v>5962450.9800000004</v>
      </c>
      <c r="E4504" s="2">
        <v>9581511.8200000003</v>
      </c>
      <c r="F4504" s="2">
        <v>4623726.5999999996</v>
      </c>
    </row>
    <row r="4505" spans="1:6" x14ac:dyDescent="0.25">
      <c r="A4505" s="1">
        <v>45047</v>
      </c>
      <c r="B4505" t="s">
        <v>98</v>
      </c>
      <c r="C4505" t="s">
        <v>322</v>
      </c>
      <c r="D4505">
        <v>0</v>
      </c>
      <c r="E4505">
        <v>0</v>
      </c>
      <c r="F4505">
        <v>0</v>
      </c>
    </row>
    <row r="4506" spans="1:6" x14ac:dyDescent="0.25">
      <c r="A4506" s="1">
        <v>45047</v>
      </c>
      <c r="B4506" t="s">
        <v>21</v>
      </c>
      <c r="C4506" t="s">
        <v>470</v>
      </c>
      <c r="D4506" s="2">
        <v>1173779340.01</v>
      </c>
      <c r="E4506" s="2">
        <v>436545493.73000002</v>
      </c>
      <c r="F4506" s="2">
        <v>428279302.80000001</v>
      </c>
    </row>
    <row r="4507" spans="1:6" x14ac:dyDescent="0.25">
      <c r="A4507" s="1">
        <v>45047</v>
      </c>
      <c r="B4507" t="s">
        <v>23</v>
      </c>
      <c r="C4507" t="s">
        <v>677</v>
      </c>
      <c r="D4507" s="2">
        <v>4238035.26</v>
      </c>
      <c r="E4507" s="2">
        <v>14149.79</v>
      </c>
      <c r="F4507" s="2">
        <v>3202.95</v>
      </c>
    </row>
    <row r="4508" spans="1:6" x14ac:dyDescent="0.25">
      <c r="A4508" s="1">
        <v>45047</v>
      </c>
      <c r="B4508" t="s">
        <v>185</v>
      </c>
      <c r="C4508" t="s">
        <v>304</v>
      </c>
      <c r="D4508" s="2">
        <v>298901216.05000001</v>
      </c>
      <c r="E4508" s="2">
        <v>110902399.29000001</v>
      </c>
      <c r="F4508" s="2">
        <v>104622843.3</v>
      </c>
    </row>
    <row r="4509" spans="1:6" x14ac:dyDescent="0.25">
      <c r="A4509" s="1">
        <v>45047</v>
      </c>
      <c r="B4509" t="s">
        <v>15</v>
      </c>
      <c r="C4509" t="s">
        <v>205</v>
      </c>
      <c r="D4509" s="2">
        <v>27882678.609999999</v>
      </c>
      <c r="E4509" s="2">
        <v>20952646.469999999</v>
      </c>
      <c r="F4509" s="2">
        <v>24713704.149999999</v>
      </c>
    </row>
    <row r="4510" spans="1:6" x14ac:dyDescent="0.25">
      <c r="A4510" s="1">
        <v>45047</v>
      </c>
      <c r="B4510" t="s">
        <v>105</v>
      </c>
      <c r="C4510" t="s">
        <v>922</v>
      </c>
      <c r="D4510" s="2">
        <v>6947557</v>
      </c>
      <c r="E4510">
        <v>0</v>
      </c>
      <c r="F4510">
        <v>0</v>
      </c>
    </row>
    <row r="4511" spans="1:6" x14ac:dyDescent="0.25">
      <c r="A4511" s="1">
        <v>45047</v>
      </c>
      <c r="B4511" t="s">
        <v>42</v>
      </c>
      <c r="C4511" t="s">
        <v>978</v>
      </c>
      <c r="D4511">
        <v>0</v>
      </c>
      <c r="E4511" s="2">
        <v>12720971.66</v>
      </c>
      <c r="F4511" s="2">
        <v>5631385.4000000004</v>
      </c>
    </row>
    <row r="4512" spans="1:6" x14ac:dyDescent="0.25">
      <c r="A4512" s="1">
        <v>45047</v>
      </c>
      <c r="B4512" t="s">
        <v>101</v>
      </c>
      <c r="C4512" t="s">
        <v>827</v>
      </c>
      <c r="D4512" s="2">
        <v>114983</v>
      </c>
      <c r="E4512">
        <v>0</v>
      </c>
      <c r="F4512">
        <v>0</v>
      </c>
    </row>
    <row r="4513" spans="1:6" x14ac:dyDescent="0.25">
      <c r="A4513" s="1">
        <v>45047</v>
      </c>
      <c r="B4513" t="s">
        <v>105</v>
      </c>
      <c r="C4513" t="s">
        <v>645</v>
      </c>
      <c r="D4513" s="2">
        <v>34062638</v>
      </c>
      <c r="E4513">
        <v>0</v>
      </c>
      <c r="F4513">
        <v>0</v>
      </c>
    </row>
    <row r="4514" spans="1:6" x14ac:dyDescent="0.25">
      <c r="A4514" s="1">
        <v>45047</v>
      </c>
      <c r="B4514" t="s">
        <v>9</v>
      </c>
      <c r="C4514" t="s">
        <v>663</v>
      </c>
      <c r="D4514" s="2">
        <v>3501155.42</v>
      </c>
      <c r="E4514" s="2">
        <v>11011657.73</v>
      </c>
      <c r="F4514" s="2">
        <v>11414812.83</v>
      </c>
    </row>
    <row r="4515" spans="1:6" x14ac:dyDescent="0.25">
      <c r="A4515" s="1">
        <v>45047</v>
      </c>
      <c r="B4515" t="s">
        <v>383</v>
      </c>
      <c r="C4515" t="s">
        <v>277</v>
      </c>
      <c r="D4515">
        <v>0</v>
      </c>
      <c r="E4515">
        <v>0</v>
      </c>
      <c r="F4515">
        <v>0</v>
      </c>
    </row>
    <row r="4516" spans="1:6" x14ac:dyDescent="0.25">
      <c r="A4516" s="1">
        <v>45047</v>
      </c>
      <c r="B4516" t="s">
        <v>159</v>
      </c>
      <c r="C4516" t="s">
        <v>525</v>
      </c>
      <c r="D4516" s="2">
        <v>1145000</v>
      </c>
      <c r="E4516" s="2">
        <v>583666.6</v>
      </c>
      <c r="F4516" s="2">
        <v>582778.65</v>
      </c>
    </row>
    <row r="4517" spans="1:6" x14ac:dyDescent="0.25">
      <c r="A4517" s="1">
        <v>45047</v>
      </c>
      <c r="B4517" t="s">
        <v>11</v>
      </c>
      <c r="C4517" t="s">
        <v>471</v>
      </c>
      <c r="D4517" s="2">
        <v>55465989.060000002</v>
      </c>
      <c r="E4517" s="2">
        <v>68459981.420000002</v>
      </c>
      <c r="F4517" s="2">
        <v>57578892.649999999</v>
      </c>
    </row>
    <row r="4518" spans="1:6" x14ac:dyDescent="0.25">
      <c r="A4518" s="1">
        <v>45047</v>
      </c>
      <c r="B4518" t="s">
        <v>13</v>
      </c>
      <c r="C4518" t="s">
        <v>711</v>
      </c>
      <c r="D4518" s="2">
        <v>6495877.96</v>
      </c>
      <c r="E4518" s="2">
        <v>6104481.4900000002</v>
      </c>
      <c r="F4518" s="2">
        <v>5812171.1600000001</v>
      </c>
    </row>
    <row r="4519" spans="1:6" x14ac:dyDescent="0.25">
      <c r="A4519" s="1">
        <v>45047</v>
      </c>
      <c r="B4519" t="s">
        <v>9</v>
      </c>
      <c r="C4519" t="s">
        <v>881</v>
      </c>
      <c r="D4519" s="2">
        <v>2508165.61</v>
      </c>
      <c r="E4519" s="2">
        <v>2996848.95</v>
      </c>
      <c r="F4519" s="2">
        <v>2555748.9500000002</v>
      </c>
    </row>
    <row r="4520" spans="1:6" x14ac:dyDescent="0.25">
      <c r="A4520" s="1">
        <v>45047</v>
      </c>
      <c r="B4520" t="s">
        <v>27</v>
      </c>
      <c r="C4520" t="s">
        <v>748</v>
      </c>
      <c r="D4520" s="2">
        <v>100643</v>
      </c>
      <c r="E4520" s="2">
        <v>23602.5</v>
      </c>
      <c r="F4520" s="2">
        <v>23602.5</v>
      </c>
    </row>
    <row r="4521" spans="1:6" x14ac:dyDescent="0.25">
      <c r="A4521" s="1">
        <v>45047</v>
      </c>
      <c r="B4521" t="s">
        <v>181</v>
      </c>
      <c r="C4521" t="s">
        <v>182</v>
      </c>
      <c r="D4521">
        <v>0</v>
      </c>
      <c r="E4521">
        <v>0</v>
      </c>
      <c r="F4521">
        <v>0</v>
      </c>
    </row>
    <row r="4522" spans="1:6" x14ac:dyDescent="0.25">
      <c r="A4522" s="1">
        <v>45047</v>
      </c>
      <c r="B4522" t="s">
        <v>37</v>
      </c>
      <c r="C4522" t="s">
        <v>561</v>
      </c>
      <c r="D4522" s="2">
        <v>227177.55</v>
      </c>
      <c r="E4522" s="2">
        <v>173894.58</v>
      </c>
      <c r="F4522" s="2">
        <v>176772.93</v>
      </c>
    </row>
    <row r="4523" spans="1:6" x14ac:dyDescent="0.25">
      <c r="A4523" s="1">
        <v>45047</v>
      </c>
      <c r="B4523" t="s">
        <v>114</v>
      </c>
      <c r="C4523" t="s">
        <v>597</v>
      </c>
      <c r="D4523" s="2">
        <v>17522390.68</v>
      </c>
      <c r="E4523" s="2">
        <v>3090912.86</v>
      </c>
      <c r="F4523" s="2">
        <v>3105894.91</v>
      </c>
    </row>
    <row r="4524" spans="1:6" x14ac:dyDescent="0.25">
      <c r="A4524" s="1">
        <v>45047</v>
      </c>
      <c r="B4524" t="s">
        <v>176</v>
      </c>
      <c r="C4524" t="s">
        <v>95</v>
      </c>
      <c r="D4524">
        <v>0</v>
      </c>
      <c r="E4524">
        <v>0</v>
      </c>
      <c r="F4524">
        <v>0</v>
      </c>
    </row>
    <row r="4525" spans="1:6" x14ac:dyDescent="0.25">
      <c r="A4525" s="1">
        <v>45047</v>
      </c>
      <c r="B4525" t="s">
        <v>44</v>
      </c>
      <c r="C4525" t="s">
        <v>1157</v>
      </c>
      <c r="D4525" s="2">
        <v>6470940.8499999996</v>
      </c>
      <c r="E4525" s="2">
        <v>3601197.31</v>
      </c>
      <c r="F4525" s="2">
        <v>4276205.29</v>
      </c>
    </row>
    <row r="4526" spans="1:6" x14ac:dyDescent="0.25">
      <c r="A4526" s="1">
        <v>45047</v>
      </c>
      <c r="B4526" t="s">
        <v>31</v>
      </c>
      <c r="C4526" t="s">
        <v>1038</v>
      </c>
      <c r="D4526" s="2">
        <v>1153386.3400000001</v>
      </c>
      <c r="E4526" s="2">
        <v>20276.990000000002</v>
      </c>
      <c r="F4526" s="2">
        <v>15791.17</v>
      </c>
    </row>
    <row r="4527" spans="1:6" x14ac:dyDescent="0.25">
      <c r="A4527" s="1">
        <v>45047</v>
      </c>
      <c r="B4527" t="s">
        <v>118</v>
      </c>
      <c r="C4527" t="s">
        <v>639</v>
      </c>
      <c r="D4527">
        <v>0</v>
      </c>
      <c r="E4527" s="2">
        <v>7397320.9100000001</v>
      </c>
      <c r="F4527" s="2">
        <v>6034759.1500000004</v>
      </c>
    </row>
    <row r="4528" spans="1:6" x14ac:dyDescent="0.25">
      <c r="A4528" s="1">
        <v>45047</v>
      </c>
      <c r="B4528" t="s">
        <v>101</v>
      </c>
      <c r="C4528" t="s">
        <v>780</v>
      </c>
      <c r="D4528" s="2">
        <v>5010331.04</v>
      </c>
      <c r="E4528" s="2">
        <v>3335684.95</v>
      </c>
      <c r="F4528" s="2">
        <v>3328620.77</v>
      </c>
    </row>
    <row r="4529" spans="1:6" x14ac:dyDescent="0.25">
      <c r="A4529" s="1">
        <v>45047</v>
      </c>
      <c r="B4529" t="s">
        <v>476</v>
      </c>
      <c r="C4529" t="s">
        <v>904</v>
      </c>
      <c r="D4529" s="2">
        <v>4305817.05</v>
      </c>
      <c r="E4529" s="2">
        <v>1457423.8</v>
      </c>
      <c r="F4529" s="2">
        <v>1381960.72</v>
      </c>
    </row>
    <row r="4530" spans="1:6" x14ac:dyDescent="0.25">
      <c r="A4530" s="1">
        <v>45047</v>
      </c>
      <c r="B4530" t="s">
        <v>98</v>
      </c>
      <c r="C4530" t="s">
        <v>613</v>
      </c>
      <c r="D4530">
        <v>0</v>
      </c>
      <c r="E4530">
        <v>0</v>
      </c>
      <c r="F4530">
        <v>0</v>
      </c>
    </row>
    <row r="4531" spans="1:6" x14ac:dyDescent="0.25">
      <c r="A4531" s="1">
        <v>45047</v>
      </c>
      <c r="B4531" t="s">
        <v>234</v>
      </c>
      <c r="C4531" t="s">
        <v>646</v>
      </c>
      <c r="D4531" s="2">
        <v>17351147.27</v>
      </c>
      <c r="E4531" s="2">
        <v>2230068.98</v>
      </c>
      <c r="F4531" s="2">
        <v>2130451.61</v>
      </c>
    </row>
    <row r="4532" spans="1:6" x14ac:dyDescent="0.25">
      <c r="A4532" s="1">
        <v>45047</v>
      </c>
      <c r="B4532" t="s">
        <v>23</v>
      </c>
      <c r="C4532" t="s">
        <v>708</v>
      </c>
      <c r="D4532" s="2">
        <v>706130.63</v>
      </c>
      <c r="E4532" s="2">
        <v>647013.35</v>
      </c>
      <c r="F4532" s="2">
        <v>548485.61</v>
      </c>
    </row>
    <row r="4533" spans="1:6" x14ac:dyDescent="0.25">
      <c r="A4533" s="1">
        <v>45047</v>
      </c>
      <c r="B4533" t="s">
        <v>63</v>
      </c>
      <c r="C4533" t="s">
        <v>224</v>
      </c>
      <c r="D4533">
        <v>0</v>
      </c>
      <c r="E4533" s="2">
        <v>1354713.95</v>
      </c>
      <c r="F4533" s="2">
        <v>1354713.95</v>
      </c>
    </row>
    <row r="4534" spans="1:6" x14ac:dyDescent="0.25">
      <c r="A4534" s="1">
        <v>45047</v>
      </c>
      <c r="B4534" t="s">
        <v>13</v>
      </c>
      <c r="C4534" t="s">
        <v>635</v>
      </c>
      <c r="D4534" s="2">
        <v>-4996.99</v>
      </c>
      <c r="E4534" s="2">
        <v>58833.56</v>
      </c>
      <c r="F4534" s="2">
        <v>58713.02</v>
      </c>
    </row>
    <row r="4535" spans="1:6" x14ac:dyDescent="0.25">
      <c r="A4535" s="1">
        <v>45047</v>
      </c>
      <c r="B4535" t="s">
        <v>23</v>
      </c>
      <c r="C4535" t="s">
        <v>24</v>
      </c>
      <c r="D4535">
        <v>0</v>
      </c>
      <c r="E4535">
        <v>0</v>
      </c>
      <c r="F4535">
        <v>0</v>
      </c>
    </row>
    <row r="4536" spans="1:6" x14ac:dyDescent="0.25">
      <c r="A4536" s="1">
        <v>45047</v>
      </c>
      <c r="B4536" t="s">
        <v>1044</v>
      </c>
      <c r="C4536" t="s">
        <v>909</v>
      </c>
      <c r="D4536">
        <v>0</v>
      </c>
      <c r="E4536">
        <v>0</v>
      </c>
      <c r="F4536">
        <v>0</v>
      </c>
    </row>
    <row r="4537" spans="1:6" x14ac:dyDescent="0.25">
      <c r="A4537" s="1">
        <v>45047</v>
      </c>
      <c r="B4537" t="s">
        <v>490</v>
      </c>
      <c r="C4537" t="s">
        <v>880</v>
      </c>
      <c r="D4537" s="2">
        <v>1619739.62</v>
      </c>
      <c r="E4537" s="2">
        <v>1008549.7</v>
      </c>
      <c r="F4537" s="2">
        <v>426492.6</v>
      </c>
    </row>
    <row r="4538" spans="1:6" x14ac:dyDescent="0.25">
      <c r="A4538" s="1">
        <v>45047</v>
      </c>
      <c r="B4538" t="s">
        <v>132</v>
      </c>
      <c r="C4538" t="s">
        <v>543</v>
      </c>
      <c r="D4538" s="2">
        <v>5256058185.5</v>
      </c>
      <c r="E4538" s="2">
        <v>5169550462.8000002</v>
      </c>
      <c r="F4538" s="2">
        <v>5157772889.0600004</v>
      </c>
    </row>
    <row r="4539" spans="1:6" x14ac:dyDescent="0.25">
      <c r="A4539" s="1">
        <v>45047</v>
      </c>
      <c r="B4539" t="s">
        <v>154</v>
      </c>
      <c r="C4539" t="s">
        <v>716</v>
      </c>
      <c r="D4539" s="2">
        <v>133072</v>
      </c>
      <c r="E4539" s="2">
        <v>377084.61</v>
      </c>
      <c r="F4539" s="2">
        <v>378709.11</v>
      </c>
    </row>
    <row r="4540" spans="1:6" x14ac:dyDescent="0.25">
      <c r="A4540" s="1">
        <v>45047</v>
      </c>
      <c r="B4540" t="s">
        <v>196</v>
      </c>
      <c r="C4540" t="s">
        <v>267</v>
      </c>
      <c r="D4540">
        <v>0</v>
      </c>
      <c r="E4540">
        <v>0</v>
      </c>
      <c r="F4540">
        <v>0</v>
      </c>
    </row>
    <row r="4541" spans="1:6" x14ac:dyDescent="0.25">
      <c r="A4541" s="1">
        <v>45047</v>
      </c>
      <c r="B4541" t="s">
        <v>278</v>
      </c>
      <c r="C4541" t="s">
        <v>626</v>
      </c>
      <c r="D4541" s="2">
        <v>1071130.2</v>
      </c>
      <c r="E4541" s="2">
        <v>4042804791.8200002</v>
      </c>
      <c r="F4541" s="2">
        <v>4001979286.9299998</v>
      </c>
    </row>
    <row r="4542" spans="1:6" x14ac:dyDescent="0.25">
      <c r="A4542" s="1">
        <v>45047</v>
      </c>
      <c r="B4542" t="s">
        <v>816</v>
      </c>
      <c r="C4542" t="s">
        <v>870</v>
      </c>
      <c r="D4542" s="2">
        <v>4320422.62</v>
      </c>
      <c r="E4542" s="2">
        <v>3626785.12</v>
      </c>
      <c r="F4542" s="2">
        <v>2827363.28</v>
      </c>
    </row>
    <row r="4543" spans="1:6" x14ac:dyDescent="0.25">
      <c r="A4543" s="1">
        <v>45047</v>
      </c>
      <c r="B4543" t="s">
        <v>726</v>
      </c>
      <c r="C4543" t="s">
        <v>871</v>
      </c>
      <c r="D4543" s="2">
        <v>178174.49</v>
      </c>
      <c r="E4543" s="2">
        <v>583012.28</v>
      </c>
      <c r="F4543" s="2">
        <v>629800.73</v>
      </c>
    </row>
    <row r="4544" spans="1:6" x14ac:dyDescent="0.25">
      <c r="A4544" s="1">
        <v>45047</v>
      </c>
      <c r="B4544" t="s">
        <v>1058</v>
      </c>
      <c r="C4544" t="s">
        <v>1122</v>
      </c>
      <c r="D4544">
        <v>0</v>
      </c>
      <c r="E4544" s="2">
        <v>11228042.279999999</v>
      </c>
      <c r="F4544" s="2">
        <v>11228042.279999999</v>
      </c>
    </row>
    <row r="4545" spans="1:6" x14ac:dyDescent="0.25">
      <c r="A4545" s="1">
        <v>45047</v>
      </c>
      <c r="B4545" t="s">
        <v>25</v>
      </c>
      <c r="C4545" t="s">
        <v>865</v>
      </c>
      <c r="D4545" s="2">
        <v>2201127.16</v>
      </c>
      <c r="E4545" s="2">
        <v>751309.35</v>
      </c>
      <c r="F4545" s="2">
        <v>783764.38</v>
      </c>
    </row>
    <row r="4546" spans="1:6" x14ac:dyDescent="0.25">
      <c r="A4546" s="1">
        <v>45047</v>
      </c>
      <c r="B4546" t="s">
        <v>118</v>
      </c>
      <c r="C4546" t="s">
        <v>62</v>
      </c>
      <c r="D4546" s="2">
        <v>1593053.88</v>
      </c>
      <c r="E4546" s="2">
        <v>648185.80000000005</v>
      </c>
      <c r="F4546" s="2">
        <v>873156.32</v>
      </c>
    </row>
    <row r="4547" spans="1:6" x14ac:dyDescent="0.25">
      <c r="A4547" s="1">
        <v>45047</v>
      </c>
      <c r="B4547" t="s">
        <v>25</v>
      </c>
      <c r="C4547" t="s">
        <v>257</v>
      </c>
      <c r="D4547" s="2">
        <v>222961.17</v>
      </c>
      <c r="E4547" s="2">
        <v>11813.57</v>
      </c>
      <c r="F4547" s="2">
        <v>1813.57</v>
      </c>
    </row>
    <row r="4548" spans="1:6" x14ac:dyDescent="0.25">
      <c r="A4548" s="1">
        <v>45047</v>
      </c>
      <c r="B4548" t="s">
        <v>143</v>
      </c>
      <c r="C4548" t="s">
        <v>858</v>
      </c>
      <c r="D4548" s="2">
        <v>2200</v>
      </c>
      <c r="E4548" s="2">
        <v>115967640.89</v>
      </c>
      <c r="F4548" s="2">
        <v>121035193.77</v>
      </c>
    </row>
    <row r="4549" spans="1:6" x14ac:dyDescent="0.25">
      <c r="A4549" s="1">
        <v>45047</v>
      </c>
      <c r="B4549" t="s">
        <v>23</v>
      </c>
      <c r="C4549" t="s">
        <v>779</v>
      </c>
      <c r="D4549" s="2">
        <v>2516689.96</v>
      </c>
      <c r="E4549" s="2">
        <v>413376.77</v>
      </c>
      <c r="F4549" s="2">
        <v>73069.5</v>
      </c>
    </row>
    <row r="4550" spans="1:6" x14ac:dyDescent="0.25">
      <c r="A4550" s="1">
        <v>45047</v>
      </c>
      <c r="B4550" t="s">
        <v>114</v>
      </c>
      <c r="C4550" t="s">
        <v>547</v>
      </c>
      <c r="D4550" s="2">
        <v>1471460.04</v>
      </c>
      <c r="E4550" s="2">
        <v>72399.09</v>
      </c>
      <c r="F4550" s="2">
        <v>84599.09</v>
      </c>
    </row>
    <row r="4551" spans="1:6" x14ac:dyDescent="0.25">
      <c r="A4551" s="1">
        <v>45047</v>
      </c>
      <c r="B4551" t="s">
        <v>23</v>
      </c>
      <c r="C4551" t="s">
        <v>610</v>
      </c>
      <c r="D4551" s="2">
        <v>2518275.11</v>
      </c>
      <c r="E4551" s="2">
        <v>25157040.66</v>
      </c>
      <c r="F4551" s="2">
        <v>50488093.520000003</v>
      </c>
    </row>
    <row r="4552" spans="1:6" x14ac:dyDescent="0.25">
      <c r="A4552" s="1">
        <v>45047</v>
      </c>
      <c r="B4552" t="s">
        <v>13</v>
      </c>
      <c r="C4552" t="s">
        <v>791</v>
      </c>
      <c r="D4552" s="2">
        <v>-88682431.010000005</v>
      </c>
      <c r="E4552" s="2">
        <v>94874216008.339996</v>
      </c>
      <c r="F4552" s="2">
        <v>71015773850.279999</v>
      </c>
    </row>
    <row r="4553" spans="1:6" x14ac:dyDescent="0.25">
      <c r="A4553" s="1">
        <v>45047</v>
      </c>
      <c r="B4553" t="s">
        <v>127</v>
      </c>
      <c r="C4553" t="s">
        <v>128</v>
      </c>
      <c r="D4553" s="2">
        <v>5156.12</v>
      </c>
      <c r="E4553" s="2">
        <v>79715.149999999994</v>
      </c>
      <c r="F4553" s="2">
        <v>79715.149999999994</v>
      </c>
    </row>
    <row r="4554" spans="1:6" x14ac:dyDescent="0.25">
      <c r="A4554" s="1">
        <v>45047</v>
      </c>
      <c r="B4554" t="s">
        <v>23</v>
      </c>
      <c r="C4554" t="s">
        <v>496</v>
      </c>
      <c r="D4554" s="2">
        <v>1559055.53</v>
      </c>
      <c r="E4554" s="2">
        <v>1849119.94</v>
      </c>
      <c r="F4554" s="2">
        <v>427066.28</v>
      </c>
    </row>
    <row r="4555" spans="1:6" x14ac:dyDescent="0.25">
      <c r="A4555" s="1">
        <v>45047</v>
      </c>
      <c r="B4555" t="s">
        <v>40</v>
      </c>
      <c r="C4555" t="s">
        <v>644</v>
      </c>
      <c r="D4555" s="2">
        <v>371627.1</v>
      </c>
      <c r="E4555" s="2">
        <v>19027.22</v>
      </c>
      <c r="F4555" s="2">
        <v>18492.88</v>
      </c>
    </row>
    <row r="4556" spans="1:6" x14ac:dyDescent="0.25">
      <c r="A4556" s="1">
        <v>45047</v>
      </c>
      <c r="B4556" t="s">
        <v>92</v>
      </c>
      <c r="C4556" t="s">
        <v>701</v>
      </c>
      <c r="D4556" s="2">
        <v>8459126.2400000002</v>
      </c>
      <c r="E4556" s="2">
        <v>6482509.2400000002</v>
      </c>
      <c r="F4556" s="2">
        <v>6459217.4400000004</v>
      </c>
    </row>
    <row r="4557" spans="1:6" x14ac:dyDescent="0.25">
      <c r="A4557" s="1">
        <v>45047</v>
      </c>
      <c r="B4557" t="s">
        <v>23</v>
      </c>
      <c r="C4557" t="s">
        <v>655</v>
      </c>
      <c r="D4557">
        <v>0</v>
      </c>
      <c r="E4557">
        <v>0</v>
      </c>
      <c r="F4557">
        <v>0</v>
      </c>
    </row>
    <row r="4558" spans="1:6" x14ac:dyDescent="0.25">
      <c r="A4558" s="1">
        <v>45047</v>
      </c>
      <c r="B4558" t="s">
        <v>196</v>
      </c>
      <c r="C4558" t="s">
        <v>880</v>
      </c>
      <c r="D4558">
        <v>0</v>
      </c>
      <c r="E4558">
        <v>0</v>
      </c>
      <c r="F4558">
        <v>0</v>
      </c>
    </row>
    <row r="4559" spans="1:6" x14ac:dyDescent="0.25">
      <c r="A4559" s="1">
        <v>45047</v>
      </c>
      <c r="B4559" t="s">
        <v>288</v>
      </c>
      <c r="C4559" t="s">
        <v>660</v>
      </c>
      <c r="D4559">
        <v>161.51</v>
      </c>
      <c r="E4559">
        <v>161.51</v>
      </c>
      <c r="F4559">
        <v>161.51</v>
      </c>
    </row>
    <row r="4560" spans="1:6" x14ac:dyDescent="0.25">
      <c r="A4560" s="1">
        <v>45047</v>
      </c>
      <c r="B4560" t="s">
        <v>143</v>
      </c>
      <c r="C4560" t="s">
        <v>351</v>
      </c>
      <c r="D4560" s="2">
        <v>1436534317.3800001</v>
      </c>
      <c r="E4560" s="2">
        <v>1435767007.1099999</v>
      </c>
      <c r="F4560" s="2">
        <v>1435759236.4300001</v>
      </c>
    </row>
    <row r="4561" spans="1:6" x14ac:dyDescent="0.25">
      <c r="A4561" s="1">
        <v>45047</v>
      </c>
      <c r="B4561" t="s">
        <v>107</v>
      </c>
      <c r="C4561" t="s">
        <v>348</v>
      </c>
      <c r="D4561" s="2">
        <v>249153.86</v>
      </c>
      <c r="E4561">
        <v>0</v>
      </c>
      <c r="F4561">
        <v>0</v>
      </c>
    </row>
    <row r="4562" spans="1:6" x14ac:dyDescent="0.25">
      <c r="A4562" s="1">
        <v>45047</v>
      </c>
      <c r="B4562" t="s">
        <v>40</v>
      </c>
      <c r="C4562" t="s">
        <v>651</v>
      </c>
      <c r="D4562" s="2">
        <v>100000</v>
      </c>
      <c r="E4562" s="2">
        <v>11657.39</v>
      </c>
      <c r="F4562" s="2">
        <v>11657.39</v>
      </c>
    </row>
    <row r="4563" spans="1:6" x14ac:dyDescent="0.25">
      <c r="A4563" s="1">
        <v>45047</v>
      </c>
      <c r="B4563" t="s">
        <v>40</v>
      </c>
      <c r="C4563" t="s">
        <v>606</v>
      </c>
      <c r="D4563" s="2">
        <v>83589125.269999996</v>
      </c>
      <c r="E4563" s="2">
        <v>20458625.079999998</v>
      </c>
      <c r="F4563" s="2">
        <v>16178475.66</v>
      </c>
    </row>
    <row r="4564" spans="1:6" x14ac:dyDescent="0.25">
      <c r="A4564" s="1">
        <v>45047</v>
      </c>
      <c r="B4564" t="s">
        <v>23</v>
      </c>
      <c r="C4564" t="s">
        <v>1004</v>
      </c>
      <c r="D4564" s="2">
        <v>18431.900000000001</v>
      </c>
      <c r="E4564" s="2">
        <v>1143929.04</v>
      </c>
      <c r="F4564" s="2">
        <v>3144539.89</v>
      </c>
    </row>
    <row r="4565" spans="1:6" x14ac:dyDescent="0.25">
      <c r="A4565" s="1">
        <v>45047</v>
      </c>
      <c r="B4565" t="s">
        <v>40</v>
      </c>
      <c r="C4565" t="s">
        <v>747</v>
      </c>
      <c r="D4565" s="2">
        <v>2200000</v>
      </c>
      <c r="E4565">
        <v>0</v>
      </c>
      <c r="F4565">
        <v>0</v>
      </c>
    </row>
    <row r="4566" spans="1:6" x14ac:dyDescent="0.25">
      <c r="A4566" s="1">
        <v>45047</v>
      </c>
      <c r="B4566" t="s">
        <v>50</v>
      </c>
      <c r="C4566" t="s">
        <v>793</v>
      </c>
      <c r="D4566" s="2">
        <v>9390831.2100000009</v>
      </c>
      <c r="E4566" s="2">
        <v>4134676.37</v>
      </c>
      <c r="F4566" s="2">
        <v>4077181.35</v>
      </c>
    </row>
    <row r="4567" spans="1:6" x14ac:dyDescent="0.25">
      <c r="A4567" s="1">
        <v>45047</v>
      </c>
      <c r="B4567" t="s">
        <v>154</v>
      </c>
      <c r="C4567" t="s">
        <v>354</v>
      </c>
      <c r="D4567">
        <v>0</v>
      </c>
      <c r="E4567" s="2">
        <v>1584026.42</v>
      </c>
      <c r="F4567" s="2">
        <v>1584026.42</v>
      </c>
    </row>
    <row r="4568" spans="1:6" x14ac:dyDescent="0.25">
      <c r="A4568" s="1">
        <v>45047</v>
      </c>
      <c r="B4568" t="s">
        <v>17</v>
      </c>
      <c r="C4568" t="s">
        <v>350</v>
      </c>
      <c r="D4568" s="2">
        <v>1986593.45</v>
      </c>
      <c r="E4568" s="2">
        <v>3938852.44</v>
      </c>
      <c r="F4568" s="2">
        <v>3492210.44</v>
      </c>
    </row>
    <row r="4569" spans="1:6" x14ac:dyDescent="0.25">
      <c r="A4569" s="1">
        <v>45047</v>
      </c>
      <c r="B4569" t="s">
        <v>107</v>
      </c>
      <c r="C4569" t="s">
        <v>509</v>
      </c>
      <c r="D4569">
        <v>0</v>
      </c>
      <c r="E4569">
        <v>0</v>
      </c>
      <c r="F4569">
        <v>0</v>
      </c>
    </row>
    <row r="4570" spans="1:6" x14ac:dyDescent="0.25">
      <c r="A4570" s="1">
        <v>45047</v>
      </c>
      <c r="B4570" t="s">
        <v>162</v>
      </c>
      <c r="C4570" t="s">
        <v>621</v>
      </c>
      <c r="D4570" s="2">
        <v>767409.6</v>
      </c>
      <c r="E4570" s="2">
        <v>2001795.13</v>
      </c>
      <c r="F4570" s="2">
        <v>1891879.61</v>
      </c>
    </row>
    <row r="4571" spans="1:6" x14ac:dyDescent="0.25">
      <c r="A4571" s="1">
        <v>45047</v>
      </c>
      <c r="B4571" t="s">
        <v>118</v>
      </c>
      <c r="C4571" t="s">
        <v>742</v>
      </c>
      <c r="D4571" s="2">
        <v>2143970.9700000002</v>
      </c>
      <c r="E4571" s="2">
        <v>643434.21</v>
      </c>
      <c r="F4571" s="2">
        <v>683284.64</v>
      </c>
    </row>
    <row r="4572" spans="1:6" x14ac:dyDescent="0.25">
      <c r="A4572" s="1">
        <v>45047</v>
      </c>
      <c r="B4572" t="s">
        <v>11</v>
      </c>
      <c r="C4572" t="s">
        <v>139</v>
      </c>
      <c r="D4572">
        <v>0</v>
      </c>
      <c r="E4572" s="2">
        <v>332230841.32999998</v>
      </c>
      <c r="F4572" s="2">
        <v>332230841.32999998</v>
      </c>
    </row>
    <row r="4573" spans="1:6" x14ac:dyDescent="0.25">
      <c r="A4573" s="1">
        <v>45047</v>
      </c>
      <c r="B4573" t="s">
        <v>272</v>
      </c>
      <c r="C4573" t="s">
        <v>544</v>
      </c>
      <c r="D4573" s="2">
        <v>12432327.43</v>
      </c>
      <c r="E4573" s="2">
        <v>4524346.17</v>
      </c>
      <c r="F4573" s="2">
        <v>4499021.84</v>
      </c>
    </row>
    <row r="4574" spans="1:6" x14ac:dyDescent="0.25">
      <c r="A4574" s="1">
        <v>45047</v>
      </c>
      <c r="B4574" t="s">
        <v>21</v>
      </c>
      <c r="C4574" t="s">
        <v>462</v>
      </c>
      <c r="D4574" s="2">
        <v>111613723</v>
      </c>
      <c r="E4574">
        <v>0</v>
      </c>
      <c r="F4574">
        <v>0</v>
      </c>
    </row>
    <row r="4575" spans="1:6" x14ac:dyDescent="0.25">
      <c r="A4575" s="1">
        <v>45047</v>
      </c>
      <c r="B4575" t="s">
        <v>105</v>
      </c>
      <c r="C4575" t="s">
        <v>106</v>
      </c>
      <c r="D4575" s="2">
        <v>3070000</v>
      </c>
      <c r="E4575">
        <v>0</v>
      </c>
      <c r="F4575">
        <v>0</v>
      </c>
    </row>
    <row r="4576" spans="1:6" x14ac:dyDescent="0.25">
      <c r="A4576" s="1">
        <v>45047</v>
      </c>
      <c r="B4576" t="s">
        <v>92</v>
      </c>
      <c r="C4576" t="s">
        <v>862</v>
      </c>
      <c r="D4576" s="2">
        <v>595957.81999999995</v>
      </c>
      <c r="E4576" s="2">
        <v>676688.37</v>
      </c>
      <c r="F4576" s="2">
        <v>690276.25</v>
      </c>
    </row>
    <row r="4577" spans="1:6" x14ac:dyDescent="0.25">
      <c r="A4577" s="1">
        <v>45047</v>
      </c>
      <c r="B4577" t="s">
        <v>216</v>
      </c>
      <c r="C4577" t="s">
        <v>781</v>
      </c>
      <c r="D4577" s="2">
        <v>32193.919999999998</v>
      </c>
      <c r="E4577" s="2">
        <v>1922.8</v>
      </c>
      <c r="F4577" s="2">
        <v>32366.76</v>
      </c>
    </row>
    <row r="4578" spans="1:6" x14ac:dyDescent="0.25">
      <c r="A4578" s="1">
        <v>45047</v>
      </c>
      <c r="B4578" t="s">
        <v>40</v>
      </c>
      <c r="C4578" t="s">
        <v>801</v>
      </c>
      <c r="D4578" s="2">
        <v>3631045.47</v>
      </c>
      <c r="E4578" s="2">
        <v>2642793.12</v>
      </c>
      <c r="F4578" s="2">
        <v>2914665.41</v>
      </c>
    </row>
    <row r="4579" spans="1:6" x14ac:dyDescent="0.25">
      <c r="A4579" s="1">
        <v>45047</v>
      </c>
      <c r="B4579" t="s">
        <v>37</v>
      </c>
      <c r="C4579" t="s">
        <v>38</v>
      </c>
      <c r="D4579" s="2">
        <v>15208250</v>
      </c>
      <c r="E4579" s="2">
        <v>198914137.75999999</v>
      </c>
      <c r="F4579" s="2">
        <v>198914137.75999999</v>
      </c>
    </row>
    <row r="4580" spans="1:6" x14ac:dyDescent="0.25">
      <c r="A4580" s="1">
        <v>45047</v>
      </c>
      <c r="B4580" t="s">
        <v>42</v>
      </c>
      <c r="C4580" t="s">
        <v>548</v>
      </c>
      <c r="D4580" s="2">
        <v>251606686.47</v>
      </c>
      <c r="E4580" s="2">
        <v>99350749.560000002</v>
      </c>
      <c r="F4580" s="2">
        <v>102667099.34999999</v>
      </c>
    </row>
    <row r="4581" spans="1:6" x14ac:dyDescent="0.25">
      <c r="A4581" s="1">
        <v>45047</v>
      </c>
      <c r="B4581" t="s">
        <v>21</v>
      </c>
      <c r="C4581" t="s">
        <v>595</v>
      </c>
      <c r="D4581" s="2">
        <v>1055774.44</v>
      </c>
      <c r="E4581">
        <v>0</v>
      </c>
      <c r="F4581">
        <v>0</v>
      </c>
    </row>
    <row r="4582" spans="1:6" x14ac:dyDescent="0.25">
      <c r="A4582" s="1">
        <v>45047</v>
      </c>
      <c r="B4582" t="s">
        <v>185</v>
      </c>
      <c r="C4582" t="s">
        <v>478</v>
      </c>
      <c r="D4582" s="2">
        <v>518428870.18000001</v>
      </c>
      <c r="E4582" s="2">
        <v>763656072.58000004</v>
      </c>
      <c r="F4582" s="2">
        <v>731929855.62</v>
      </c>
    </row>
    <row r="4583" spans="1:6" x14ac:dyDescent="0.25">
      <c r="A4583" s="1">
        <v>45047</v>
      </c>
      <c r="B4583" t="s">
        <v>114</v>
      </c>
      <c r="C4583" t="s">
        <v>829</v>
      </c>
      <c r="D4583" s="2">
        <v>126670883.33</v>
      </c>
      <c r="E4583" s="2">
        <v>25193688.210000001</v>
      </c>
      <c r="F4583" s="2">
        <v>39476990.329999998</v>
      </c>
    </row>
    <row r="4584" spans="1:6" x14ac:dyDescent="0.25">
      <c r="A4584" s="1">
        <v>45047</v>
      </c>
      <c r="B4584" t="s">
        <v>44</v>
      </c>
      <c r="C4584" t="s">
        <v>838</v>
      </c>
      <c r="D4584" s="2">
        <v>19230656.850000001</v>
      </c>
      <c r="E4584" s="2">
        <v>8197150.9400000004</v>
      </c>
      <c r="F4584" s="2">
        <v>8061388.8499999996</v>
      </c>
    </row>
    <row r="4585" spans="1:6" x14ac:dyDescent="0.25">
      <c r="A4585" s="1">
        <v>45047</v>
      </c>
      <c r="B4585" t="s">
        <v>48</v>
      </c>
      <c r="C4585" t="s">
        <v>1198</v>
      </c>
      <c r="D4585">
        <v>476</v>
      </c>
      <c r="E4585">
        <v>476</v>
      </c>
      <c r="F4585">
        <v>476</v>
      </c>
    </row>
    <row r="4586" spans="1:6" x14ac:dyDescent="0.25">
      <c r="A4586" s="1">
        <v>45047</v>
      </c>
      <c r="B4586" t="s">
        <v>306</v>
      </c>
      <c r="C4586" t="s">
        <v>403</v>
      </c>
      <c r="D4586" s="2">
        <v>16950505.91</v>
      </c>
      <c r="E4586" s="2">
        <v>11762.43</v>
      </c>
      <c r="F4586" s="2">
        <v>43040.34</v>
      </c>
    </row>
    <row r="4587" spans="1:6" x14ac:dyDescent="0.25">
      <c r="A4587" s="1">
        <v>45047</v>
      </c>
      <c r="B4587" t="s">
        <v>726</v>
      </c>
      <c r="C4587" t="s">
        <v>763</v>
      </c>
      <c r="D4587" s="2">
        <v>679202.14</v>
      </c>
      <c r="E4587" s="2">
        <v>671389.72</v>
      </c>
      <c r="F4587" s="2">
        <v>518259.02</v>
      </c>
    </row>
    <row r="4588" spans="1:6" x14ac:dyDescent="0.25">
      <c r="A4588" s="1">
        <v>45047</v>
      </c>
      <c r="B4588" t="s">
        <v>23</v>
      </c>
      <c r="C4588" t="s">
        <v>891</v>
      </c>
      <c r="D4588" s="2">
        <v>1059616.74</v>
      </c>
      <c r="E4588" s="2">
        <v>213891.48</v>
      </c>
      <c r="F4588" s="2">
        <v>213891.48</v>
      </c>
    </row>
    <row r="4589" spans="1:6" x14ac:dyDescent="0.25">
      <c r="A4589" s="1">
        <v>45047</v>
      </c>
      <c r="B4589" t="s">
        <v>21</v>
      </c>
      <c r="C4589" t="s">
        <v>524</v>
      </c>
      <c r="D4589">
        <v>0</v>
      </c>
      <c r="E4589">
        <v>0</v>
      </c>
      <c r="F4589">
        <v>0</v>
      </c>
    </row>
    <row r="4590" spans="1:6" x14ac:dyDescent="0.25">
      <c r="A4590" s="1">
        <v>45047</v>
      </c>
      <c r="B4590" t="s">
        <v>206</v>
      </c>
      <c r="C4590" t="s">
        <v>207</v>
      </c>
      <c r="D4590" s="2">
        <v>220515.8</v>
      </c>
      <c r="E4590" s="2">
        <v>38049.14</v>
      </c>
      <c r="F4590" s="2">
        <v>71176.45</v>
      </c>
    </row>
    <row r="4591" spans="1:6" x14ac:dyDescent="0.25">
      <c r="A4591" s="1">
        <v>45047</v>
      </c>
      <c r="B4591" t="s">
        <v>50</v>
      </c>
      <c r="C4591" t="s">
        <v>320</v>
      </c>
      <c r="D4591" s="2">
        <v>93130.98</v>
      </c>
      <c r="E4591" s="2">
        <v>2452275.6</v>
      </c>
      <c r="F4591" s="2">
        <v>4015237.19</v>
      </c>
    </row>
    <row r="4592" spans="1:6" x14ac:dyDescent="0.25">
      <c r="A4592" s="1">
        <v>45047</v>
      </c>
      <c r="B4592" t="s">
        <v>23</v>
      </c>
      <c r="C4592" t="s">
        <v>807</v>
      </c>
      <c r="D4592" s="2">
        <v>1574319.83</v>
      </c>
      <c r="E4592" s="2">
        <v>646013.01</v>
      </c>
      <c r="F4592" s="2">
        <v>644763.86</v>
      </c>
    </row>
    <row r="4593" spans="1:6" x14ac:dyDescent="0.25">
      <c r="A4593" s="1">
        <v>45047</v>
      </c>
      <c r="B4593" t="s">
        <v>37</v>
      </c>
      <c r="C4593" t="s">
        <v>784</v>
      </c>
      <c r="D4593" s="2">
        <v>7181418.2400000002</v>
      </c>
      <c r="E4593" s="2">
        <v>1656598.79</v>
      </c>
      <c r="F4593" s="2">
        <v>1906628.19</v>
      </c>
    </row>
    <row r="4594" spans="1:6" x14ac:dyDescent="0.25">
      <c r="A4594" s="1">
        <v>45047</v>
      </c>
      <c r="B4594" t="s">
        <v>40</v>
      </c>
      <c r="C4594" t="s">
        <v>850</v>
      </c>
      <c r="D4594" s="2">
        <v>3478532.16</v>
      </c>
      <c r="E4594" s="2">
        <v>1498859.28</v>
      </c>
      <c r="F4594" s="2">
        <v>1364994.34</v>
      </c>
    </row>
    <row r="4595" spans="1:6" x14ac:dyDescent="0.25">
      <c r="A4595" s="1">
        <v>45047</v>
      </c>
      <c r="B4595" t="s">
        <v>23</v>
      </c>
      <c r="C4595" t="s">
        <v>854</v>
      </c>
      <c r="D4595" s="2">
        <v>-72374598.810000002</v>
      </c>
      <c r="E4595" s="2">
        <v>5157792.5199999996</v>
      </c>
      <c r="F4595" s="2">
        <v>4514734.45</v>
      </c>
    </row>
    <row r="4596" spans="1:6" x14ac:dyDescent="0.25">
      <c r="A4596" s="1">
        <v>45047</v>
      </c>
      <c r="B4596" t="s">
        <v>42</v>
      </c>
      <c r="C4596" t="s">
        <v>174</v>
      </c>
      <c r="D4596" s="2">
        <v>18093553.879999999</v>
      </c>
      <c r="E4596" s="2">
        <v>18093553.879999999</v>
      </c>
      <c r="F4596" s="2">
        <v>18093553.879999999</v>
      </c>
    </row>
    <row r="4597" spans="1:6" x14ac:dyDescent="0.25">
      <c r="A4597" s="1">
        <v>45047</v>
      </c>
      <c r="B4597" t="s">
        <v>37</v>
      </c>
      <c r="C4597" t="s">
        <v>570</v>
      </c>
      <c r="D4597" s="2">
        <v>-102741.94</v>
      </c>
      <c r="E4597" s="2">
        <v>37323.440000000002</v>
      </c>
      <c r="F4597" s="2">
        <v>41365.26</v>
      </c>
    </row>
    <row r="4598" spans="1:6" x14ac:dyDescent="0.25">
      <c r="A4598" s="1">
        <v>45047</v>
      </c>
      <c r="B4598" t="s">
        <v>11</v>
      </c>
      <c r="C4598" t="s">
        <v>566</v>
      </c>
      <c r="D4598" s="2">
        <v>260245879.13</v>
      </c>
      <c r="E4598" s="2">
        <v>261356875.69</v>
      </c>
      <c r="F4598" s="2">
        <v>261189778.15000001</v>
      </c>
    </row>
    <row r="4599" spans="1:6" x14ac:dyDescent="0.25">
      <c r="A4599" s="1">
        <v>45047</v>
      </c>
      <c r="B4599" t="s">
        <v>107</v>
      </c>
      <c r="C4599" t="s">
        <v>513</v>
      </c>
      <c r="D4599" s="2">
        <v>109551.03999999999</v>
      </c>
      <c r="E4599" s="2">
        <v>77019.27</v>
      </c>
      <c r="F4599" s="2">
        <v>50323.87</v>
      </c>
    </row>
    <row r="4600" spans="1:6" x14ac:dyDescent="0.25">
      <c r="A4600" s="1">
        <v>45047</v>
      </c>
      <c r="B4600" t="s">
        <v>107</v>
      </c>
      <c r="C4600" t="s">
        <v>615</v>
      </c>
      <c r="D4600" s="2">
        <v>23219097.649999999</v>
      </c>
      <c r="E4600" s="2">
        <v>19872022.57</v>
      </c>
      <c r="F4600" s="2">
        <v>18967762.640000001</v>
      </c>
    </row>
    <row r="4601" spans="1:6" x14ac:dyDescent="0.25">
      <c r="A4601" s="1">
        <v>45047</v>
      </c>
      <c r="B4601" t="s">
        <v>118</v>
      </c>
      <c r="C4601" t="s">
        <v>511</v>
      </c>
      <c r="D4601" s="2">
        <v>170704.94</v>
      </c>
      <c r="E4601" s="2">
        <v>50355.89</v>
      </c>
      <c r="F4601" s="2">
        <v>55153.71</v>
      </c>
    </row>
    <row r="4602" spans="1:6" x14ac:dyDescent="0.25">
      <c r="A4602" s="1">
        <v>45047</v>
      </c>
      <c r="B4602" t="s">
        <v>98</v>
      </c>
      <c r="C4602" t="s">
        <v>996</v>
      </c>
      <c r="D4602">
        <v>0</v>
      </c>
      <c r="E4602">
        <v>0</v>
      </c>
      <c r="F4602">
        <v>0</v>
      </c>
    </row>
    <row r="4603" spans="1:6" x14ac:dyDescent="0.25">
      <c r="A4603" s="1">
        <v>45047</v>
      </c>
      <c r="B4603" t="s">
        <v>9</v>
      </c>
      <c r="C4603" t="s">
        <v>598</v>
      </c>
      <c r="D4603" s="2">
        <v>1705812.59</v>
      </c>
      <c r="E4603" s="2">
        <v>594927.35999999999</v>
      </c>
      <c r="F4603" s="2">
        <v>555267.07999999996</v>
      </c>
    </row>
    <row r="4604" spans="1:6" x14ac:dyDescent="0.25">
      <c r="A4604" s="1">
        <v>45047</v>
      </c>
      <c r="B4604" t="s">
        <v>46</v>
      </c>
      <c r="C4604" t="s">
        <v>618</v>
      </c>
      <c r="D4604" s="2">
        <v>37351225.68</v>
      </c>
      <c r="E4604" s="2">
        <v>144874412.28</v>
      </c>
      <c r="F4604" s="2">
        <v>155156437.28999999</v>
      </c>
    </row>
    <row r="4605" spans="1:6" x14ac:dyDescent="0.25">
      <c r="A4605" s="1">
        <v>45047</v>
      </c>
      <c r="B4605" t="s">
        <v>842</v>
      </c>
      <c r="C4605" t="s">
        <v>843</v>
      </c>
      <c r="D4605" s="2">
        <v>23328818.600000001</v>
      </c>
      <c r="E4605" s="2">
        <v>9409030.2599999998</v>
      </c>
      <c r="F4605" s="2">
        <v>8874075.9700000007</v>
      </c>
    </row>
    <row r="4606" spans="1:6" x14ac:dyDescent="0.25">
      <c r="A4606" s="1">
        <v>45047</v>
      </c>
      <c r="B4606" t="s">
        <v>46</v>
      </c>
      <c r="C4606" t="s">
        <v>852</v>
      </c>
      <c r="D4606" s="2">
        <v>33050</v>
      </c>
      <c r="E4606" s="2">
        <v>152406.54</v>
      </c>
      <c r="F4606" s="2">
        <v>143719.67000000001</v>
      </c>
    </row>
    <row r="4607" spans="1:6" x14ac:dyDescent="0.25">
      <c r="A4607" s="1">
        <v>45047</v>
      </c>
      <c r="B4607" t="s">
        <v>132</v>
      </c>
      <c r="C4607" t="s">
        <v>469</v>
      </c>
      <c r="D4607" s="2">
        <v>85400424.069999993</v>
      </c>
      <c r="E4607" s="2">
        <v>101317828.34999999</v>
      </c>
      <c r="F4607" s="2">
        <v>99200737.379999995</v>
      </c>
    </row>
    <row r="4608" spans="1:6" x14ac:dyDescent="0.25">
      <c r="A4608" s="1">
        <v>45047</v>
      </c>
      <c r="B4608" t="s">
        <v>118</v>
      </c>
      <c r="C4608" t="s">
        <v>885</v>
      </c>
      <c r="D4608" s="2">
        <v>49491167.219999999</v>
      </c>
      <c r="E4608" s="2">
        <v>2464400.7599999998</v>
      </c>
      <c r="F4608" s="2">
        <v>308946.37</v>
      </c>
    </row>
    <row r="4609" spans="1:6" x14ac:dyDescent="0.25">
      <c r="A4609" s="1">
        <v>45047</v>
      </c>
      <c r="B4609" t="s">
        <v>118</v>
      </c>
      <c r="C4609" t="s">
        <v>172</v>
      </c>
      <c r="D4609" s="2">
        <v>52015</v>
      </c>
      <c r="E4609">
        <v>0</v>
      </c>
      <c r="F4609">
        <v>0</v>
      </c>
    </row>
    <row r="4610" spans="1:6" x14ac:dyDescent="0.25">
      <c r="A4610" s="1">
        <v>45047</v>
      </c>
      <c r="B4610" t="s">
        <v>23</v>
      </c>
      <c r="C4610" t="s">
        <v>845</v>
      </c>
      <c r="D4610" s="2">
        <v>285093.21000000002</v>
      </c>
      <c r="E4610" s="2">
        <v>614845.77</v>
      </c>
      <c r="F4610" s="2">
        <v>610419.19999999995</v>
      </c>
    </row>
    <row r="4611" spans="1:6" x14ac:dyDescent="0.25">
      <c r="A4611" s="1">
        <v>45047</v>
      </c>
      <c r="B4611" t="s">
        <v>101</v>
      </c>
      <c r="C4611" t="s">
        <v>786</v>
      </c>
      <c r="D4611" s="2">
        <v>10350757.42</v>
      </c>
      <c r="E4611" s="2">
        <v>1633200.92</v>
      </c>
      <c r="F4611" s="2">
        <v>1307724.1100000001</v>
      </c>
    </row>
    <row r="4612" spans="1:6" x14ac:dyDescent="0.25">
      <c r="A4612" s="1">
        <v>45047</v>
      </c>
      <c r="B4612" t="s">
        <v>11</v>
      </c>
      <c r="C4612" t="s">
        <v>321</v>
      </c>
      <c r="D4612">
        <v>0</v>
      </c>
      <c r="E4612" s="2">
        <v>1384179366.6099999</v>
      </c>
      <c r="F4612" s="2">
        <v>1384179366.6099999</v>
      </c>
    </row>
    <row r="4613" spans="1:6" x14ac:dyDescent="0.25">
      <c r="A4613" s="1">
        <v>45047</v>
      </c>
      <c r="B4613" t="s">
        <v>23</v>
      </c>
      <c r="C4613" t="s">
        <v>800</v>
      </c>
      <c r="D4613" s="2">
        <v>2585877.58</v>
      </c>
      <c r="E4613" s="2">
        <v>664148.22</v>
      </c>
      <c r="F4613" s="2">
        <v>459644.65</v>
      </c>
    </row>
    <row r="4614" spans="1:6" x14ac:dyDescent="0.25">
      <c r="A4614" s="1">
        <v>45047</v>
      </c>
      <c r="B4614" t="s">
        <v>40</v>
      </c>
      <c r="C4614" t="s">
        <v>539</v>
      </c>
      <c r="D4614" s="2">
        <v>11892122.76</v>
      </c>
      <c r="E4614">
        <v>0</v>
      </c>
      <c r="F4614">
        <v>0</v>
      </c>
    </row>
    <row r="4615" spans="1:6" x14ac:dyDescent="0.25">
      <c r="A4615" s="1">
        <v>45047</v>
      </c>
      <c r="B4615" t="s">
        <v>23</v>
      </c>
      <c r="C4615" t="s">
        <v>198</v>
      </c>
      <c r="D4615" s="2">
        <v>74396769.079999998</v>
      </c>
      <c r="E4615" s="2">
        <v>468020.66</v>
      </c>
      <c r="F4615" s="2">
        <v>702386.31</v>
      </c>
    </row>
    <row r="4616" spans="1:6" x14ac:dyDescent="0.25">
      <c r="A4616" s="1">
        <v>45047</v>
      </c>
      <c r="B4616" t="s">
        <v>23</v>
      </c>
      <c r="C4616" t="s">
        <v>710</v>
      </c>
      <c r="D4616">
        <v>0</v>
      </c>
      <c r="E4616" s="2">
        <v>50848</v>
      </c>
      <c r="F4616">
        <v>0</v>
      </c>
    </row>
    <row r="4617" spans="1:6" x14ac:dyDescent="0.25">
      <c r="A4617" s="1">
        <v>45047</v>
      </c>
      <c r="B4617" t="s">
        <v>181</v>
      </c>
      <c r="C4617" t="s">
        <v>598</v>
      </c>
      <c r="D4617">
        <v>0</v>
      </c>
      <c r="E4617">
        <v>0</v>
      </c>
      <c r="F4617">
        <v>0</v>
      </c>
    </row>
    <row r="4618" spans="1:6" x14ac:dyDescent="0.25">
      <c r="A4618" s="1">
        <v>45047</v>
      </c>
      <c r="B4618" t="s">
        <v>101</v>
      </c>
      <c r="C4618" t="s">
        <v>1205</v>
      </c>
      <c r="D4618" s="2">
        <v>90654075.980000004</v>
      </c>
      <c r="E4618" s="2">
        <v>50023397.380000003</v>
      </c>
      <c r="F4618" s="2">
        <v>44993618.530000001</v>
      </c>
    </row>
    <row r="4619" spans="1:6" x14ac:dyDescent="0.25">
      <c r="A4619" s="1">
        <v>45047</v>
      </c>
      <c r="B4619" t="s">
        <v>422</v>
      </c>
      <c r="C4619" t="s">
        <v>920</v>
      </c>
      <c r="D4619" s="2">
        <v>81915.8</v>
      </c>
      <c r="E4619">
        <v>0</v>
      </c>
      <c r="F4619">
        <v>0</v>
      </c>
    </row>
    <row r="4620" spans="1:6" x14ac:dyDescent="0.25">
      <c r="A4620" s="1">
        <v>45047</v>
      </c>
      <c r="B4620" t="s">
        <v>23</v>
      </c>
      <c r="C4620" t="s">
        <v>869</v>
      </c>
      <c r="D4620" s="2">
        <v>14613165.67</v>
      </c>
      <c r="E4620" s="2">
        <v>2160907.83</v>
      </c>
      <c r="F4620" s="2">
        <v>1923576.26</v>
      </c>
    </row>
    <row r="4621" spans="1:6" x14ac:dyDescent="0.25">
      <c r="A4621" s="1">
        <v>45047</v>
      </c>
      <c r="B4621" t="s">
        <v>21</v>
      </c>
      <c r="C4621" t="s">
        <v>1049</v>
      </c>
      <c r="D4621">
        <v>0</v>
      </c>
      <c r="E4621">
        <v>0</v>
      </c>
      <c r="F4621">
        <v>0</v>
      </c>
    </row>
    <row r="4622" spans="1:6" x14ac:dyDescent="0.25">
      <c r="A4622" s="1">
        <v>45047</v>
      </c>
      <c r="B4622" t="s">
        <v>25</v>
      </c>
      <c r="C4622" t="s">
        <v>138</v>
      </c>
      <c r="D4622" s="2">
        <v>128449.07</v>
      </c>
      <c r="E4622" s="2">
        <v>35619.839999999997</v>
      </c>
      <c r="F4622" s="2">
        <v>28156.67</v>
      </c>
    </row>
    <row r="4623" spans="1:6" x14ac:dyDescent="0.25">
      <c r="A4623" s="1">
        <v>45047</v>
      </c>
      <c r="B4623" t="s">
        <v>769</v>
      </c>
      <c r="C4623" t="s">
        <v>770</v>
      </c>
      <c r="D4623" s="2">
        <v>10224665.41</v>
      </c>
      <c r="E4623" s="2">
        <v>38941790.609999999</v>
      </c>
      <c r="F4623" s="2">
        <v>37568476.140000001</v>
      </c>
    </row>
    <row r="4624" spans="1:6" x14ac:dyDescent="0.25">
      <c r="A4624" s="1">
        <v>45047</v>
      </c>
      <c r="B4624" t="s">
        <v>23</v>
      </c>
      <c r="C4624" t="s">
        <v>905</v>
      </c>
      <c r="D4624" s="2">
        <v>935985.75</v>
      </c>
      <c r="E4624" s="2">
        <v>719105.41</v>
      </c>
      <c r="F4624" s="2">
        <v>716717.75</v>
      </c>
    </row>
    <row r="4625" spans="1:6" x14ac:dyDescent="0.25">
      <c r="A4625" s="1">
        <v>45047</v>
      </c>
      <c r="B4625" t="s">
        <v>216</v>
      </c>
      <c r="C4625" t="s">
        <v>756</v>
      </c>
      <c r="D4625" s="2">
        <v>6726624.71</v>
      </c>
      <c r="E4625" s="2">
        <v>1596724.2</v>
      </c>
      <c r="F4625" s="2">
        <v>1533081.2</v>
      </c>
    </row>
    <row r="4626" spans="1:6" x14ac:dyDescent="0.25">
      <c r="A4626" s="1">
        <v>45047</v>
      </c>
      <c r="B4626" t="s">
        <v>31</v>
      </c>
      <c r="C4626" t="s">
        <v>1257</v>
      </c>
      <c r="D4626" s="2">
        <v>1043732.4</v>
      </c>
      <c r="E4626">
        <v>0</v>
      </c>
      <c r="F4626">
        <v>0</v>
      </c>
    </row>
    <row r="4627" spans="1:6" x14ac:dyDescent="0.25">
      <c r="A4627" s="1">
        <v>45047</v>
      </c>
      <c r="B4627" t="s">
        <v>118</v>
      </c>
      <c r="C4627" t="s">
        <v>658</v>
      </c>
      <c r="D4627">
        <v>0</v>
      </c>
      <c r="E4627">
        <v>0</v>
      </c>
      <c r="F4627">
        <v>0</v>
      </c>
    </row>
    <row r="4628" spans="1:6" x14ac:dyDescent="0.25">
      <c r="A4628" s="1">
        <v>45047</v>
      </c>
      <c r="B4628" t="s">
        <v>42</v>
      </c>
      <c r="C4628" t="s">
        <v>952</v>
      </c>
      <c r="D4628" s="2">
        <v>19256332.93</v>
      </c>
      <c r="E4628" s="2">
        <v>11984901.449999999</v>
      </c>
      <c r="F4628" s="2">
        <v>7234901.4500000002</v>
      </c>
    </row>
    <row r="4629" spans="1:6" x14ac:dyDescent="0.25">
      <c r="A4629" s="1">
        <v>45047</v>
      </c>
      <c r="B4629" t="s">
        <v>105</v>
      </c>
      <c r="C4629" t="s">
        <v>1084</v>
      </c>
      <c r="D4629">
        <v>0</v>
      </c>
      <c r="E4629">
        <v>0</v>
      </c>
      <c r="F4629">
        <v>0</v>
      </c>
    </row>
    <row r="4630" spans="1:6" x14ac:dyDescent="0.25">
      <c r="A4630" s="1">
        <v>45047</v>
      </c>
      <c r="B4630" t="s">
        <v>23</v>
      </c>
      <c r="C4630" t="s">
        <v>580</v>
      </c>
      <c r="D4630" s="2">
        <v>61091.76</v>
      </c>
      <c r="E4630" s="2">
        <v>89302.24</v>
      </c>
      <c r="F4630" s="2">
        <v>92135.4</v>
      </c>
    </row>
    <row r="4631" spans="1:6" x14ac:dyDescent="0.25">
      <c r="A4631" s="1">
        <v>45047</v>
      </c>
      <c r="B4631" t="s">
        <v>92</v>
      </c>
      <c r="C4631" t="s">
        <v>93</v>
      </c>
      <c r="D4631" s="2">
        <v>177320.95999999999</v>
      </c>
      <c r="E4631" s="2">
        <v>225470.67</v>
      </c>
      <c r="F4631" s="2">
        <v>214843.66</v>
      </c>
    </row>
    <row r="4632" spans="1:6" x14ac:dyDescent="0.25">
      <c r="A4632" s="1">
        <v>45047</v>
      </c>
      <c r="B4632" t="s">
        <v>288</v>
      </c>
      <c r="C4632" t="s">
        <v>480</v>
      </c>
      <c r="D4632" s="2">
        <v>387896.6</v>
      </c>
      <c r="E4632" s="2">
        <v>12818.01</v>
      </c>
      <c r="F4632" s="2">
        <v>17195.740000000002</v>
      </c>
    </row>
    <row r="4633" spans="1:6" x14ac:dyDescent="0.25">
      <c r="A4633" s="1">
        <v>45047</v>
      </c>
      <c r="B4633" t="s">
        <v>40</v>
      </c>
      <c r="C4633" t="s">
        <v>825</v>
      </c>
      <c r="D4633" s="2">
        <v>54921329.43</v>
      </c>
      <c r="E4633" s="2">
        <v>28975271.949999999</v>
      </c>
      <c r="F4633" s="2">
        <v>30667934.34</v>
      </c>
    </row>
    <row r="4634" spans="1:6" x14ac:dyDescent="0.25">
      <c r="A4634" s="1">
        <v>45047</v>
      </c>
      <c r="B4634" t="s">
        <v>101</v>
      </c>
      <c r="C4634" t="s">
        <v>203</v>
      </c>
      <c r="D4634" s="2">
        <v>39276605</v>
      </c>
      <c r="E4634">
        <v>0</v>
      </c>
      <c r="F4634">
        <v>0</v>
      </c>
    </row>
    <row r="4635" spans="1:6" x14ac:dyDescent="0.25">
      <c r="A4635" s="1">
        <v>45047</v>
      </c>
      <c r="B4635" t="s">
        <v>619</v>
      </c>
      <c r="C4635" t="s">
        <v>917</v>
      </c>
      <c r="D4635" s="2">
        <v>16015373.5</v>
      </c>
      <c r="E4635" s="2">
        <v>11045293.99</v>
      </c>
      <c r="F4635" s="2">
        <v>11358662.210000001</v>
      </c>
    </row>
    <row r="4636" spans="1:6" x14ac:dyDescent="0.25">
      <c r="A4636" s="1">
        <v>45047</v>
      </c>
      <c r="B4636" t="s">
        <v>206</v>
      </c>
      <c r="C4636" t="s">
        <v>878</v>
      </c>
      <c r="D4636" s="2">
        <v>1811488.19</v>
      </c>
      <c r="E4636" s="2">
        <v>3977456.51</v>
      </c>
      <c r="F4636" s="2">
        <v>3817496.22</v>
      </c>
    </row>
    <row r="4637" spans="1:6" x14ac:dyDescent="0.25">
      <c r="A4637" s="1">
        <v>45047</v>
      </c>
      <c r="B4637" t="s">
        <v>306</v>
      </c>
      <c r="C4637" t="s">
        <v>702</v>
      </c>
      <c r="D4637" s="2">
        <v>1501005.02</v>
      </c>
      <c r="E4637" s="2">
        <v>167318.35</v>
      </c>
      <c r="F4637" s="2">
        <v>78836.52</v>
      </c>
    </row>
    <row r="4638" spans="1:6" x14ac:dyDescent="0.25">
      <c r="A4638" s="1">
        <v>45047</v>
      </c>
      <c r="B4638" t="s">
        <v>23</v>
      </c>
      <c r="C4638" t="s">
        <v>371</v>
      </c>
      <c r="D4638" s="2">
        <v>58266.9</v>
      </c>
      <c r="E4638" s="2">
        <v>174431.48</v>
      </c>
      <c r="F4638" s="2">
        <v>174431.48</v>
      </c>
    </row>
    <row r="4639" spans="1:6" x14ac:dyDescent="0.25">
      <c r="A4639" s="1">
        <v>45047</v>
      </c>
      <c r="B4639" t="s">
        <v>46</v>
      </c>
      <c r="C4639" t="s">
        <v>592</v>
      </c>
      <c r="D4639" s="2">
        <v>2178000</v>
      </c>
      <c r="E4639" s="2">
        <v>2176434.8199999998</v>
      </c>
      <c r="F4639" s="2">
        <v>2180308.4</v>
      </c>
    </row>
    <row r="4640" spans="1:6" x14ac:dyDescent="0.25">
      <c r="A4640" s="1">
        <v>45047</v>
      </c>
      <c r="B4640" t="s">
        <v>476</v>
      </c>
      <c r="C4640" t="s">
        <v>853</v>
      </c>
      <c r="D4640" s="2">
        <v>11830769.550000001</v>
      </c>
      <c r="E4640" s="2">
        <v>4444765.26</v>
      </c>
      <c r="F4640" s="2">
        <v>4128848.43</v>
      </c>
    </row>
    <row r="4641" spans="1:6" x14ac:dyDescent="0.25">
      <c r="A4641" s="1">
        <v>45047</v>
      </c>
      <c r="B4641" t="s">
        <v>118</v>
      </c>
      <c r="C4641" t="s">
        <v>754</v>
      </c>
      <c r="D4641">
        <v>0</v>
      </c>
      <c r="E4641">
        <v>0</v>
      </c>
      <c r="F4641">
        <v>0</v>
      </c>
    </row>
    <row r="4642" spans="1:6" x14ac:dyDescent="0.25">
      <c r="A4642" s="1">
        <v>45047</v>
      </c>
      <c r="B4642" t="s">
        <v>398</v>
      </c>
      <c r="C4642" t="s">
        <v>826</v>
      </c>
      <c r="D4642" s="2">
        <v>2797861.65</v>
      </c>
      <c r="E4642" s="2">
        <v>430174.42</v>
      </c>
      <c r="F4642" s="2">
        <v>435005.62</v>
      </c>
    </row>
    <row r="4643" spans="1:6" x14ac:dyDescent="0.25">
      <c r="A4643" s="1">
        <v>45047</v>
      </c>
      <c r="B4643" t="s">
        <v>44</v>
      </c>
      <c r="C4643" t="s">
        <v>828</v>
      </c>
      <c r="D4643" s="2">
        <v>2134148.44</v>
      </c>
      <c r="E4643" s="2">
        <v>1118787.76</v>
      </c>
      <c r="F4643" s="2">
        <v>1153862.98</v>
      </c>
    </row>
    <row r="4644" spans="1:6" x14ac:dyDescent="0.25">
      <c r="A4644" s="1">
        <v>45047</v>
      </c>
      <c r="B4644" t="s">
        <v>40</v>
      </c>
      <c r="C4644" t="s">
        <v>531</v>
      </c>
      <c r="D4644">
        <v>0</v>
      </c>
      <c r="E4644">
        <v>0</v>
      </c>
      <c r="F4644">
        <v>0</v>
      </c>
    </row>
    <row r="4645" spans="1:6" x14ac:dyDescent="0.25">
      <c r="A4645" s="1">
        <v>45047</v>
      </c>
      <c r="B4645" t="s">
        <v>50</v>
      </c>
      <c r="C4645" t="s">
        <v>787</v>
      </c>
      <c r="D4645" s="2">
        <v>5045636.42</v>
      </c>
      <c r="E4645" s="2">
        <v>19452263.870000001</v>
      </c>
      <c r="F4645" s="2">
        <v>11961437.65</v>
      </c>
    </row>
    <row r="4646" spans="1:6" x14ac:dyDescent="0.25">
      <c r="A4646" s="1">
        <v>45047</v>
      </c>
      <c r="B4646" t="s">
        <v>213</v>
      </c>
      <c r="C4646" t="s">
        <v>533</v>
      </c>
      <c r="D4646">
        <v>0</v>
      </c>
      <c r="E4646">
        <v>0</v>
      </c>
      <c r="F4646">
        <v>0</v>
      </c>
    </row>
    <row r="4647" spans="1:6" x14ac:dyDescent="0.25">
      <c r="A4647" s="1">
        <v>45047</v>
      </c>
      <c r="B4647" t="s">
        <v>37</v>
      </c>
      <c r="C4647" t="s">
        <v>728</v>
      </c>
      <c r="D4647" s="2">
        <v>493275.2</v>
      </c>
      <c r="E4647" s="2">
        <v>509095.83</v>
      </c>
      <c r="F4647" s="2">
        <v>494508.17</v>
      </c>
    </row>
    <row r="4648" spans="1:6" x14ac:dyDescent="0.25">
      <c r="A4648" s="1">
        <v>45047</v>
      </c>
      <c r="B4648" t="s">
        <v>518</v>
      </c>
      <c r="C4648" t="s">
        <v>519</v>
      </c>
      <c r="D4648" s="2">
        <v>108490.48</v>
      </c>
      <c r="E4648" s="2">
        <v>146062.17000000001</v>
      </c>
      <c r="F4648" s="2">
        <v>724359.41</v>
      </c>
    </row>
    <row r="4649" spans="1:6" x14ac:dyDescent="0.25">
      <c r="A4649" s="1">
        <v>45047</v>
      </c>
      <c r="B4649" t="s">
        <v>154</v>
      </c>
      <c r="C4649" t="s">
        <v>161</v>
      </c>
      <c r="D4649" s="2">
        <v>2168012.7599999998</v>
      </c>
      <c r="E4649" s="2">
        <v>486827.53</v>
      </c>
      <c r="F4649" s="2">
        <v>940332.29</v>
      </c>
    </row>
    <row r="4650" spans="1:6" x14ac:dyDescent="0.25">
      <c r="A4650" s="1">
        <v>45047</v>
      </c>
      <c r="B4650" t="s">
        <v>107</v>
      </c>
      <c r="C4650" t="s">
        <v>262</v>
      </c>
      <c r="D4650" s="2">
        <v>2220084.52</v>
      </c>
      <c r="E4650" s="2">
        <v>1725073.64</v>
      </c>
      <c r="F4650" s="2">
        <v>2400426.7799999998</v>
      </c>
    </row>
    <row r="4651" spans="1:6" x14ac:dyDescent="0.25">
      <c r="A4651" s="1">
        <v>45047</v>
      </c>
      <c r="B4651" t="s">
        <v>251</v>
      </c>
      <c r="C4651" t="s">
        <v>750</v>
      </c>
      <c r="D4651" s="2">
        <v>35392293.18</v>
      </c>
      <c r="E4651" s="2">
        <v>124090886.22</v>
      </c>
      <c r="F4651" s="2">
        <v>122654569.52</v>
      </c>
    </row>
    <row r="4652" spans="1:6" x14ac:dyDescent="0.25">
      <c r="A4652" s="1">
        <v>45047</v>
      </c>
      <c r="B4652" t="s">
        <v>17</v>
      </c>
      <c r="C4652" t="s">
        <v>145</v>
      </c>
      <c r="D4652" s="2">
        <v>2916697.97</v>
      </c>
      <c r="E4652" s="2">
        <v>952333.09</v>
      </c>
      <c r="F4652" s="2">
        <v>9000</v>
      </c>
    </row>
    <row r="4653" spans="1:6" x14ac:dyDescent="0.25">
      <c r="A4653" s="1">
        <v>45047</v>
      </c>
      <c r="B4653" t="s">
        <v>37</v>
      </c>
      <c r="C4653" t="s">
        <v>492</v>
      </c>
      <c r="D4653" s="2">
        <v>1049876.55</v>
      </c>
      <c r="E4653">
        <v>0</v>
      </c>
      <c r="F4653">
        <v>0</v>
      </c>
    </row>
    <row r="4654" spans="1:6" x14ac:dyDescent="0.25">
      <c r="A4654" s="1">
        <v>45047</v>
      </c>
      <c r="B4654" t="s">
        <v>23</v>
      </c>
      <c r="C4654" t="s">
        <v>575</v>
      </c>
      <c r="D4654" s="2">
        <v>11015219.16</v>
      </c>
      <c r="E4654" s="2">
        <v>391973.32</v>
      </c>
      <c r="F4654" s="2">
        <v>391973.32</v>
      </c>
    </row>
    <row r="4655" spans="1:6" x14ac:dyDescent="0.25">
      <c r="A4655" s="1">
        <v>45047</v>
      </c>
      <c r="B4655" t="s">
        <v>932</v>
      </c>
      <c r="C4655" t="s">
        <v>685</v>
      </c>
      <c r="D4655">
        <v>0</v>
      </c>
      <c r="E4655">
        <v>0</v>
      </c>
      <c r="F4655">
        <v>0</v>
      </c>
    </row>
    <row r="4656" spans="1:6" x14ac:dyDescent="0.25">
      <c r="A4656" s="1">
        <v>45047</v>
      </c>
      <c r="B4656" t="s">
        <v>40</v>
      </c>
      <c r="C4656" t="s">
        <v>907</v>
      </c>
      <c r="D4656" s="2">
        <v>335044.52</v>
      </c>
      <c r="E4656" s="2">
        <v>198010.94</v>
      </c>
      <c r="F4656" s="2">
        <v>142890.96</v>
      </c>
    </row>
    <row r="4657" spans="1:6" x14ac:dyDescent="0.25">
      <c r="A4657" s="1">
        <v>45047</v>
      </c>
      <c r="B4657" t="s">
        <v>92</v>
      </c>
      <c r="C4657" t="s">
        <v>819</v>
      </c>
      <c r="D4657" s="2">
        <v>582499.21</v>
      </c>
      <c r="E4657" s="2">
        <v>687735.6</v>
      </c>
      <c r="F4657" s="2">
        <v>674133.08</v>
      </c>
    </row>
    <row r="4658" spans="1:6" x14ac:dyDescent="0.25">
      <c r="A4658" s="1">
        <v>45047</v>
      </c>
      <c r="B4658" t="s">
        <v>23</v>
      </c>
      <c r="C4658" t="s">
        <v>131</v>
      </c>
      <c r="D4658" s="2">
        <v>950627.5</v>
      </c>
      <c r="E4658" s="2">
        <v>102493.94</v>
      </c>
      <c r="F4658" s="2">
        <v>73461.84</v>
      </c>
    </row>
    <row r="4659" spans="1:6" x14ac:dyDescent="0.25">
      <c r="A4659" s="1">
        <v>45047</v>
      </c>
      <c r="B4659" t="s">
        <v>23</v>
      </c>
      <c r="C4659" t="s">
        <v>776</v>
      </c>
      <c r="D4659" s="2">
        <v>351897290.25</v>
      </c>
      <c r="E4659" s="2">
        <v>22691625.07</v>
      </c>
      <c r="F4659" s="2">
        <v>22801457.550000001</v>
      </c>
    </row>
    <row r="4660" spans="1:6" x14ac:dyDescent="0.25">
      <c r="A4660" s="1">
        <v>45047</v>
      </c>
      <c r="B4660" t="s">
        <v>114</v>
      </c>
      <c r="C4660" t="s">
        <v>913</v>
      </c>
      <c r="D4660" s="2">
        <v>67934871.209999993</v>
      </c>
      <c r="E4660" s="2">
        <v>25912299.190000001</v>
      </c>
      <c r="F4660" s="2">
        <v>30066894.940000001</v>
      </c>
    </row>
    <row r="4661" spans="1:6" x14ac:dyDescent="0.25">
      <c r="A4661" s="1">
        <v>45047</v>
      </c>
      <c r="B4661" t="s">
        <v>726</v>
      </c>
      <c r="C4661" t="s">
        <v>876</v>
      </c>
      <c r="D4661" s="2">
        <v>92162.95</v>
      </c>
      <c r="E4661" s="2">
        <v>150330.82999999999</v>
      </c>
      <c r="F4661" s="2">
        <v>126034.29</v>
      </c>
    </row>
    <row r="4662" spans="1:6" x14ac:dyDescent="0.25">
      <c r="A4662" s="1">
        <v>45047</v>
      </c>
      <c r="B4662" t="s">
        <v>619</v>
      </c>
      <c r="C4662" t="s">
        <v>165</v>
      </c>
      <c r="D4662" s="2">
        <v>41687.51</v>
      </c>
      <c r="E4662" s="2">
        <v>56284.76</v>
      </c>
      <c r="F4662" s="2">
        <v>59093.73</v>
      </c>
    </row>
    <row r="4663" spans="1:6" x14ac:dyDescent="0.25">
      <c r="A4663" s="1">
        <v>45047</v>
      </c>
      <c r="B4663" t="s">
        <v>37</v>
      </c>
      <c r="C4663" t="s">
        <v>851</v>
      </c>
      <c r="D4663" s="2">
        <v>4723812.51</v>
      </c>
      <c r="E4663" s="2">
        <v>4897341.37</v>
      </c>
      <c r="F4663" s="2">
        <v>3785861.99</v>
      </c>
    </row>
    <row r="4664" spans="1:6" x14ac:dyDescent="0.25">
      <c r="A4664" s="1">
        <v>45047</v>
      </c>
      <c r="B4664" t="s">
        <v>831</v>
      </c>
      <c r="C4664" t="s">
        <v>95</v>
      </c>
      <c r="D4664">
        <v>0</v>
      </c>
      <c r="E4664">
        <v>0</v>
      </c>
      <c r="F4664">
        <v>0</v>
      </c>
    </row>
    <row r="4665" spans="1:6" x14ac:dyDescent="0.25">
      <c r="A4665" s="1">
        <v>45047</v>
      </c>
      <c r="B4665" t="s">
        <v>46</v>
      </c>
      <c r="C4665" t="s">
        <v>424</v>
      </c>
      <c r="D4665" s="2">
        <v>1675784.85</v>
      </c>
      <c r="E4665" s="2">
        <v>1644284.85</v>
      </c>
      <c r="F4665">
        <v>0</v>
      </c>
    </row>
    <row r="4666" spans="1:6" x14ac:dyDescent="0.25">
      <c r="A4666" s="1">
        <v>45047</v>
      </c>
      <c r="B4666" t="s">
        <v>196</v>
      </c>
      <c r="C4666" t="s">
        <v>1180</v>
      </c>
      <c r="D4666">
        <v>0</v>
      </c>
      <c r="E4666">
        <v>0</v>
      </c>
      <c r="F4666">
        <v>0</v>
      </c>
    </row>
    <row r="4667" spans="1:6" x14ac:dyDescent="0.25">
      <c r="A4667" s="1">
        <v>45047</v>
      </c>
      <c r="B4667" t="s">
        <v>143</v>
      </c>
      <c r="C4667" t="s">
        <v>529</v>
      </c>
      <c r="D4667" s="2">
        <v>11059000</v>
      </c>
      <c r="E4667" s="2">
        <v>9875000</v>
      </c>
      <c r="F4667" s="2">
        <v>9875000</v>
      </c>
    </row>
    <row r="4668" spans="1:6" x14ac:dyDescent="0.25">
      <c r="A4668" s="1">
        <v>45047</v>
      </c>
      <c r="B4668" t="s">
        <v>752</v>
      </c>
      <c r="C4668" t="s">
        <v>753</v>
      </c>
      <c r="D4668" s="2">
        <v>6570809.1200000001</v>
      </c>
      <c r="E4668" s="2">
        <v>20060339.27</v>
      </c>
      <c r="F4668" s="2">
        <v>20418315.34</v>
      </c>
    </row>
    <row r="4669" spans="1:6" x14ac:dyDescent="0.25">
      <c r="A4669" s="1">
        <v>45047</v>
      </c>
      <c r="B4669" t="s">
        <v>23</v>
      </c>
      <c r="C4669" t="s">
        <v>867</v>
      </c>
      <c r="D4669" s="2">
        <v>4557214.8499999996</v>
      </c>
      <c r="E4669" s="2">
        <v>1142539.44</v>
      </c>
      <c r="F4669" s="2">
        <v>998409.73</v>
      </c>
    </row>
    <row r="4670" spans="1:6" x14ac:dyDescent="0.25">
      <c r="A4670" s="1">
        <v>45047</v>
      </c>
      <c r="B4670" t="s">
        <v>25</v>
      </c>
      <c r="C4670" t="s">
        <v>724</v>
      </c>
      <c r="D4670" s="2">
        <v>95413.35</v>
      </c>
      <c r="E4670" s="2">
        <v>108690.92</v>
      </c>
      <c r="F4670" s="2">
        <v>142767.69</v>
      </c>
    </row>
    <row r="4671" spans="1:6" x14ac:dyDescent="0.25">
      <c r="A4671" s="1">
        <v>45047</v>
      </c>
      <c r="B4671" t="s">
        <v>37</v>
      </c>
      <c r="C4671" t="s">
        <v>384</v>
      </c>
      <c r="D4671" s="2">
        <v>395367.81</v>
      </c>
      <c r="E4671" s="2">
        <v>285831.40999999997</v>
      </c>
      <c r="F4671" s="2">
        <v>260028.89</v>
      </c>
    </row>
    <row r="4672" spans="1:6" x14ac:dyDescent="0.25">
      <c r="A4672" s="1">
        <v>45047</v>
      </c>
      <c r="B4672" t="s">
        <v>162</v>
      </c>
      <c r="C4672" t="s">
        <v>291</v>
      </c>
      <c r="D4672" s="2">
        <v>272205006.88</v>
      </c>
      <c r="E4672" s="2">
        <v>532647873.18000001</v>
      </c>
      <c r="F4672" s="2">
        <v>722025202.17999995</v>
      </c>
    </row>
    <row r="4673" spans="1:6" x14ac:dyDescent="0.25">
      <c r="A4673" s="1">
        <v>45047</v>
      </c>
      <c r="B4673" t="s">
        <v>23</v>
      </c>
      <c r="C4673" t="s">
        <v>665</v>
      </c>
      <c r="D4673" s="2">
        <v>1363453.99</v>
      </c>
      <c r="E4673" s="2">
        <v>311914.81</v>
      </c>
      <c r="F4673" s="2">
        <v>284593.51</v>
      </c>
    </row>
    <row r="4674" spans="1:6" x14ac:dyDescent="0.25">
      <c r="A4674" s="1">
        <v>45047</v>
      </c>
      <c r="B4674" t="s">
        <v>50</v>
      </c>
      <c r="C4674" t="s">
        <v>735</v>
      </c>
      <c r="D4674" s="2">
        <v>269543.14</v>
      </c>
      <c r="E4674" s="2">
        <v>118099.41</v>
      </c>
      <c r="F4674" s="2">
        <v>209445.11</v>
      </c>
    </row>
    <row r="4675" spans="1:6" x14ac:dyDescent="0.25">
      <c r="A4675" s="1">
        <v>45047</v>
      </c>
      <c r="B4675" t="s">
        <v>23</v>
      </c>
      <c r="C4675" t="s">
        <v>988</v>
      </c>
      <c r="D4675" s="2">
        <v>57663584.409999996</v>
      </c>
      <c r="E4675">
        <v>0</v>
      </c>
      <c r="F4675">
        <v>0</v>
      </c>
    </row>
    <row r="4676" spans="1:6" x14ac:dyDescent="0.25">
      <c r="A4676" s="1">
        <v>45047</v>
      </c>
      <c r="B4676" t="s">
        <v>114</v>
      </c>
      <c r="C4676" t="s">
        <v>882</v>
      </c>
      <c r="D4676" s="2">
        <v>96448.05</v>
      </c>
      <c r="E4676">
        <v>0</v>
      </c>
      <c r="F4676">
        <v>0</v>
      </c>
    </row>
    <row r="4677" spans="1:6" x14ac:dyDescent="0.25">
      <c r="A4677" s="1">
        <v>45047</v>
      </c>
      <c r="B4677" t="s">
        <v>21</v>
      </c>
      <c r="C4677" t="s">
        <v>173</v>
      </c>
      <c r="D4677">
        <v>0</v>
      </c>
      <c r="E4677" s="2">
        <v>149943.25</v>
      </c>
      <c r="F4677" s="2">
        <v>149927.98000000001</v>
      </c>
    </row>
    <row r="4678" spans="1:6" x14ac:dyDescent="0.25">
      <c r="A4678" s="1">
        <v>45047</v>
      </c>
      <c r="B4678" t="s">
        <v>23</v>
      </c>
      <c r="C4678" t="s">
        <v>633</v>
      </c>
      <c r="D4678" s="2">
        <v>6985405.9800000004</v>
      </c>
      <c r="E4678" s="2">
        <v>132328.39000000001</v>
      </c>
      <c r="F4678" s="2">
        <v>161646.49</v>
      </c>
    </row>
    <row r="4679" spans="1:6" x14ac:dyDescent="0.25">
      <c r="A4679" s="1">
        <v>45047</v>
      </c>
      <c r="B4679" t="s">
        <v>422</v>
      </c>
      <c r="C4679" t="s">
        <v>678</v>
      </c>
      <c r="D4679">
        <v>0</v>
      </c>
      <c r="E4679">
        <v>0</v>
      </c>
      <c r="F4679">
        <v>0</v>
      </c>
    </row>
    <row r="4680" spans="1:6" x14ac:dyDescent="0.25">
      <c r="A4680" s="1">
        <v>45047</v>
      </c>
      <c r="B4680" t="s">
        <v>23</v>
      </c>
      <c r="C4680" t="s">
        <v>675</v>
      </c>
      <c r="D4680" s="2">
        <v>3109016.35</v>
      </c>
      <c r="E4680" s="2">
        <v>707599.35999999999</v>
      </c>
      <c r="F4680" s="2">
        <v>683077.18</v>
      </c>
    </row>
    <row r="4681" spans="1:6" x14ac:dyDescent="0.25">
      <c r="A4681" s="1">
        <v>45047</v>
      </c>
      <c r="B4681" t="s">
        <v>40</v>
      </c>
      <c r="C4681" t="s">
        <v>599</v>
      </c>
      <c r="D4681" s="2">
        <v>202328866.06</v>
      </c>
      <c r="E4681" s="2">
        <v>91383124.370000005</v>
      </c>
      <c r="F4681" s="2">
        <v>97611798.219999999</v>
      </c>
    </row>
    <row r="4682" spans="1:6" x14ac:dyDescent="0.25">
      <c r="A4682" s="1">
        <v>45047</v>
      </c>
      <c r="B4682" t="s">
        <v>48</v>
      </c>
      <c r="C4682" t="s">
        <v>818</v>
      </c>
      <c r="D4682" s="2">
        <v>935878.16</v>
      </c>
      <c r="E4682" s="2">
        <v>1077056.24</v>
      </c>
      <c r="F4682" s="2">
        <v>1287641.1299999999</v>
      </c>
    </row>
    <row r="4683" spans="1:6" x14ac:dyDescent="0.25">
      <c r="A4683" s="1">
        <v>45047</v>
      </c>
      <c r="B4683" t="s">
        <v>15</v>
      </c>
      <c r="C4683" t="s">
        <v>796</v>
      </c>
      <c r="D4683" s="2">
        <v>7752038.0599999996</v>
      </c>
      <c r="E4683" s="2">
        <v>3444843.18</v>
      </c>
      <c r="F4683" s="2">
        <v>3276589.04</v>
      </c>
    </row>
    <row r="4684" spans="1:6" x14ac:dyDescent="0.25">
      <c r="A4684" s="1">
        <v>45047</v>
      </c>
      <c r="B4684" t="s">
        <v>107</v>
      </c>
      <c r="C4684" t="s">
        <v>912</v>
      </c>
      <c r="D4684" s="2">
        <v>173772617.50999999</v>
      </c>
      <c r="E4684" s="2">
        <v>88069198.849999994</v>
      </c>
      <c r="F4684" s="2">
        <v>81106305.920000002</v>
      </c>
    </row>
    <row r="4685" spans="1:6" x14ac:dyDescent="0.25">
      <c r="A4685" s="1">
        <v>45047</v>
      </c>
      <c r="B4685" t="s">
        <v>25</v>
      </c>
      <c r="C4685" t="s">
        <v>703</v>
      </c>
      <c r="D4685" s="2">
        <v>516907.91</v>
      </c>
      <c r="E4685" s="2">
        <v>255427.93</v>
      </c>
      <c r="F4685" s="2">
        <v>240102.83</v>
      </c>
    </row>
    <row r="4686" spans="1:6" x14ac:dyDescent="0.25">
      <c r="A4686" s="1">
        <v>45047</v>
      </c>
      <c r="B4686" t="s">
        <v>15</v>
      </c>
      <c r="C4686" t="s">
        <v>550</v>
      </c>
      <c r="D4686">
        <v>0</v>
      </c>
      <c r="E4686">
        <v>0</v>
      </c>
      <c r="F4686">
        <v>0</v>
      </c>
    </row>
    <row r="4687" spans="1:6" x14ac:dyDescent="0.25">
      <c r="A4687" s="1">
        <v>45047</v>
      </c>
      <c r="B4687" t="s">
        <v>40</v>
      </c>
      <c r="C4687" t="s">
        <v>772</v>
      </c>
      <c r="D4687" s="2">
        <v>1071980.1200000001</v>
      </c>
      <c r="E4687" s="2">
        <v>2618333.81</v>
      </c>
      <c r="F4687" s="2">
        <v>1746194.32</v>
      </c>
    </row>
    <row r="4688" spans="1:6" x14ac:dyDescent="0.25">
      <c r="A4688" s="1">
        <v>45047</v>
      </c>
      <c r="B4688" t="s">
        <v>263</v>
      </c>
      <c r="C4688" t="s">
        <v>745</v>
      </c>
      <c r="D4688" s="2">
        <v>2241637.66</v>
      </c>
      <c r="E4688" s="2">
        <v>1611359.07</v>
      </c>
      <c r="F4688" s="2">
        <v>1553811.8</v>
      </c>
    </row>
    <row r="4689" spans="1:6" x14ac:dyDescent="0.25">
      <c r="A4689" s="1">
        <v>45047</v>
      </c>
      <c r="B4689" t="s">
        <v>40</v>
      </c>
      <c r="C4689" t="s">
        <v>898</v>
      </c>
      <c r="D4689" s="2">
        <v>107249250.38</v>
      </c>
      <c r="E4689" s="2">
        <v>48969834.780000001</v>
      </c>
      <c r="F4689" s="2">
        <v>48049653.890000001</v>
      </c>
    </row>
    <row r="4690" spans="1:6" x14ac:dyDescent="0.25">
      <c r="A4690" s="1">
        <v>45047</v>
      </c>
      <c r="B4690" t="s">
        <v>263</v>
      </c>
      <c r="C4690" t="s">
        <v>824</v>
      </c>
      <c r="D4690" s="2">
        <v>49270518.990000002</v>
      </c>
      <c r="E4690" s="2">
        <v>11652191.050000001</v>
      </c>
      <c r="F4690" s="2">
        <v>11138539.07</v>
      </c>
    </row>
    <row r="4691" spans="1:6" x14ac:dyDescent="0.25">
      <c r="A4691" s="1">
        <v>45047</v>
      </c>
      <c r="B4691" t="s">
        <v>40</v>
      </c>
      <c r="C4691" t="s">
        <v>706</v>
      </c>
      <c r="D4691" s="2">
        <v>1576824.1</v>
      </c>
      <c r="E4691" s="2">
        <v>289534.03999999998</v>
      </c>
      <c r="F4691" s="2">
        <v>352934.1</v>
      </c>
    </row>
    <row r="4692" spans="1:6" x14ac:dyDescent="0.25">
      <c r="A4692" s="1">
        <v>45047</v>
      </c>
      <c r="B4692" t="s">
        <v>40</v>
      </c>
      <c r="C4692" t="s">
        <v>729</v>
      </c>
      <c r="D4692" s="2">
        <v>46973334.649999999</v>
      </c>
      <c r="E4692" s="2">
        <v>74082600.370000005</v>
      </c>
      <c r="F4692" s="2">
        <v>66806526.369999997</v>
      </c>
    </row>
    <row r="4693" spans="1:6" x14ac:dyDescent="0.25">
      <c r="A4693" s="1">
        <v>45047</v>
      </c>
      <c r="B4693" t="s">
        <v>63</v>
      </c>
      <c r="C4693" t="s">
        <v>483</v>
      </c>
      <c r="D4693" s="2">
        <v>33631958</v>
      </c>
      <c r="E4693" s="2">
        <v>5295973</v>
      </c>
      <c r="F4693" s="2">
        <v>5295973</v>
      </c>
    </row>
    <row r="4694" spans="1:6" x14ac:dyDescent="0.25">
      <c r="A4694" s="1">
        <v>45047</v>
      </c>
      <c r="B4694" t="s">
        <v>216</v>
      </c>
      <c r="C4694" t="s">
        <v>806</v>
      </c>
      <c r="D4694" s="2">
        <v>9117179.1699999999</v>
      </c>
      <c r="E4694" s="2">
        <v>6530046.7000000002</v>
      </c>
      <c r="F4694" s="2">
        <v>5940656.2800000003</v>
      </c>
    </row>
    <row r="4695" spans="1:6" x14ac:dyDescent="0.25">
      <c r="A4695" s="1">
        <v>45047</v>
      </c>
      <c r="B4695" t="s">
        <v>648</v>
      </c>
      <c r="C4695" t="s">
        <v>844</v>
      </c>
      <c r="D4695" s="2">
        <v>683059.83</v>
      </c>
      <c r="E4695" s="2">
        <v>436577.05</v>
      </c>
      <c r="F4695" s="2">
        <v>388614.98</v>
      </c>
    </row>
    <row r="4696" spans="1:6" x14ac:dyDescent="0.25">
      <c r="A4696" s="1">
        <v>45047</v>
      </c>
      <c r="B4696" t="s">
        <v>23</v>
      </c>
      <c r="C4696" t="s">
        <v>761</v>
      </c>
      <c r="D4696" s="2">
        <v>194487147.81999999</v>
      </c>
      <c r="E4696" s="2">
        <v>73838162.099999994</v>
      </c>
      <c r="F4696" s="2">
        <v>41676998.960000001</v>
      </c>
    </row>
    <row r="4697" spans="1:6" x14ac:dyDescent="0.25">
      <c r="A4697" s="1">
        <v>45047</v>
      </c>
      <c r="B4697" t="s">
        <v>65</v>
      </c>
      <c r="C4697" t="s">
        <v>883</v>
      </c>
      <c r="D4697" s="2">
        <v>46068812.979999997</v>
      </c>
      <c r="E4697" s="2">
        <v>3975920.11</v>
      </c>
      <c r="F4697" s="2">
        <v>4097623.31</v>
      </c>
    </row>
    <row r="4698" spans="1:6" x14ac:dyDescent="0.25">
      <c r="A4698" s="1">
        <v>45047</v>
      </c>
      <c r="B4698" t="s">
        <v>816</v>
      </c>
      <c r="C4698" t="s">
        <v>817</v>
      </c>
      <c r="D4698" s="2">
        <v>88029215.480000004</v>
      </c>
      <c r="E4698" s="2">
        <v>242805257.56999999</v>
      </c>
      <c r="F4698" s="2">
        <v>238127150.69</v>
      </c>
    </row>
    <row r="4699" spans="1:6" x14ac:dyDescent="0.25">
      <c r="A4699" s="1">
        <v>45047</v>
      </c>
      <c r="B4699" t="s">
        <v>296</v>
      </c>
      <c r="C4699" t="s">
        <v>470</v>
      </c>
      <c r="D4699" s="2">
        <v>26615285.239999998</v>
      </c>
      <c r="E4699" s="2">
        <v>348343.61</v>
      </c>
      <c r="F4699" s="2">
        <v>279353.51</v>
      </c>
    </row>
    <row r="4700" spans="1:6" x14ac:dyDescent="0.25">
      <c r="A4700" s="1">
        <v>45047</v>
      </c>
      <c r="B4700" t="s">
        <v>23</v>
      </c>
      <c r="C4700" t="s">
        <v>759</v>
      </c>
      <c r="D4700" s="2">
        <v>1197587.23</v>
      </c>
      <c r="E4700" s="2">
        <v>240041.5</v>
      </c>
      <c r="F4700" s="2">
        <v>223661.41</v>
      </c>
    </row>
    <row r="4701" spans="1:6" x14ac:dyDescent="0.25">
      <c r="A4701" s="1">
        <v>45047</v>
      </c>
      <c r="B4701" t="s">
        <v>114</v>
      </c>
      <c r="C4701" t="s">
        <v>628</v>
      </c>
      <c r="D4701" s="2">
        <v>16636809.609999999</v>
      </c>
      <c r="E4701" s="2">
        <v>1267412.1499999999</v>
      </c>
      <c r="F4701" s="2">
        <v>1125625.51</v>
      </c>
    </row>
    <row r="4702" spans="1:6" x14ac:dyDescent="0.25">
      <c r="A4702" s="1">
        <v>45047</v>
      </c>
      <c r="B4702" t="s">
        <v>40</v>
      </c>
      <c r="C4702" t="s">
        <v>923</v>
      </c>
      <c r="D4702" s="2">
        <v>21460759.93</v>
      </c>
      <c r="E4702" s="2">
        <v>2093315.11</v>
      </c>
      <c r="F4702" s="2">
        <v>1789691.66</v>
      </c>
    </row>
    <row r="4703" spans="1:6" x14ac:dyDescent="0.25">
      <c r="A4703" s="1">
        <v>45047</v>
      </c>
      <c r="B4703" t="s">
        <v>337</v>
      </c>
      <c r="C4703" t="s">
        <v>338</v>
      </c>
      <c r="D4703" s="2">
        <v>3002637.41</v>
      </c>
      <c r="E4703" s="2">
        <v>2463407.4900000002</v>
      </c>
      <c r="F4703" s="2">
        <v>2223028.58</v>
      </c>
    </row>
    <row r="4704" spans="1:6" x14ac:dyDescent="0.25">
      <c r="A4704" s="1">
        <v>45047</v>
      </c>
      <c r="B4704" t="s">
        <v>40</v>
      </c>
      <c r="C4704" t="s">
        <v>686</v>
      </c>
      <c r="D4704" s="2">
        <v>11770117.689999999</v>
      </c>
      <c r="E4704" s="2">
        <v>8640791.5399999991</v>
      </c>
      <c r="F4704" s="2">
        <v>8385771.7400000002</v>
      </c>
    </row>
    <row r="4705" spans="1:6" x14ac:dyDescent="0.25">
      <c r="A4705" s="1">
        <v>45047</v>
      </c>
      <c r="B4705" t="s">
        <v>23</v>
      </c>
      <c r="C4705" t="s">
        <v>896</v>
      </c>
      <c r="D4705" s="2">
        <v>35171625.5</v>
      </c>
      <c r="E4705" s="2">
        <v>6696983.2699999996</v>
      </c>
      <c r="F4705" s="2">
        <v>4949750.54</v>
      </c>
    </row>
    <row r="4706" spans="1:6" x14ac:dyDescent="0.25">
      <c r="A4706" s="1">
        <v>45047</v>
      </c>
      <c r="B4706" t="s">
        <v>545</v>
      </c>
      <c r="C4706" t="s">
        <v>908</v>
      </c>
      <c r="D4706" s="2">
        <v>7215002.0099999998</v>
      </c>
      <c r="E4706" s="2">
        <v>278506.15999999997</v>
      </c>
      <c r="F4706" s="2">
        <v>278424.15000000002</v>
      </c>
    </row>
    <row r="4707" spans="1:6" x14ac:dyDescent="0.25">
      <c r="A4707" s="1">
        <v>45047</v>
      </c>
      <c r="B4707" t="s">
        <v>773</v>
      </c>
      <c r="C4707" t="s">
        <v>774</v>
      </c>
      <c r="D4707" s="2">
        <v>91471432.219999999</v>
      </c>
      <c r="E4707" s="2">
        <v>91611381.769999996</v>
      </c>
      <c r="F4707" s="2">
        <v>91639025.069999993</v>
      </c>
    </row>
    <row r="4708" spans="1:6" x14ac:dyDescent="0.25">
      <c r="A4708" s="1">
        <v>45047</v>
      </c>
      <c r="B4708" t="s">
        <v>40</v>
      </c>
      <c r="C4708" t="s">
        <v>528</v>
      </c>
      <c r="D4708" s="2">
        <v>323399.64</v>
      </c>
      <c r="E4708" s="2">
        <v>85038</v>
      </c>
      <c r="F4708" s="2">
        <v>77055.77</v>
      </c>
    </row>
    <row r="4709" spans="1:6" x14ac:dyDescent="0.25">
      <c r="A4709" s="1">
        <v>45047</v>
      </c>
      <c r="B4709" t="s">
        <v>92</v>
      </c>
      <c r="C4709" t="s">
        <v>903</v>
      </c>
      <c r="D4709" s="2">
        <v>1086877.43</v>
      </c>
      <c r="E4709" s="2">
        <v>1109628.25</v>
      </c>
      <c r="F4709" s="2">
        <v>1108061.8</v>
      </c>
    </row>
    <row r="4710" spans="1:6" x14ac:dyDescent="0.25">
      <c r="A4710" s="1">
        <v>45047</v>
      </c>
      <c r="B4710" t="s">
        <v>40</v>
      </c>
      <c r="C4710" t="s">
        <v>766</v>
      </c>
      <c r="D4710" s="2">
        <v>5095566.03</v>
      </c>
      <c r="E4710" s="2">
        <v>2163600.2200000002</v>
      </c>
      <c r="F4710" s="2">
        <v>2019674.47</v>
      </c>
    </row>
    <row r="4711" spans="1:6" x14ac:dyDescent="0.25">
      <c r="A4711" s="1">
        <v>45047</v>
      </c>
      <c r="B4711" t="s">
        <v>92</v>
      </c>
      <c r="C4711" t="s">
        <v>860</v>
      </c>
      <c r="D4711" s="2">
        <v>4845709.1900000004</v>
      </c>
      <c r="E4711" s="2">
        <v>4556153.5999999996</v>
      </c>
      <c r="F4711" s="2">
        <v>4548890.1399999997</v>
      </c>
    </row>
    <row r="4712" spans="1:6" x14ac:dyDescent="0.25">
      <c r="A4712" s="1">
        <v>45047</v>
      </c>
      <c r="B4712" t="s">
        <v>132</v>
      </c>
      <c r="C4712" t="s">
        <v>285</v>
      </c>
      <c r="D4712" s="2">
        <v>4823402.6100000003</v>
      </c>
      <c r="E4712" s="2">
        <v>8197948.1399999997</v>
      </c>
      <c r="F4712" s="2">
        <v>9484836.8100000005</v>
      </c>
    </row>
    <row r="4713" spans="1:6" x14ac:dyDescent="0.25">
      <c r="A4713" s="1">
        <v>45047</v>
      </c>
      <c r="B4713" t="s">
        <v>648</v>
      </c>
      <c r="C4713" t="s">
        <v>914</v>
      </c>
      <c r="D4713" s="2">
        <v>90443176.769999996</v>
      </c>
      <c r="E4713" s="2">
        <v>74254760.219999999</v>
      </c>
      <c r="F4713" s="2">
        <v>78780109.950000003</v>
      </c>
    </row>
    <row r="4714" spans="1:6" x14ac:dyDescent="0.25">
      <c r="A4714" s="1">
        <v>45047</v>
      </c>
      <c r="B4714" t="s">
        <v>107</v>
      </c>
      <c r="C4714" t="s">
        <v>926</v>
      </c>
      <c r="D4714" s="2">
        <v>40834699.32</v>
      </c>
      <c r="E4714" s="2">
        <v>31171084.52</v>
      </c>
      <c r="F4714" s="2">
        <v>26782787.760000002</v>
      </c>
    </row>
    <row r="4715" spans="1:6" x14ac:dyDescent="0.25">
      <c r="A4715" s="1">
        <v>45047</v>
      </c>
      <c r="B4715" t="s">
        <v>40</v>
      </c>
      <c r="C4715" t="s">
        <v>888</v>
      </c>
      <c r="D4715" s="2">
        <v>8139661.1100000003</v>
      </c>
      <c r="E4715" s="2">
        <v>7023679.0499999998</v>
      </c>
      <c r="F4715" s="2">
        <v>6970075.5300000003</v>
      </c>
    </row>
    <row r="4716" spans="1:6" x14ac:dyDescent="0.25">
      <c r="A4716" s="1">
        <v>45047</v>
      </c>
      <c r="B4716" t="s">
        <v>25</v>
      </c>
      <c r="C4716" t="s">
        <v>319</v>
      </c>
      <c r="D4716" s="2">
        <v>585428.31999999995</v>
      </c>
      <c r="E4716" s="2">
        <v>540303.81000000006</v>
      </c>
      <c r="F4716" s="2">
        <v>1519141.69</v>
      </c>
    </row>
    <row r="4717" spans="1:6" x14ac:dyDescent="0.25">
      <c r="A4717" s="1">
        <v>45047</v>
      </c>
      <c r="B4717" t="s">
        <v>92</v>
      </c>
      <c r="C4717" t="s">
        <v>909</v>
      </c>
      <c r="D4717" s="2">
        <v>130762545.58</v>
      </c>
      <c r="E4717" s="2">
        <v>152285757.94999999</v>
      </c>
      <c r="F4717" s="2">
        <v>153373874.03</v>
      </c>
    </row>
    <row r="4718" spans="1:6" x14ac:dyDescent="0.25">
      <c r="A4718" s="1">
        <v>45047</v>
      </c>
      <c r="B4718" t="s">
        <v>107</v>
      </c>
      <c r="C4718" t="s">
        <v>897</v>
      </c>
      <c r="D4718" s="2">
        <v>581199774.78999996</v>
      </c>
      <c r="E4718" s="2">
        <v>340854095.99000001</v>
      </c>
      <c r="F4718" s="2">
        <v>330720264.74000001</v>
      </c>
    </row>
    <row r="4719" spans="1:6" x14ac:dyDescent="0.25">
      <c r="A4719" s="1">
        <v>45047</v>
      </c>
      <c r="B4719" t="s">
        <v>42</v>
      </c>
      <c r="C4719" t="s">
        <v>894</v>
      </c>
      <c r="D4719" s="2">
        <v>-72363756.680000007</v>
      </c>
      <c r="E4719" s="2">
        <v>91912422.450000003</v>
      </c>
      <c r="F4719" s="2">
        <v>75575668.530000001</v>
      </c>
    </row>
    <row r="4720" spans="1:6" x14ac:dyDescent="0.25">
      <c r="A4720" s="1">
        <v>45047</v>
      </c>
      <c r="B4720" t="s">
        <v>40</v>
      </c>
      <c r="C4720" t="s">
        <v>718</v>
      </c>
      <c r="D4720" s="2">
        <v>85166300.010000005</v>
      </c>
      <c r="E4720" s="2">
        <v>3370111.05</v>
      </c>
      <c r="F4720" s="2">
        <v>1512010.41</v>
      </c>
    </row>
    <row r="4721" spans="1:6" x14ac:dyDescent="0.25">
      <c r="A4721" s="1">
        <v>45047</v>
      </c>
      <c r="B4721" t="s">
        <v>75</v>
      </c>
      <c r="C4721" t="s">
        <v>76</v>
      </c>
      <c r="D4721" s="2">
        <v>3997215.23</v>
      </c>
      <c r="E4721">
        <v>0</v>
      </c>
      <c r="F4721">
        <v>0</v>
      </c>
    </row>
    <row r="4722" spans="1:6" x14ac:dyDescent="0.25">
      <c r="A4722" s="1">
        <v>45047</v>
      </c>
      <c r="B4722" t="s">
        <v>460</v>
      </c>
      <c r="C4722" t="s">
        <v>856</v>
      </c>
      <c r="D4722" s="2">
        <v>98662434.920000002</v>
      </c>
      <c r="E4722" s="2">
        <v>16732484.439999999</v>
      </c>
      <c r="F4722" s="2">
        <v>12624305.779999999</v>
      </c>
    </row>
    <row r="4723" spans="1:6" x14ac:dyDescent="0.25">
      <c r="A4723" s="1">
        <v>45047</v>
      </c>
      <c r="B4723" t="s">
        <v>9</v>
      </c>
      <c r="C4723" t="s">
        <v>636</v>
      </c>
      <c r="D4723">
        <v>0</v>
      </c>
      <c r="E4723">
        <v>0</v>
      </c>
      <c r="F4723">
        <v>0</v>
      </c>
    </row>
    <row r="4724" spans="1:6" x14ac:dyDescent="0.25">
      <c r="A4724" s="1">
        <v>45047</v>
      </c>
      <c r="B4724" t="s">
        <v>306</v>
      </c>
      <c r="C4724" t="s">
        <v>414</v>
      </c>
      <c r="D4724" s="2">
        <v>83988.4</v>
      </c>
      <c r="E4724" s="2">
        <v>392856.31</v>
      </c>
      <c r="F4724" s="2">
        <v>389970.92</v>
      </c>
    </row>
    <row r="4725" spans="1:6" x14ac:dyDescent="0.25">
      <c r="A4725" s="1">
        <v>45047</v>
      </c>
      <c r="B4725" t="s">
        <v>46</v>
      </c>
      <c r="C4725" t="s">
        <v>590</v>
      </c>
      <c r="D4725" s="2">
        <v>13500</v>
      </c>
      <c r="E4725" s="2">
        <v>64031.88</v>
      </c>
      <c r="F4725" s="2">
        <v>62268.72</v>
      </c>
    </row>
    <row r="4726" spans="1:6" x14ac:dyDescent="0.25">
      <c r="A4726" s="1">
        <v>45047</v>
      </c>
      <c r="B4726" t="s">
        <v>40</v>
      </c>
      <c r="C4726" t="s">
        <v>910</v>
      </c>
      <c r="D4726" s="2">
        <v>2351943203.1399999</v>
      </c>
      <c r="E4726" s="2">
        <v>7800120652.0900002</v>
      </c>
      <c r="F4726" s="2">
        <v>6772224356.3699999</v>
      </c>
    </row>
    <row r="4727" spans="1:6" x14ac:dyDescent="0.25">
      <c r="A4727" s="1">
        <v>45047</v>
      </c>
      <c r="B4727" t="s">
        <v>490</v>
      </c>
      <c r="C4727" t="s">
        <v>875</v>
      </c>
      <c r="D4727" s="2">
        <v>14035123.23</v>
      </c>
      <c r="E4727" s="2">
        <v>4159519.72</v>
      </c>
      <c r="F4727" s="2">
        <v>4029736.56</v>
      </c>
    </row>
    <row r="4728" spans="1:6" x14ac:dyDescent="0.25">
      <c r="A4728" s="1">
        <v>45047</v>
      </c>
      <c r="B4728" t="s">
        <v>216</v>
      </c>
      <c r="C4728" t="s">
        <v>563</v>
      </c>
      <c r="D4728" s="2">
        <v>115742338.48</v>
      </c>
      <c r="E4728" s="2">
        <v>48678627.25</v>
      </c>
      <c r="F4728" s="2">
        <v>41005933.210000001</v>
      </c>
    </row>
    <row r="4729" spans="1:6" x14ac:dyDescent="0.25">
      <c r="A4729" s="1">
        <v>45047</v>
      </c>
      <c r="B4729" t="s">
        <v>278</v>
      </c>
      <c r="C4729" t="s">
        <v>401</v>
      </c>
      <c r="D4729" s="2">
        <v>56988701.75</v>
      </c>
      <c r="E4729" s="2">
        <v>58013701.75</v>
      </c>
      <c r="F4729" s="2">
        <v>57443324.270000003</v>
      </c>
    </row>
    <row r="4730" spans="1:6" x14ac:dyDescent="0.25">
      <c r="A4730" s="1">
        <v>45047</v>
      </c>
      <c r="B4730" t="s">
        <v>619</v>
      </c>
      <c r="C4730" t="s">
        <v>848</v>
      </c>
      <c r="D4730" s="2">
        <v>800742.15</v>
      </c>
      <c r="E4730" s="2">
        <v>726757.95</v>
      </c>
      <c r="F4730" s="2">
        <v>905996.06</v>
      </c>
    </row>
    <row r="4731" spans="1:6" x14ac:dyDescent="0.25">
      <c r="A4731" s="1">
        <v>45047</v>
      </c>
      <c r="B4731" t="s">
        <v>23</v>
      </c>
      <c r="C4731" t="s">
        <v>56</v>
      </c>
      <c r="D4731" s="2">
        <v>32120545.210000001</v>
      </c>
      <c r="E4731" s="2">
        <v>6444716.8600000003</v>
      </c>
      <c r="F4731" s="2">
        <v>5004536.53</v>
      </c>
    </row>
    <row r="4732" spans="1:6" x14ac:dyDescent="0.25">
      <c r="A4732" s="1">
        <v>45047</v>
      </c>
      <c r="B4732" t="s">
        <v>107</v>
      </c>
      <c r="C4732" t="s">
        <v>197</v>
      </c>
      <c r="D4732" s="2">
        <v>51574655.880000003</v>
      </c>
      <c r="E4732" s="2">
        <v>15536599.91</v>
      </c>
      <c r="F4732" s="2">
        <v>23965451.510000002</v>
      </c>
    </row>
    <row r="4733" spans="1:6" x14ac:dyDescent="0.25">
      <c r="A4733" s="1">
        <v>45047</v>
      </c>
      <c r="B4733" t="s">
        <v>216</v>
      </c>
      <c r="C4733" t="s">
        <v>468</v>
      </c>
      <c r="D4733" s="2">
        <v>320503679.77999997</v>
      </c>
      <c r="E4733" s="2">
        <v>147947069.66999999</v>
      </c>
      <c r="F4733" s="2">
        <v>137777600.56999999</v>
      </c>
    </row>
    <row r="4734" spans="1:6" x14ac:dyDescent="0.25">
      <c r="A4734" s="1">
        <v>45047</v>
      </c>
      <c r="B4734" t="s">
        <v>37</v>
      </c>
      <c r="C4734" t="s">
        <v>1196</v>
      </c>
      <c r="D4734">
        <v>0</v>
      </c>
      <c r="E4734" s="2">
        <v>228822.34</v>
      </c>
      <c r="F4734" s="2">
        <v>228822.34</v>
      </c>
    </row>
    <row r="4735" spans="1:6" x14ac:dyDescent="0.25">
      <c r="A4735" s="1">
        <v>45047</v>
      </c>
      <c r="B4735" t="s">
        <v>48</v>
      </c>
      <c r="C4735" t="s">
        <v>472</v>
      </c>
      <c r="D4735" s="2">
        <v>9282003.6999999993</v>
      </c>
      <c r="E4735" s="2">
        <v>8677929.8800000008</v>
      </c>
      <c r="F4735" s="2">
        <v>7992664.0499999998</v>
      </c>
    </row>
    <row r="4736" spans="1:6" x14ac:dyDescent="0.25">
      <c r="A4736" s="1">
        <v>45047</v>
      </c>
      <c r="B4736" t="s">
        <v>23</v>
      </c>
      <c r="C4736" t="s">
        <v>916</v>
      </c>
      <c r="D4736" s="2">
        <v>25465588.670000002</v>
      </c>
      <c r="E4736" s="2">
        <v>33995915.770000003</v>
      </c>
      <c r="F4736" s="2">
        <v>35187360.43</v>
      </c>
    </row>
    <row r="4737" spans="1:6" x14ac:dyDescent="0.25">
      <c r="A4737" s="1">
        <v>45047</v>
      </c>
      <c r="B4737" t="s">
        <v>40</v>
      </c>
      <c r="C4737" t="s">
        <v>78</v>
      </c>
      <c r="D4737" s="2">
        <v>6544257.04</v>
      </c>
      <c r="E4737" s="2">
        <v>3631314</v>
      </c>
      <c r="F4737" s="2">
        <v>3013512.83</v>
      </c>
    </row>
    <row r="4738" spans="1:6" x14ac:dyDescent="0.25">
      <c r="A4738" s="1">
        <v>45047</v>
      </c>
      <c r="B4738" t="s">
        <v>40</v>
      </c>
      <c r="C4738" t="s">
        <v>836</v>
      </c>
      <c r="D4738" s="2">
        <v>4267893.9400000004</v>
      </c>
      <c r="E4738" s="2">
        <v>2182041.2599999998</v>
      </c>
      <c r="F4738" s="2">
        <v>1892798.01</v>
      </c>
    </row>
    <row r="4739" spans="1:6" x14ac:dyDescent="0.25">
      <c r="A4739" s="1">
        <v>45047</v>
      </c>
      <c r="B4739" t="s">
        <v>23</v>
      </c>
      <c r="C4739" t="s">
        <v>889</v>
      </c>
      <c r="D4739" s="2">
        <v>4936741.2699999996</v>
      </c>
      <c r="E4739" s="2">
        <v>3215660.38</v>
      </c>
      <c r="F4739" s="2">
        <v>3317538.16</v>
      </c>
    </row>
    <row r="4740" spans="1:6" x14ac:dyDescent="0.25">
      <c r="A4740" s="1">
        <v>45047</v>
      </c>
      <c r="B4740" t="s">
        <v>107</v>
      </c>
      <c r="C4740" t="s">
        <v>501</v>
      </c>
      <c r="D4740" s="2">
        <v>78766357.640000001</v>
      </c>
      <c r="E4740" s="2">
        <v>267750744.44</v>
      </c>
      <c r="F4740" s="2">
        <v>274782062.81</v>
      </c>
    </row>
    <row r="4741" spans="1:6" x14ac:dyDescent="0.25">
      <c r="A4741" s="1">
        <v>45047</v>
      </c>
      <c r="B4741" t="s">
        <v>23</v>
      </c>
      <c r="C4741" t="s">
        <v>901</v>
      </c>
      <c r="D4741" s="2">
        <v>11759694.460000001</v>
      </c>
      <c r="E4741" s="2">
        <v>3889539.07</v>
      </c>
      <c r="F4741" s="2">
        <v>3891408.19</v>
      </c>
    </row>
    <row r="4742" spans="1:6" x14ac:dyDescent="0.25">
      <c r="A4742" s="1">
        <v>45047</v>
      </c>
      <c r="B4742" t="s">
        <v>619</v>
      </c>
      <c r="C4742" t="s">
        <v>823</v>
      </c>
      <c r="D4742" s="2">
        <v>5387892.5899999999</v>
      </c>
      <c r="E4742" s="2">
        <v>617151.5</v>
      </c>
      <c r="F4742" s="2">
        <v>634036.38</v>
      </c>
    </row>
    <row r="4743" spans="1:6" x14ac:dyDescent="0.25">
      <c r="A4743" s="1">
        <v>45047</v>
      </c>
      <c r="B4743" t="s">
        <v>37</v>
      </c>
      <c r="C4743" t="s">
        <v>884</v>
      </c>
      <c r="D4743" s="2">
        <v>125099.32</v>
      </c>
      <c r="E4743" s="2">
        <v>309087.33</v>
      </c>
      <c r="F4743" s="2">
        <v>342722</v>
      </c>
    </row>
    <row r="4744" spans="1:6" x14ac:dyDescent="0.25">
      <c r="A4744" s="1">
        <v>45047</v>
      </c>
      <c r="B4744" t="s">
        <v>40</v>
      </c>
      <c r="C4744" t="s">
        <v>919</v>
      </c>
      <c r="D4744" s="2">
        <v>3224342940.1399999</v>
      </c>
      <c r="E4744" s="2">
        <v>6003415074.5600004</v>
      </c>
      <c r="F4744" s="2">
        <v>5370957794.9799995</v>
      </c>
    </row>
    <row r="4745" spans="1:6" x14ac:dyDescent="0.25">
      <c r="A4745" s="1">
        <v>45047</v>
      </c>
      <c r="B4745" t="s">
        <v>40</v>
      </c>
      <c r="C4745" t="s">
        <v>591</v>
      </c>
      <c r="D4745" s="2">
        <v>30296733.91</v>
      </c>
      <c r="E4745" s="2">
        <v>9781176.6799999997</v>
      </c>
      <c r="F4745" s="2">
        <v>9712863.4100000001</v>
      </c>
    </row>
    <row r="4746" spans="1:6" x14ac:dyDescent="0.25">
      <c r="A4746" s="1">
        <v>45047</v>
      </c>
      <c r="B4746" t="s">
        <v>23</v>
      </c>
      <c r="C4746" t="s">
        <v>864</v>
      </c>
      <c r="D4746" s="2">
        <v>3651441.09</v>
      </c>
      <c r="E4746" s="2">
        <v>1786528.52</v>
      </c>
      <c r="F4746" s="2">
        <v>1341027.52</v>
      </c>
    </row>
    <row r="4747" spans="1:6" x14ac:dyDescent="0.25">
      <c r="A4747" s="1">
        <v>45047</v>
      </c>
      <c r="B4747" t="s">
        <v>40</v>
      </c>
      <c r="C4747" t="s">
        <v>177</v>
      </c>
      <c r="D4747" s="2">
        <v>449955136.98000002</v>
      </c>
      <c r="E4747" s="2">
        <v>540307299.02999997</v>
      </c>
      <c r="F4747" s="2">
        <v>519319904.69999999</v>
      </c>
    </row>
    <row r="4748" spans="1:6" x14ac:dyDescent="0.25">
      <c r="A4748" s="1">
        <v>45047</v>
      </c>
      <c r="B4748" t="s">
        <v>40</v>
      </c>
      <c r="C4748" t="s">
        <v>95</v>
      </c>
      <c r="D4748" s="2">
        <v>1709840944.27</v>
      </c>
      <c r="E4748" s="2">
        <v>719949354.73000002</v>
      </c>
      <c r="F4748" s="2">
        <v>743717031.82000005</v>
      </c>
    </row>
    <row r="4749" spans="1:6" x14ac:dyDescent="0.25">
      <c r="A4749" s="1">
        <v>45047</v>
      </c>
      <c r="B4749" t="s">
        <v>105</v>
      </c>
      <c r="C4749" t="s">
        <v>336</v>
      </c>
      <c r="D4749" s="2">
        <v>9185236.3000000007</v>
      </c>
      <c r="E4749" s="2">
        <v>8059892.21</v>
      </c>
      <c r="F4749" s="2">
        <v>8025546.3899999997</v>
      </c>
    </row>
    <row r="4750" spans="1:6" x14ac:dyDescent="0.25">
      <c r="A4750" s="1">
        <v>45047</v>
      </c>
      <c r="B4750" t="s">
        <v>101</v>
      </c>
      <c r="C4750" t="s">
        <v>861</v>
      </c>
      <c r="D4750" s="2">
        <v>52121231.68</v>
      </c>
      <c r="E4750" s="2">
        <v>16559657.949999999</v>
      </c>
      <c r="F4750" s="2">
        <v>18134576.309999999</v>
      </c>
    </row>
    <row r="4751" spans="1:6" x14ac:dyDescent="0.25">
      <c r="A4751" s="1">
        <v>45047</v>
      </c>
      <c r="B4751" t="s">
        <v>40</v>
      </c>
      <c r="C4751" t="s">
        <v>924</v>
      </c>
      <c r="D4751" s="2">
        <v>425103415.19</v>
      </c>
      <c r="E4751" s="2">
        <v>771156680.63</v>
      </c>
      <c r="F4751" s="2">
        <v>703799610.08000004</v>
      </c>
    </row>
    <row r="4752" spans="1:6" x14ac:dyDescent="0.25">
      <c r="A4752" s="1">
        <v>45047</v>
      </c>
      <c r="B4752" t="s">
        <v>107</v>
      </c>
      <c r="C4752" t="s">
        <v>890</v>
      </c>
      <c r="D4752" s="2">
        <v>48271412.5</v>
      </c>
      <c r="E4752" s="2">
        <v>56344779.07</v>
      </c>
      <c r="F4752" s="2">
        <v>54191338.170000002</v>
      </c>
    </row>
    <row r="4753" spans="1:6" x14ac:dyDescent="0.25">
      <c r="A4753" s="1">
        <v>45047</v>
      </c>
      <c r="B4753" t="s">
        <v>162</v>
      </c>
      <c r="C4753" t="s">
        <v>322</v>
      </c>
      <c r="D4753" s="2">
        <v>4292039</v>
      </c>
      <c r="E4753" s="2">
        <v>9416561.1300000008</v>
      </c>
      <c r="F4753" s="2">
        <v>7334619.1299999999</v>
      </c>
    </row>
    <row r="4754" spans="1:6" x14ac:dyDescent="0.25">
      <c r="A4754" s="1">
        <v>45047</v>
      </c>
      <c r="B4754" t="s">
        <v>490</v>
      </c>
      <c r="C4754" t="s">
        <v>267</v>
      </c>
      <c r="D4754" s="2">
        <v>64685659.090000004</v>
      </c>
      <c r="E4754" s="2">
        <v>546382149.19000006</v>
      </c>
      <c r="F4754" s="2">
        <v>546240677.16999996</v>
      </c>
    </row>
    <row r="4755" spans="1:6" x14ac:dyDescent="0.25">
      <c r="A4755" s="1">
        <v>45047</v>
      </c>
      <c r="B4755" t="s">
        <v>44</v>
      </c>
      <c r="C4755" t="s">
        <v>684</v>
      </c>
      <c r="D4755" s="2">
        <v>1451904.95</v>
      </c>
      <c r="E4755" s="2">
        <v>441087.94</v>
      </c>
      <c r="F4755" s="2">
        <v>387429.43</v>
      </c>
    </row>
    <row r="4756" spans="1:6" x14ac:dyDescent="0.25">
      <c r="A4756" s="1">
        <v>45047</v>
      </c>
      <c r="B4756" t="s">
        <v>216</v>
      </c>
      <c r="C4756" t="s">
        <v>887</v>
      </c>
      <c r="D4756" s="2">
        <v>6417949.4100000001</v>
      </c>
      <c r="E4756" s="2">
        <v>2223742.7200000002</v>
      </c>
      <c r="F4756" s="2">
        <v>1853979.08</v>
      </c>
    </row>
    <row r="4757" spans="1:6" x14ac:dyDescent="0.25">
      <c r="A4757" s="1">
        <v>45047</v>
      </c>
      <c r="B4757" t="s">
        <v>40</v>
      </c>
      <c r="C4757" t="s">
        <v>749</v>
      </c>
      <c r="D4757" s="2">
        <v>586205357.67999995</v>
      </c>
      <c r="E4757" s="2">
        <v>1269522191.79</v>
      </c>
      <c r="F4757" s="2">
        <v>1272591420.6700001</v>
      </c>
    </row>
    <row r="4758" spans="1:6" x14ac:dyDescent="0.25">
      <c r="A4758" s="1">
        <v>45047</v>
      </c>
      <c r="B4758" t="s">
        <v>216</v>
      </c>
      <c r="C4758" t="s">
        <v>638</v>
      </c>
      <c r="D4758">
        <v>0</v>
      </c>
      <c r="E4758">
        <v>0</v>
      </c>
      <c r="F4758">
        <v>0</v>
      </c>
    </row>
    <row r="4759" spans="1:6" x14ac:dyDescent="0.25">
      <c r="A4759" s="1">
        <v>45047</v>
      </c>
      <c r="B4759" t="s">
        <v>31</v>
      </c>
      <c r="C4759" t="s">
        <v>82</v>
      </c>
      <c r="D4759" s="2">
        <v>-18295.12</v>
      </c>
      <c r="E4759">
        <v>0</v>
      </c>
      <c r="F4759">
        <v>0</v>
      </c>
    </row>
    <row r="4760" spans="1:6" x14ac:dyDescent="0.25">
      <c r="A4760" s="1">
        <v>45047</v>
      </c>
      <c r="B4760" t="s">
        <v>23</v>
      </c>
      <c r="C4760" t="s">
        <v>886</v>
      </c>
      <c r="D4760" s="2">
        <v>25498509.09</v>
      </c>
      <c r="E4760" s="2">
        <v>7381973.8799999999</v>
      </c>
      <c r="F4760" s="2">
        <v>7610259.5099999998</v>
      </c>
    </row>
    <row r="4761" spans="1:6" x14ac:dyDescent="0.25">
      <c r="A4761" s="1">
        <v>45047</v>
      </c>
      <c r="B4761" t="s">
        <v>23</v>
      </c>
      <c r="C4761" t="s">
        <v>915</v>
      </c>
      <c r="D4761" s="2">
        <v>154151062.41</v>
      </c>
      <c r="E4761" s="2">
        <v>70759042.299999997</v>
      </c>
      <c r="F4761" s="2">
        <v>46895595.030000001</v>
      </c>
    </row>
    <row r="4762" spans="1:6" x14ac:dyDescent="0.25">
      <c r="A4762" s="1">
        <v>45047</v>
      </c>
      <c r="B4762" t="s">
        <v>107</v>
      </c>
      <c r="C4762" t="s">
        <v>921</v>
      </c>
      <c r="D4762" s="2">
        <v>71715517.920000002</v>
      </c>
      <c r="E4762" s="2">
        <v>69590747.180000007</v>
      </c>
      <c r="F4762" s="2">
        <v>72536381.060000002</v>
      </c>
    </row>
    <row r="4763" spans="1:6" x14ac:dyDescent="0.25">
      <c r="A4763" s="1">
        <v>45078</v>
      </c>
      <c r="B4763" t="s">
        <v>118</v>
      </c>
      <c r="C4763" t="s">
        <v>1168</v>
      </c>
      <c r="D4763">
        <v>0</v>
      </c>
      <c r="E4763">
        <v>0</v>
      </c>
      <c r="F4763">
        <v>0</v>
      </c>
    </row>
    <row r="4764" spans="1:6" x14ac:dyDescent="0.25">
      <c r="A4764" s="1">
        <v>45078</v>
      </c>
      <c r="B4764" t="s">
        <v>50</v>
      </c>
      <c r="C4764" t="s">
        <v>1014</v>
      </c>
      <c r="D4764">
        <v>0</v>
      </c>
      <c r="E4764">
        <v>0</v>
      </c>
      <c r="F4764">
        <v>0</v>
      </c>
    </row>
    <row r="4765" spans="1:6" x14ac:dyDescent="0.25">
      <c r="A4765" s="1">
        <v>45078</v>
      </c>
      <c r="B4765" t="s">
        <v>68</v>
      </c>
      <c r="C4765" t="s">
        <v>69</v>
      </c>
      <c r="D4765">
        <v>0</v>
      </c>
      <c r="E4765">
        <v>0</v>
      </c>
      <c r="F4765">
        <v>0</v>
      </c>
    </row>
    <row r="4766" spans="1:6" x14ac:dyDescent="0.25">
      <c r="A4766" s="1">
        <v>45078</v>
      </c>
      <c r="B4766" t="s">
        <v>68</v>
      </c>
      <c r="C4766" t="s">
        <v>339</v>
      </c>
      <c r="D4766" s="2">
        <v>822837.19</v>
      </c>
      <c r="E4766" s="2">
        <v>1045546.04</v>
      </c>
      <c r="F4766" s="2">
        <v>977214.21</v>
      </c>
    </row>
    <row r="4767" spans="1:6" x14ac:dyDescent="0.25">
      <c r="A4767" s="1">
        <v>45078</v>
      </c>
      <c r="B4767" t="s">
        <v>929</v>
      </c>
      <c r="C4767" t="s">
        <v>1014</v>
      </c>
      <c r="D4767">
        <v>0</v>
      </c>
      <c r="E4767">
        <v>0</v>
      </c>
      <c r="F4767">
        <v>0</v>
      </c>
    </row>
    <row r="4768" spans="1:6" x14ac:dyDescent="0.25">
      <c r="A4768" s="1">
        <v>45078</v>
      </c>
      <c r="B4768" t="s">
        <v>9</v>
      </c>
      <c r="C4768" t="s">
        <v>1151</v>
      </c>
      <c r="D4768" s="2">
        <v>49533938</v>
      </c>
      <c r="E4768" s="2">
        <v>37740302</v>
      </c>
      <c r="F4768">
        <v>0</v>
      </c>
    </row>
    <row r="4769" spans="1:6" x14ac:dyDescent="0.25">
      <c r="A4769" s="1">
        <v>45078</v>
      </c>
      <c r="B4769" t="s">
        <v>118</v>
      </c>
      <c r="C4769" t="s">
        <v>374</v>
      </c>
      <c r="D4769" s="2">
        <v>1000000</v>
      </c>
      <c r="E4769">
        <v>0</v>
      </c>
      <c r="F4769">
        <v>0</v>
      </c>
    </row>
    <row r="4770" spans="1:6" x14ac:dyDescent="0.25">
      <c r="A4770" s="1">
        <v>45078</v>
      </c>
      <c r="B4770" t="s">
        <v>11</v>
      </c>
      <c r="C4770" t="s">
        <v>321</v>
      </c>
      <c r="D4770">
        <v>0</v>
      </c>
      <c r="E4770" s="2">
        <v>1438511064.1400001</v>
      </c>
      <c r="F4770" s="2">
        <v>1438511064.1400001</v>
      </c>
    </row>
    <row r="4771" spans="1:6" x14ac:dyDescent="0.25">
      <c r="A4771" s="1">
        <v>45078</v>
      </c>
      <c r="B4771" t="s">
        <v>21</v>
      </c>
      <c r="C4771" t="s">
        <v>1027</v>
      </c>
      <c r="D4771" s="2">
        <v>3101503</v>
      </c>
      <c r="E4771">
        <v>0</v>
      </c>
      <c r="F4771">
        <v>0</v>
      </c>
    </row>
    <row r="4772" spans="1:6" x14ac:dyDescent="0.25">
      <c r="A4772" s="1">
        <v>45078</v>
      </c>
      <c r="B4772" t="s">
        <v>726</v>
      </c>
      <c r="C4772" t="s">
        <v>961</v>
      </c>
      <c r="D4772">
        <v>0</v>
      </c>
      <c r="E4772" s="2">
        <v>1404.52</v>
      </c>
      <c r="F4772" s="2">
        <v>1896.91</v>
      </c>
    </row>
    <row r="4773" spans="1:6" x14ac:dyDescent="0.25">
      <c r="A4773" s="1">
        <v>45078</v>
      </c>
      <c r="B4773" t="s">
        <v>213</v>
      </c>
      <c r="C4773" t="s">
        <v>565</v>
      </c>
      <c r="D4773" s="2">
        <v>78589387.150000006</v>
      </c>
      <c r="E4773">
        <v>0</v>
      </c>
      <c r="F4773">
        <v>0</v>
      </c>
    </row>
    <row r="4774" spans="1:6" x14ac:dyDescent="0.25">
      <c r="A4774" s="1">
        <v>45078</v>
      </c>
      <c r="B4774" t="s">
        <v>282</v>
      </c>
      <c r="C4774" t="s">
        <v>571</v>
      </c>
      <c r="D4774">
        <v>0</v>
      </c>
      <c r="E4774" s="2">
        <v>749928.36</v>
      </c>
      <c r="F4774" s="2">
        <v>749928.36</v>
      </c>
    </row>
    <row r="4775" spans="1:6" x14ac:dyDescent="0.25">
      <c r="A4775" s="1">
        <v>45078</v>
      </c>
      <c r="B4775" t="s">
        <v>90</v>
      </c>
      <c r="C4775" t="s">
        <v>244</v>
      </c>
      <c r="D4775">
        <v>0</v>
      </c>
      <c r="E4775">
        <v>0</v>
      </c>
      <c r="F4775">
        <v>0</v>
      </c>
    </row>
    <row r="4776" spans="1:6" x14ac:dyDescent="0.25">
      <c r="A4776" s="1">
        <v>45078</v>
      </c>
      <c r="B4776" t="s">
        <v>98</v>
      </c>
      <c r="C4776" t="s">
        <v>589</v>
      </c>
      <c r="D4776">
        <v>0</v>
      </c>
      <c r="E4776">
        <v>0</v>
      </c>
      <c r="F4776">
        <v>0</v>
      </c>
    </row>
    <row r="4777" spans="1:6" x14ac:dyDescent="0.25">
      <c r="A4777" s="1">
        <v>45078</v>
      </c>
      <c r="B4777" t="s">
        <v>225</v>
      </c>
      <c r="C4777" t="s">
        <v>314</v>
      </c>
      <c r="D4777">
        <v>0</v>
      </c>
      <c r="E4777">
        <v>0</v>
      </c>
      <c r="F4777">
        <v>0</v>
      </c>
    </row>
    <row r="4778" spans="1:6" x14ac:dyDescent="0.25">
      <c r="A4778" s="1">
        <v>45078</v>
      </c>
      <c r="B4778" t="s">
        <v>48</v>
      </c>
      <c r="C4778" t="s">
        <v>1254</v>
      </c>
      <c r="D4778" s="2">
        <v>1367990</v>
      </c>
      <c r="E4778">
        <v>0</v>
      </c>
      <c r="F4778">
        <v>0</v>
      </c>
    </row>
    <row r="4779" spans="1:6" x14ac:dyDescent="0.25">
      <c r="A4779" s="1">
        <v>45078</v>
      </c>
      <c r="B4779" t="s">
        <v>402</v>
      </c>
      <c r="C4779" t="s">
        <v>1096</v>
      </c>
      <c r="D4779">
        <v>0</v>
      </c>
      <c r="E4779">
        <v>0</v>
      </c>
      <c r="F4779">
        <v>0</v>
      </c>
    </row>
    <row r="4780" spans="1:6" x14ac:dyDescent="0.25">
      <c r="A4780" s="1">
        <v>45078</v>
      </c>
      <c r="B4780" t="s">
        <v>405</v>
      </c>
      <c r="C4780" t="s">
        <v>1258</v>
      </c>
      <c r="D4780" s="2">
        <v>515000000</v>
      </c>
      <c r="E4780">
        <v>0</v>
      </c>
      <c r="F4780">
        <v>0</v>
      </c>
    </row>
    <row r="4781" spans="1:6" x14ac:dyDescent="0.25">
      <c r="A4781" s="1">
        <v>45078</v>
      </c>
      <c r="B4781" t="s">
        <v>185</v>
      </c>
      <c r="C4781" t="s">
        <v>863</v>
      </c>
      <c r="D4781" s="2">
        <v>28821644.600000001</v>
      </c>
      <c r="E4781" s="2">
        <v>61221789.600000001</v>
      </c>
      <c r="F4781" s="2">
        <v>62108876.350000001</v>
      </c>
    </row>
    <row r="4782" spans="1:6" x14ac:dyDescent="0.25">
      <c r="A4782" s="1">
        <v>45078</v>
      </c>
      <c r="B4782" t="s">
        <v>21</v>
      </c>
      <c r="C4782" t="s">
        <v>958</v>
      </c>
      <c r="D4782">
        <v>0</v>
      </c>
      <c r="E4782">
        <v>0</v>
      </c>
      <c r="F4782" s="2">
        <v>13590.85</v>
      </c>
    </row>
    <row r="4783" spans="1:6" x14ac:dyDescent="0.25">
      <c r="A4783" s="1">
        <v>45078</v>
      </c>
      <c r="B4783" t="s">
        <v>50</v>
      </c>
      <c r="C4783" t="s">
        <v>243</v>
      </c>
      <c r="D4783" s="2">
        <v>50000</v>
      </c>
      <c r="E4783" s="2">
        <v>4181356.94</v>
      </c>
      <c r="F4783" s="2">
        <v>3635274.58</v>
      </c>
    </row>
    <row r="4784" spans="1:6" x14ac:dyDescent="0.25">
      <c r="A4784" s="1">
        <v>45078</v>
      </c>
      <c r="B4784" t="s">
        <v>992</v>
      </c>
      <c r="C4784" t="s">
        <v>1180</v>
      </c>
      <c r="D4784">
        <v>0</v>
      </c>
      <c r="E4784">
        <v>0</v>
      </c>
      <c r="F4784">
        <v>0</v>
      </c>
    </row>
    <row r="4785" spans="1:6" x14ac:dyDescent="0.25">
      <c r="A4785" s="1">
        <v>45078</v>
      </c>
      <c r="B4785" t="s">
        <v>282</v>
      </c>
      <c r="C4785" t="s">
        <v>1174</v>
      </c>
      <c r="D4785" s="2">
        <v>54792.13</v>
      </c>
      <c r="E4785" s="2">
        <v>51157407.390000001</v>
      </c>
      <c r="F4785" s="2">
        <v>51157407.390000001</v>
      </c>
    </row>
    <row r="4786" spans="1:6" x14ac:dyDescent="0.25">
      <c r="A4786" s="1">
        <v>45078</v>
      </c>
      <c r="B4786" t="s">
        <v>309</v>
      </c>
      <c r="C4786" t="s">
        <v>1259</v>
      </c>
      <c r="D4786">
        <v>0</v>
      </c>
      <c r="E4786">
        <v>0</v>
      </c>
      <c r="F4786">
        <v>0</v>
      </c>
    </row>
    <row r="4787" spans="1:6" x14ac:dyDescent="0.25">
      <c r="A4787" s="1">
        <v>45078</v>
      </c>
      <c r="B4787" t="s">
        <v>98</v>
      </c>
      <c r="C4787" t="s">
        <v>1000</v>
      </c>
      <c r="D4787">
        <v>0</v>
      </c>
      <c r="E4787">
        <v>0</v>
      </c>
      <c r="F4787">
        <v>0</v>
      </c>
    </row>
    <row r="4788" spans="1:6" x14ac:dyDescent="0.25">
      <c r="A4788" s="1">
        <v>45078</v>
      </c>
      <c r="B4788" t="s">
        <v>46</v>
      </c>
      <c r="C4788" t="s">
        <v>241</v>
      </c>
      <c r="D4788" s="2">
        <v>3381089.36</v>
      </c>
      <c r="E4788" s="2">
        <v>6060621.6699999999</v>
      </c>
      <c r="F4788" s="2">
        <v>4413659.59</v>
      </c>
    </row>
    <row r="4789" spans="1:6" x14ac:dyDescent="0.25">
      <c r="A4789" s="1">
        <v>45078</v>
      </c>
      <c r="B4789" t="s">
        <v>90</v>
      </c>
      <c r="C4789" t="s">
        <v>91</v>
      </c>
      <c r="D4789" s="2">
        <v>345915</v>
      </c>
      <c r="E4789">
        <v>0</v>
      </c>
      <c r="F4789">
        <v>0</v>
      </c>
    </row>
    <row r="4790" spans="1:6" x14ac:dyDescent="0.25">
      <c r="A4790" s="1">
        <v>45078</v>
      </c>
      <c r="B4790" t="s">
        <v>21</v>
      </c>
      <c r="C4790" t="s">
        <v>634</v>
      </c>
      <c r="D4790">
        <v>0</v>
      </c>
      <c r="E4790" s="2">
        <v>10181.92</v>
      </c>
      <c r="F4790" s="2">
        <v>10181.92</v>
      </c>
    </row>
    <row r="4791" spans="1:6" x14ac:dyDescent="0.25">
      <c r="A4791" s="1">
        <v>45078</v>
      </c>
      <c r="B4791" t="s">
        <v>107</v>
      </c>
      <c r="C4791" t="s">
        <v>239</v>
      </c>
      <c r="D4791">
        <v>0</v>
      </c>
      <c r="E4791" s="2">
        <v>13089395.359999999</v>
      </c>
      <c r="F4791" s="2">
        <v>13089395.359999999</v>
      </c>
    </row>
    <row r="4792" spans="1:6" x14ac:dyDescent="0.25">
      <c r="A4792" s="1">
        <v>45078</v>
      </c>
      <c r="B4792" t="s">
        <v>21</v>
      </c>
      <c r="C4792" t="s">
        <v>211</v>
      </c>
      <c r="D4792">
        <v>0</v>
      </c>
      <c r="E4792">
        <v>0</v>
      </c>
      <c r="F4792">
        <v>0</v>
      </c>
    </row>
    <row r="4793" spans="1:6" x14ac:dyDescent="0.25">
      <c r="A4793" s="1">
        <v>45078</v>
      </c>
      <c r="B4793" t="s">
        <v>1158</v>
      </c>
      <c r="C4793" t="s">
        <v>1159</v>
      </c>
      <c r="D4793" s="2">
        <v>-5206000</v>
      </c>
      <c r="E4793">
        <v>0</v>
      </c>
      <c r="F4793">
        <v>0</v>
      </c>
    </row>
    <row r="4794" spans="1:6" x14ac:dyDescent="0.25">
      <c r="A4794" s="1">
        <v>45078</v>
      </c>
      <c r="B4794" t="s">
        <v>42</v>
      </c>
      <c r="C4794" t="s">
        <v>400</v>
      </c>
      <c r="D4794" s="2">
        <v>1460202719</v>
      </c>
      <c r="E4794" s="2">
        <v>960931840</v>
      </c>
      <c r="F4794" s="2">
        <v>960931840</v>
      </c>
    </row>
    <row r="4795" spans="1:6" x14ac:dyDescent="0.25">
      <c r="A4795" s="1">
        <v>45078</v>
      </c>
      <c r="B4795" t="s">
        <v>37</v>
      </c>
      <c r="C4795" t="s">
        <v>734</v>
      </c>
      <c r="D4795">
        <v>0</v>
      </c>
      <c r="E4795">
        <v>0</v>
      </c>
      <c r="F4795">
        <v>0</v>
      </c>
    </row>
    <row r="4796" spans="1:6" x14ac:dyDescent="0.25">
      <c r="A4796" s="1">
        <v>45078</v>
      </c>
      <c r="B4796" t="s">
        <v>21</v>
      </c>
      <c r="C4796" t="s">
        <v>22</v>
      </c>
      <c r="D4796">
        <v>0</v>
      </c>
      <c r="E4796">
        <v>0</v>
      </c>
      <c r="F4796">
        <v>0</v>
      </c>
    </row>
    <row r="4797" spans="1:6" x14ac:dyDescent="0.25">
      <c r="A4797" s="1">
        <v>45078</v>
      </c>
      <c r="B4797" t="s">
        <v>17</v>
      </c>
      <c r="C4797" t="s">
        <v>303</v>
      </c>
      <c r="D4797" s="2">
        <v>34487344.509999998</v>
      </c>
      <c r="E4797" s="2">
        <v>11883242.210000001</v>
      </c>
      <c r="F4797" s="2">
        <v>11865959.880000001</v>
      </c>
    </row>
    <row r="4798" spans="1:6" x14ac:dyDescent="0.25">
      <c r="A4798" s="1">
        <v>45078</v>
      </c>
      <c r="B4798" t="s">
        <v>105</v>
      </c>
      <c r="C4798" t="s">
        <v>1260</v>
      </c>
      <c r="D4798">
        <v>0</v>
      </c>
      <c r="E4798">
        <v>0</v>
      </c>
      <c r="F4798">
        <v>0</v>
      </c>
    </row>
    <row r="4799" spans="1:6" x14ac:dyDescent="0.25">
      <c r="A4799" s="1">
        <v>45078</v>
      </c>
      <c r="B4799" t="s">
        <v>11</v>
      </c>
      <c r="C4799" t="s">
        <v>484</v>
      </c>
      <c r="D4799">
        <v>0</v>
      </c>
      <c r="E4799" s="2">
        <v>3999395.2</v>
      </c>
      <c r="F4799" s="2">
        <v>3999395.2</v>
      </c>
    </row>
    <row r="4800" spans="1:6" x14ac:dyDescent="0.25">
      <c r="A4800" s="1">
        <v>45078</v>
      </c>
      <c r="B4800" t="s">
        <v>90</v>
      </c>
      <c r="C4800" t="s">
        <v>73</v>
      </c>
      <c r="D4800">
        <v>0</v>
      </c>
      <c r="E4800">
        <v>0</v>
      </c>
      <c r="F4800" s="2">
        <v>37602.03</v>
      </c>
    </row>
    <row r="4801" spans="1:6" x14ac:dyDescent="0.25">
      <c r="A4801" s="1">
        <v>45078</v>
      </c>
      <c r="B4801" t="s">
        <v>21</v>
      </c>
      <c r="C4801" t="s">
        <v>202</v>
      </c>
      <c r="D4801">
        <v>0</v>
      </c>
      <c r="E4801">
        <v>0</v>
      </c>
      <c r="F4801">
        <v>0</v>
      </c>
    </row>
    <row r="4802" spans="1:6" x14ac:dyDescent="0.25">
      <c r="A4802" s="1">
        <v>45078</v>
      </c>
      <c r="B4802" t="s">
        <v>661</v>
      </c>
      <c r="C4802" t="s">
        <v>95</v>
      </c>
      <c r="D4802">
        <v>0</v>
      </c>
      <c r="E4802">
        <v>0</v>
      </c>
      <c r="F4802">
        <v>0</v>
      </c>
    </row>
    <row r="4803" spans="1:6" x14ac:dyDescent="0.25">
      <c r="A4803" s="1">
        <v>45078</v>
      </c>
      <c r="B4803" t="s">
        <v>296</v>
      </c>
      <c r="C4803" t="s">
        <v>1024</v>
      </c>
      <c r="D4803" s="2">
        <v>53121745.450000003</v>
      </c>
      <c r="E4803" s="2">
        <v>78852472.310000002</v>
      </c>
      <c r="F4803" s="2">
        <v>78852472.310000002</v>
      </c>
    </row>
    <row r="4804" spans="1:6" x14ac:dyDescent="0.25">
      <c r="A4804" s="1">
        <v>45078</v>
      </c>
      <c r="B4804" t="s">
        <v>1261</v>
      </c>
      <c r="C4804" t="s">
        <v>1262</v>
      </c>
      <c r="D4804">
        <v>0</v>
      </c>
      <c r="E4804">
        <v>0</v>
      </c>
      <c r="F4804">
        <v>0</v>
      </c>
    </row>
    <row r="4805" spans="1:6" x14ac:dyDescent="0.25">
      <c r="A4805" s="1">
        <v>45078</v>
      </c>
      <c r="B4805" t="s">
        <v>398</v>
      </c>
      <c r="C4805" t="s">
        <v>564</v>
      </c>
      <c r="D4805">
        <v>0</v>
      </c>
      <c r="E4805">
        <v>0</v>
      </c>
      <c r="F4805">
        <v>0</v>
      </c>
    </row>
    <row r="4806" spans="1:6" x14ac:dyDescent="0.25">
      <c r="A4806" s="1">
        <v>45078</v>
      </c>
      <c r="B4806" t="s">
        <v>37</v>
      </c>
      <c r="C4806" t="s">
        <v>387</v>
      </c>
      <c r="D4806" s="2">
        <v>50331182.729999997</v>
      </c>
      <c r="E4806" s="2">
        <v>55759675.759999998</v>
      </c>
      <c r="F4806" s="2">
        <v>6050737.5099999998</v>
      </c>
    </row>
    <row r="4807" spans="1:6" x14ac:dyDescent="0.25">
      <c r="A4807" s="1">
        <v>45078</v>
      </c>
      <c r="B4807" t="s">
        <v>355</v>
      </c>
      <c r="C4807" t="s">
        <v>356</v>
      </c>
      <c r="D4807">
        <v>0</v>
      </c>
      <c r="E4807" s="2">
        <v>1797180.33</v>
      </c>
      <c r="F4807" s="2">
        <v>1766315.08</v>
      </c>
    </row>
    <row r="4808" spans="1:6" x14ac:dyDescent="0.25">
      <c r="A4808" s="1">
        <v>45078</v>
      </c>
      <c r="B4808" t="s">
        <v>21</v>
      </c>
      <c r="C4808" t="s">
        <v>1246</v>
      </c>
      <c r="D4808">
        <v>0</v>
      </c>
      <c r="E4808">
        <v>0</v>
      </c>
      <c r="F4808">
        <v>0</v>
      </c>
    </row>
    <row r="4809" spans="1:6" x14ac:dyDescent="0.25">
      <c r="A4809" s="1">
        <v>45078</v>
      </c>
      <c r="B4809" t="s">
        <v>19</v>
      </c>
      <c r="C4809" t="s">
        <v>699</v>
      </c>
      <c r="D4809" s="2">
        <v>7768562.4500000002</v>
      </c>
      <c r="E4809" s="2">
        <v>1223085.6200000001</v>
      </c>
      <c r="F4809" s="2">
        <v>1221474.82</v>
      </c>
    </row>
    <row r="4810" spans="1:6" x14ac:dyDescent="0.25">
      <c r="A4810" s="1">
        <v>45078</v>
      </c>
      <c r="B4810" t="s">
        <v>96</v>
      </c>
      <c r="C4810" t="s">
        <v>243</v>
      </c>
      <c r="D4810">
        <v>0</v>
      </c>
      <c r="E4810">
        <v>0</v>
      </c>
      <c r="F4810">
        <v>0</v>
      </c>
    </row>
    <row r="4811" spans="1:6" x14ac:dyDescent="0.25">
      <c r="A4811" s="1">
        <v>45078</v>
      </c>
      <c r="B4811" t="s">
        <v>19</v>
      </c>
      <c r="C4811" t="s">
        <v>328</v>
      </c>
      <c r="D4811" s="2">
        <v>-390165.04</v>
      </c>
      <c r="E4811" s="2">
        <v>3299865.52</v>
      </c>
      <c r="F4811" s="2">
        <v>2709831.85</v>
      </c>
    </row>
    <row r="4812" spans="1:6" x14ac:dyDescent="0.25">
      <c r="A4812" s="1">
        <v>45078</v>
      </c>
      <c r="B4812" t="s">
        <v>1263</v>
      </c>
      <c r="C4812" t="s">
        <v>91</v>
      </c>
      <c r="D4812">
        <v>0</v>
      </c>
      <c r="E4812">
        <v>0</v>
      </c>
      <c r="F4812">
        <v>0</v>
      </c>
    </row>
    <row r="4813" spans="1:6" x14ac:dyDescent="0.25">
      <c r="A4813" s="1">
        <v>45078</v>
      </c>
      <c r="B4813" t="s">
        <v>15</v>
      </c>
      <c r="C4813" t="s">
        <v>1043</v>
      </c>
      <c r="D4813">
        <v>0</v>
      </c>
      <c r="E4813" s="2">
        <v>1269290.5</v>
      </c>
      <c r="F4813">
        <v>0</v>
      </c>
    </row>
    <row r="4814" spans="1:6" x14ac:dyDescent="0.25">
      <c r="A4814" s="1">
        <v>45078</v>
      </c>
      <c r="B4814" t="s">
        <v>40</v>
      </c>
      <c r="C4814" t="s">
        <v>859</v>
      </c>
      <c r="D4814">
        <v>0</v>
      </c>
      <c r="E4814">
        <v>0</v>
      </c>
      <c r="F4814">
        <v>0</v>
      </c>
    </row>
    <row r="4815" spans="1:6" x14ac:dyDescent="0.25">
      <c r="A4815" s="1">
        <v>45078</v>
      </c>
      <c r="B4815" t="s">
        <v>21</v>
      </c>
      <c r="C4815" t="s">
        <v>353</v>
      </c>
      <c r="D4815">
        <v>0</v>
      </c>
      <c r="E4815">
        <v>0</v>
      </c>
      <c r="F4815">
        <v>0</v>
      </c>
    </row>
    <row r="4816" spans="1:6" x14ac:dyDescent="0.25">
      <c r="A4816" s="1">
        <v>45078</v>
      </c>
      <c r="B4816" t="s">
        <v>407</v>
      </c>
      <c r="C4816" t="s">
        <v>1029</v>
      </c>
      <c r="D4816" s="2">
        <v>400000</v>
      </c>
      <c r="E4816">
        <v>0</v>
      </c>
      <c r="F4816">
        <v>0</v>
      </c>
    </row>
    <row r="4817" spans="1:6" x14ac:dyDescent="0.25">
      <c r="A4817" s="1">
        <v>45078</v>
      </c>
      <c r="B4817" t="s">
        <v>992</v>
      </c>
      <c r="C4817" t="s">
        <v>999</v>
      </c>
      <c r="D4817">
        <v>0</v>
      </c>
      <c r="E4817">
        <v>0</v>
      </c>
      <c r="F4817">
        <v>0</v>
      </c>
    </row>
    <row r="4818" spans="1:6" x14ac:dyDescent="0.25">
      <c r="A4818" s="1">
        <v>45078</v>
      </c>
      <c r="B4818" t="s">
        <v>92</v>
      </c>
      <c r="C4818" t="s">
        <v>381</v>
      </c>
      <c r="D4818" s="2">
        <v>233163.9</v>
      </c>
      <c r="E4818" s="2">
        <v>514553.84</v>
      </c>
      <c r="F4818" s="2">
        <v>547091.26</v>
      </c>
    </row>
    <row r="4819" spans="1:6" x14ac:dyDescent="0.25">
      <c r="A4819" s="1">
        <v>45078</v>
      </c>
      <c r="B4819" t="s">
        <v>422</v>
      </c>
      <c r="C4819" t="s">
        <v>423</v>
      </c>
      <c r="D4819">
        <v>0</v>
      </c>
      <c r="E4819">
        <v>0</v>
      </c>
      <c r="F4819">
        <v>0</v>
      </c>
    </row>
    <row r="4820" spans="1:6" x14ac:dyDescent="0.25">
      <c r="A4820" s="1">
        <v>45078</v>
      </c>
      <c r="B4820" t="s">
        <v>21</v>
      </c>
      <c r="C4820" t="s">
        <v>1102</v>
      </c>
      <c r="D4820">
        <v>0</v>
      </c>
      <c r="E4820">
        <v>0</v>
      </c>
      <c r="F4820">
        <v>0</v>
      </c>
    </row>
    <row r="4821" spans="1:6" x14ac:dyDescent="0.25">
      <c r="A4821" s="1">
        <v>45078</v>
      </c>
      <c r="B4821" t="s">
        <v>96</v>
      </c>
      <c r="C4821" t="s">
        <v>425</v>
      </c>
      <c r="D4821">
        <v>0</v>
      </c>
      <c r="E4821">
        <v>0</v>
      </c>
      <c r="F4821">
        <v>0</v>
      </c>
    </row>
    <row r="4822" spans="1:6" x14ac:dyDescent="0.25">
      <c r="A4822" s="1">
        <v>45078</v>
      </c>
      <c r="B4822" t="s">
        <v>103</v>
      </c>
      <c r="C4822" t="s">
        <v>233</v>
      </c>
      <c r="D4822">
        <v>0</v>
      </c>
      <c r="E4822" s="2">
        <v>50820467.439999998</v>
      </c>
      <c r="F4822" s="2">
        <v>50820467.439999998</v>
      </c>
    </row>
    <row r="4823" spans="1:6" x14ac:dyDescent="0.25">
      <c r="A4823" s="1">
        <v>45078</v>
      </c>
      <c r="B4823" t="s">
        <v>21</v>
      </c>
      <c r="C4823" t="s">
        <v>1264</v>
      </c>
      <c r="D4823" s="2">
        <v>6662672</v>
      </c>
      <c r="E4823">
        <v>0</v>
      </c>
      <c r="F4823">
        <v>0</v>
      </c>
    </row>
    <row r="4824" spans="1:6" x14ac:dyDescent="0.25">
      <c r="A4824" s="1">
        <v>45078</v>
      </c>
      <c r="B4824" t="s">
        <v>118</v>
      </c>
      <c r="C4824" t="s">
        <v>1097</v>
      </c>
      <c r="D4824">
        <v>0</v>
      </c>
      <c r="E4824">
        <v>0</v>
      </c>
      <c r="F4824">
        <v>0</v>
      </c>
    </row>
    <row r="4825" spans="1:6" x14ac:dyDescent="0.25">
      <c r="A4825" s="1">
        <v>45078</v>
      </c>
      <c r="B4825" t="s">
        <v>48</v>
      </c>
      <c r="C4825" t="s">
        <v>1265</v>
      </c>
      <c r="D4825">
        <v>0</v>
      </c>
      <c r="E4825">
        <v>0</v>
      </c>
      <c r="F4825">
        <v>0</v>
      </c>
    </row>
    <row r="4826" spans="1:6" x14ac:dyDescent="0.25">
      <c r="A4826" s="1">
        <v>45078</v>
      </c>
      <c r="B4826" t="s">
        <v>21</v>
      </c>
      <c r="C4826" t="s">
        <v>1049</v>
      </c>
      <c r="D4826" s="2">
        <v>5300000</v>
      </c>
      <c r="E4826">
        <v>0</v>
      </c>
      <c r="F4826">
        <v>0</v>
      </c>
    </row>
    <row r="4827" spans="1:6" x14ac:dyDescent="0.25">
      <c r="A4827" s="1">
        <v>45078</v>
      </c>
      <c r="B4827" t="s">
        <v>402</v>
      </c>
      <c r="C4827" t="s">
        <v>1266</v>
      </c>
      <c r="D4827">
        <v>0</v>
      </c>
      <c r="E4827">
        <v>0</v>
      </c>
      <c r="F4827">
        <v>0</v>
      </c>
    </row>
    <row r="4828" spans="1:6" x14ac:dyDescent="0.25">
      <c r="A4828" s="1">
        <v>45078</v>
      </c>
      <c r="B4828" t="s">
        <v>648</v>
      </c>
      <c r="C4828" t="s">
        <v>1219</v>
      </c>
      <c r="D4828" s="2">
        <v>229256860.27000001</v>
      </c>
      <c r="E4828" s="2">
        <v>1659650.7</v>
      </c>
      <c r="F4828" s="2">
        <v>1659650.7</v>
      </c>
    </row>
    <row r="4829" spans="1:6" x14ac:dyDescent="0.25">
      <c r="A4829" s="1">
        <v>45078</v>
      </c>
      <c r="B4829" t="s">
        <v>63</v>
      </c>
      <c r="C4829" t="s">
        <v>1267</v>
      </c>
      <c r="D4829" s="2">
        <v>10872990.220000001</v>
      </c>
      <c r="E4829">
        <v>0</v>
      </c>
      <c r="F4829">
        <v>0</v>
      </c>
    </row>
    <row r="4830" spans="1:6" x14ac:dyDescent="0.25">
      <c r="A4830" s="1">
        <v>45078</v>
      </c>
      <c r="B4830" t="s">
        <v>40</v>
      </c>
      <c r="C4830" t="s">
        <v>1083</v>
      </c>
      <c r="D4830" s="2">
        <v>-2391601.31</v>
      </c>
      <c r="E4830" s="2">
        <v>-2391601.31</v>
      </c>
      <c r="F4830" s="2">
        <v>-2391601.31</v>
      </c>
    </row>
    <row r="4831" spans="1:6" x14ac:dyDescent="0.25">
      <c r="A4831" s="1">
        <v>45078</v>
      </c>
      <c r="B4831" t="s">
        <v>154</v>
      </c>
      <c r="C4831" t="s">
        <v>161</v>
      </c>
      <c r="D4831" s="2">
        <v>290751.96999999997</v>
      </c>
      <c r="E4831" s="2">
        <v>460010.51</v>
      </c>
      <c r="F4831" s="2">
        <v>365889.39</v>
      </c>
    </row>
    <row r="4832" spans="1:6" x14ac:dyDescent="0.25">
      <c r="A4832" s="1">
        <v>45078</v>
      </c>
      <c r="B4832" t="s">
        <v>21</v>
      </c>
      <c r="C4832" t="s">
        <v>122</v>
      </c>
      <c r="D4832">
        <v>0</v>
      </c>
      <c r="E4832">
        <v>0</v>
      </c>
      <c r="F4832">
        <v>0</v>
      </c>
    </row>
    <row r="4833" spans="1:6" x14ac:dyDescent="0.25">
      <c r="A4833" s="1">
        <v>45078</v>
      </c>
      <c r="B4833" t="s">
        <v>63</v>
      </c>
      <c r="C4833" t="s">
        <v>944</v>
      </c>
      <c r="D4833" s="2">
        <v>-2436000</v>
      </c>
      <c r="E4833">
        <v>0</v>
      </c>
      <c r="F4833">
        <v>0</v>
      </c>
    </row>
    <row r="4834" spans="1:6" x14ac:dyDescent="0.25">
      <c r="A4834" s="1">
        <v>45078</v>
      </c>
      <c r="B4834" t="s">
        <v>309</v>
      </c>
      <c r="C4834" t="s">
        <v>1260</v>
      </c>
      <c r="D4834">
        <v>0</v>
      </c>
      <c r="E4834">
        <v>0</v>
      </c>
      <c r="F4834">
        <v>0</v>
      </c>
    </row>
    <row r="4835" spans="1:6" x14ac:dyDescent="0.25">
      <c r="A4835" s="1">
        <v>45078</v>
      </c>
      <c r="B4835" t="s">
        <v>68</v>
      </c>
      <c r="C4835" t="s">
        <v>995</v>
      </c>
      <c r="D4835" s="2">
        <v>3023622.58</v>
      </c>
      <c r="E4835" s="2">
        <v>3023622.58</v>
      </c>
      <c r="F4835" s="2">
        <v>3023622.58</v>
      </c>
    </row>
    <row r="4836" spans="1:6" x14ac:dyDescent="0.25">
      <c r="A4836" s="1">
        <v>45078</v>
      </c>
      <c r="B4836" t="s">
        <v>105</v>
      </c>
      <c r="C4836" t="s">
        <v>755</v>
      </c>
      <c r="D4836">
        <v>0</v>
      </c>
      <c r="E4836">
        <v>0</v>
      </c>
      <c r="F4836">
        <v>0</v>
      </c>
    </row>
    <row r="4837" spans="1:6" x14ac:dyDescent="0.25">
      <c r="A4837" s="1">
        <v>45078</v>
      </c>
      <c r="B4837" t="s">
        <v>234</v>
      </c>
      <c r="C4837" t="s">
        <v>235</v>
      </c>
      <c r="D4837" s="2">
        <v>29712.95</v>
      </c>
      <c r="E4837" s="2">
        <v>16563.57</v>
      </c>
      <c r="F4837" s="2">
        <v>18099.77</v>
      </c>
    </row>
    <row r="4838" spans="1:6" x14ac:dyDescent="0.25">
      <c r="A4838" s="1">
        <v>45078</v>
      </c>
      <c r="B4838" t="s">
        <v>37</v>
      </c>
      <c r="C4838" t="s">
        <v>1033</v>
      </c>
      <c r="D4838">
        <v>0</v>
      </c>
      <c r="E4838" s="2">
        <v>13348.6</v>
      </c>
      <c r="F4838" s="2">
        <v>13348.6</v>
      </c>
    </row>
    <row r="4839" spans="1:6" x14ac:dyDescent="0.25">
      <c r="A4839" s="1">
        <v>45078</v>
      </c>
      <c r="B4839" t="s">
        <v>21</v>
      </c>
      <c r="C4839" t="s">
        <v>123</v>
      </c>
      <c r="D4839">
        <v>0</v>
      </c>
      <c r="E4839" s="2">
        <v>15582947.35</v>
      </c>
      <c r="F4839" s="2">
        <v>17993248.34</v>
      </c>
    </row>
    <row r="4840" spans="1:6" x14ac:dyDescent="0.25">
      <c r="A4840" s="1">
        <v>45078</v>
      </c>
      <c r="B4840" t="s">
        <v>98</v>
      </c>
      <c r="C4840" t="s">
        <v>899</v>
      </c>
      <c r="D4840">
        <v>0</v>
      </c>
      <c r="E4840">
        <v>0</v>
      </c>
      <c r="F4840">
        <v>0</v>
      </c>
    </row>
    <row r="4841" spans="1:6" x14ac:dyDescent="0.25">
      <c r="A4841" s="1">
        <v>45078</v>
      </c>
      <c r="B4841" t="s">
        <v>42</v>
      </c>
      <c r="C4841" t="s">
        <v>166</v>
      </c>
      <c r="D4841" s="2">
        <v>47681671.700000003</v>
      </c>
      <c r="E4841" s="2">
        <v>47681671.700000003</v>
      </c>
      <c r="F4841" s="2">
        <v>47681671.700000003</v>
      </c>
    </row>
    <row r="4842" spans="1:6" x14ac:dyDescent="0.25">
      <c r="A4842" s="1">
        <v>45078</v>
      </c>
      <c r="B4842" t="s">
        <v>225</v>
      </c>
      <c r="C4842" t="s">
        <v>315</v>
      </c>
      <c r="D4842">
        <v>0</v>
      </c>
      <c r="E4842">
        <v>0</v>
      </c>
      <c r="F4842">
        <v>0</v>
      </c>
    </row>
    <row r="4843" spans="1:6" x14ac:dyDescent="0.25">
      <c r="A4843" s="1">
        <v>45078</v>
      </c>
      <c r="B4843" t="s">
        <v>40</v>
      </c>
      <c r="C4843" t="s">
        <v>215</v>
      </c>
      <c r="D4843">
        <v>0</v>
      </c>
      <c r="E4843">
        <v>0</v>
      </c>
      <c r="F4843">
        <v>0</v>
      </c>
    </row>
    <row r="4844" spans="1:6" x14ac:dyDescent="0.25">
      <c r="A4844" s="1">
        <v>45078</v>
      </c>
      <c r="B4844" t="s">
        <v>29</v>
      </c>
      <c r="C4844" t="s">
        <v>1170</v>
      </c>
      <c r="D4844" s="2">
        <v>112922901</v>
      </c>
      <c r="E4844" s="2">
        <v>113986277</v>
      </c>
      <c r="F4844" s="2">
        <v>113986277</v>
      </c>
    </row>
    <row r="4845" spans="1:6" x14ac:dyDescent="0.25">
      <c r="A4845" s="1">
        <v>45078</v>
      </c>
      <c r="B4845" t="s">
        <v>21</v>
      </c>
      <c r="C4845" t="s">
        <v>406</v>
      </c>
      <c r="D4845">
        <v>0</v>
      </c>
      <c r="E4845" s="2">
        <v>13960610.800000001</v>
      </c>
      <c r="F4845" s="2">
        <v>15280610.810000001</v>
      </c>
    </row>
    <row r="4846" spans="1:6" x14ac:dyDescent="0.25">
      <c r="A4846" s="1">
        <v>45078</v>
      </c>
      <c r="B4846" t="s">
        <v>21</v>
      </c>
      <c r="C4846" t="s">
        <v>330</v>
      </c>
      <c r="D4846">
        <v>0</v>
      </c>
      <c r="E4846">
        <v>0</v>
      </c>
      <c r="F4846">
        <v>0</v>
      </c>
    </row>
    <row r="4847" spans="1:6" x14ac:dyDescent="0.25">
      <c r="A4847" s="1">
        <v>45078</v>
      </c>
      <c r="B4847" t="s">
        <v>29</v>
      </c>
      <c r="C4847" t="s">
        <v>631</v>
      </c>
      <c r="D4847" s="2">
        <v>-5529.49</v>
      </c>
      <c r="E4847" s="2">
        <v>13086.83</v>
      </c>
      <c r="F4847" s="2">
        <v>-5529.49</v>
      </c>
    </row>
    <row r="4848" spans="1:6" x14ac:dyDescent="0.25">
      <c r="A4848" s="1">
        <v>45078</v>
      </c>
      <c r="B4848" t="s">
        <v>31</v>
      </c>
      <c r="C4848" t="s">
        <v>925</v>
      </c>
      <c r="D4848" s="2">
        <v>53000</v>
      </c>
      <c r="E4848" s="2">
        <v>155329.51</v>
      </c>
      <c r="F4848" s="2">
        <v>155329.51</v>
      </c>
    </row>
    <row r="4849" spans="1:6" x14ac:dyDescent="0.25">
      <c r="A4849" s="1">
        <v>45078</v>
      </c>
      <c r="B4849" t="s">
        <v>682</v>
      </c>
      <c r="C4849" t="s">
        <v>866</v>
      </c>
      <c r="D4849">
        <v>-362.52</v>
      </c>
      <c r="E4849" s="2">
        <v>66162.67</v>
      </c>
      <c r="F4849" s="2">
        <v>66162.67</v>
      </c>
    </row>
    <row r="4850" spans="1:6" x14ac:dyDescent="0.25">
      <c r="A4850" s="1">
        <v>45078</v>
      </c>
      <c r="B4850" t="s">
        <v>40</v>
      </c>
      <c r="C4850" t="s">
        <v>815</v>
      </c>
      <c r="D4850" s="2">
        <v>346525.93</v>
      </c>
      <c r="E4850" s="2">
        <v>30831.63</v>
      </c>
      <c r="F4850" s="2">
        <v>30831.63</v>
      </c>
    </row>
    <row r="4851" spans="1:6" x14ac:dyDescent="0.25">
      <c r="A4851" s="1">
        <v>45078</v>
      </c>
      <c r="B4851" t="s">
        <v>132</v>
      </c>
      <c r="C4851" t="s">
        <v>140</v>
      </c>
      <c r="D4851" s="2">
        <v>89230279.340000004</v>
      </c>
      <c r="E4851" s="2">
        <v>31991862.440000001</v>
      </c>
      <c r="F4851" s="2">
        <v>36932484.329999998</v>
      </c>
    </row>
    <row r="4852" spans="1:6" x14ac:dyDescent="0.25">
      <c r="A4852" s="1">
        <v>45078</v>
      </c>
      <c r="B4852" t="s">
        <v>11</v>
      </c>
      <c r="C4852" t="s">
        <v>749</v>
      </c>
      <c r="D4852" s="2">
        <v>14890533</v>
      </c>
      <c r="E4852" s="2">
        <v>14813253.68</v>
      </c>
      <c r="F4852" s="2">
        <v>14836145.619999999</v>
      </c>
    </row>
    <row r="4853" spans="1:6" x14ac:dyDescent="0.25">
      <c r="A4853" s="1">
        <v>45078</v>
      </c>
      <c r="B4853" t="s">
        <v>132</v>
      </c>
      <c r="C4853" t="s">
        <v>1103</v>
      </c>
      <c r="D4853">
        <v>0</v>
      </c>
      <c r="E4853">
        <v>0</v>
      </c>
      <c r="F4853">
        <v>0</v>
      </c>
    </row>
    <row r="4854" spans="1:6" x14ac:dyDescent="0.25">
      <c r="A4854" s="1">
        <v>45078</v>
      </c>
      <c r="B4854" t="s">
        <v>682</v>
      </c>
      <c r="C4854" t="s">
        <v>1067</v>
      </c>
      <c r="D4854" s="2">
        <v>63788.28</v>
      </c>
      <c r="E4854" s="2">
        <v>108699.84</v>
      </c>
      <c r="F4854" s="2">
        <v>109595.28</v>
      </c>
    </row>
    <row r="4855" spans="1:6" x14ac:dyDescent="0.25">
      <c r="A4855" s="1">
        <v>45078</v>
      </c>
      <c r="B4855" t="s">
        <v>23</v>
      </c>
      <c r="C4855" t="s">
        <v>988</v>
      </c>
      <c r="D4855" s="2">
        <v>2547006.98</v>
      </c>
      <c r="E4855">
        <v>0</v>
      </c>
      <c r="F4855">
        <v>0</v>
      </c>
    </row>
    <row r="4856" spans="1:6" x14ac:dyDescent="0.25">
      <c r="A4856" s="1">
        <v>45078</v>
      </c>
      <c r="B4856" t="s">
        <v>132</v>
      </c>
      <c r="C4856" t="s">
        <v>265</v>
      </c>
      <c r="D4856" s="2">
        <v>108333333.33</v>
      </c>
      <c r="E4856" s="2">
        <v>108333333.33</v>
      </c>
      <c r="F4856" s="2">
        <v>108333333.33</v>
      </c>
    </row>
    <row r="4857" spans="1:6" x14ac:dyDescent="0.25">
      <c r="A4857" s="1">
        <v>45078</v>
      </c>
      <c r="B4857" t="s">
        <v>309</v>
      </c>
      <c r="C4857" t="s">
        <v>645</v>
      </c>
      <c r="D4857">
        <v>0</v>
      </c>
      <c r="E4857">
        <v>0</v>
      </c>
      <c r="F4857">
        <v>0</v>
      </c>
    </row>
    <row r="4858" spans="1:6" x14ac:dyDescent="0.25">
      <c r="A4858" s="1">
        <v>45078</v>
      </c>
      <c r="B4858" t="s">
        <v>103</v>
      </c>
      <c r="C4858" t="s">
        <v>259</v>
      </c>
      <c r="D4858">
        <v>0</v>
      </c>
      <c r="E4858" s="2">
        <v>70086.63</v>
      </c>
      <c r="F4858" s="2">
        <v>70086.63</v>
      </c>
    </row>
    <row r="4859" spans="1:6" x14ac:dyDescent="0.25">
      <c r="A4859" s="1">
        <v>45078</v>
      </c>
      <c r="B4859" t="s">
        <v>17</v>
      </c>
      <c r="C4859" t="s">
        <v>930</v>
      </c>
      <c r="D4859">
        <v>0</v>
      </c>
      <c r="E4859">
        <v>0</v>
      </c>
      <c r="F4859">
        <v>0</v>
      </c>
    </row>
    <row r="4860" spans="1:6" x14ac:dyDescent="0.25">
      <c r="A4860" s="1">
        <v>45078</v>
      </c>
      <c r="B4860" t="s">
        <v>344</v>
      </c>
      <c r="C4860" t="s">
        <v>1156</v>
      </c>
      <c r="D4860">
        <v>0</v>
      </c>
      <c r="E4860" s="2">
        <v>6246.89</v>
      </c>
      <c r="F4860" s="2">
        <v>7109.19</v>
      </c>
    </row>
    <row r="4861" spans="1:6" x14ac:dyDescent="0.25">
      <c r="A4861" s="1">
        <v>45078</v>
      </c>
      <c r="B4861" t="s">
        <v>40</v>
      </c>
      <c r="C4861" t="s">
        <v>651</v>
      </c>
      <c r="D4861" s="2">
        <v>-5000</v>
      </c>
      <c r="E4861" s="2">
        <v>17155.41</v>
      </c>
      <c r="F4861" s="2">
        <v>17155.41</v>
      </c>
    </row>
    <row r="4862" spans="1:6" x14ac:dyDescent="0.25">
      <c r="A4862" s="1">
        <v>45078</v>
      </c>
      <c r="B4862" t="s">
        <v>46</v>
      </c>
      <c r="C4862" t="s">
        <v>592</v>
      </c>
      <c r="D4862" s="2">
        <v>2170000</v>
      </c>
      <c r="E4862" s="2">
        <v>2180328.79</v>
      </c>
      <c r="F4862" s="2">
        <v>2183339.77</v>
      </c>
    </row>
    <row r="4863" spans="1:6" x14ac:dyDescent="0.25">
      <c r="A4863" s="1">
        <v>45078</v>
      </c>
      <c r="B4863" t="s">
        <v>1137</v>
      </c>
      <c r="C4863" t="s">
        <v>1138</v>
      </c>
      <c r="D4863" s="2">
        <v>35264540.219999999</v>
      </c>
      <c r="E4863" s="2">
        <v>36186580.619999997</v>
      </c>
      <c r="F4863" s="2">
        <v>39121769.810000002</v>
      </c>
    </row>
    <row r="4864" spans="1:6" x14ac:dyDescent="0.25">
      <c r="A4864" s="1">
        <v>45078</v>
      </c>
      <c r="B4864" t="s">
        <v>31</v>
      </c>
      <c r="C4864" t="s">
        <v>558</v>
      </c>
      <c r="D4864">
        <v>0</v>
      </c>
      <c r="E4864">
        <v>0</v>
      </c>
      <c r="F4864">
        <v>0</v>
      </c>
    </row>
    <row r="4865" spans="1:6" x14ac:dyDescent="0.25">
      <c r="A4865" s="1">
        <v>45078</v>
      </c>
      <c r="B4865" t="s">
        <v>196</v>
      </c>
      <c r="C4865" t="s">
        <v>267</v>
      </c>
      <c r="D4865">
        <v>0</v>
      </c>
      <c r="E4865">
        <v>0</v>
      </c>
      <c r="F4865">
        <v>0</v>
      </c>
    </row>
    <row r="4866" spans="1:6" x14ac:dyDescent="0.25">
      <c r="A4866" s="1">
        <v>45078</v>
      </c>
      <c r="B4866" t="s">
        <v>92</v>
      </c>
      <c r="C4866" t="s">
        <v>488</v>
      </c>
      <c r="D4866" s="2">
        <v>40954.080000000002</v>
      </c>
      <c r="E4866" s="2">
        <v>65506.42</v>
      </c>
      <c r="F4866" s="2">
        <v>55506.42</v>
      </c>
    </row>
    <row r="4867" spans="1:6" x14ac:dyDescent="0.25">
      <c r="A4867" s="1">
        <v>45078</v>
      </c>
      <c r="B4867" t="s">
        <v>107</v>
      </c>
      <c r="C4867" t="s">
        <v>147</v>
      </c>
      <c r="D4867" s="2">
        <v>748000</v>
      </c>
      <c r="E4867">
        <v>0</v>
      </c>
      <c r="F4867">
        <v>0</v>
      </c>
    </row>
    <row r="4868" spans="1:6" x14ac:dyDescent="0.25">
      <c r="A4868" s="1">
        <v>45078</v>
      </c>
      <c r="B4868" t="s">
        <v>44</v>
      </c>
      <c r="C4868" t="s">
        <v>240</v>
      </c>
      <c r="D4868" s="2">
        <v>441863.03</v>
      </c>
      <c r="E4868" s="2">
        <v>442267.58</v>
      </c>
      <c r="F4868" s="2">
        <v>441594.14</v>
      </c>
    </row>
    <row r="4869" spans="1:6" x14ac:dyDescent="0.25">
      <c r="A4869" s="1">
        <v>45078</v>
      </c>
      <c r="B4869" t="s">
        <v>79</v>
      </c>
      <c r="C4869" t="s">
        <v>572</v>
      </c>
      <c r="D4869">
        <v>0</v>
      </c>
      <c r="E4869">
        <v>0</v>
      </c>
      <c r="F4869">
        <v>0</v>
      </c>
    </row>
    <row r="4870" spans="1:6" x14ac:dyDescent="0.25">
      <c r="A4870" s="1">
        <v>45078</v>
      </c>
      <c r="B4870" t="s">
        <v>21</v>
      </c>
      <c r="C4870" t="s">
        <v>608</v>
      </c>
      <c r="D4870" s="2">
        <v>61787685.520000003</v>
      </c>
      <c r="E4870" s="2">
        <v>2069417.36</v>
      </c>
      <c r="F4870" s="2">
        <v>2212343.19</v>
      </c>
    </row>
    <row r="4871" spans="1:6" x14ac:dyDescent="0.25">
      <c r="A4871" s="1">
        <v>45078</v>
      </c>
      <c r="B4871" t="s">
        <v>21</v>
      </c>
      <c r="C4871" t="s">
        <v>973</v>
      </c>
      <c r="D4871" s="2">
        <v>6000213</v>
      </c>
      <c r="E4871" s="2">
        <v>397886.36</v>
      </c>
      <c r="F4871" s="2">
        <v>505338.38</v>
      </c>
    </row>
    <row r="4872" spans="1:6" x14ac:dyDescent="0.25">
      <c r="A4872" s="1">
        <v>45078</v>
      </c>
      <c r="B4872" t="s">
        <v>306</v>
      </c>
      <c r="C4872" t="s">
        <v>841</v>
      </c>
      <c r="D4872" s="2">
        <v>1502733.75</v>
      </c>
      <c r="E4872" s="2">
        <v>2208156.85</v>
      </c>
      <c r="F4872" s="2">
        <v>2457071.8199999998</v>
      </c>
    </row>
    <row r="4873" spans="1:6" x14ac:dyDescent="0.25">
      <c r="A4873" s="1">
        <v>45078</v>
      </c>
      <c r="B4873" t="s">
        <v>691</v>
      </c>
      <c r="C4873" t="s">
        <v>692</v>
      </c>
      <c r="D4873">
        <v>0</v>
      </c>
      <c r="E4873">
        <v>0</v>
      </c>
      <c r="F4873">
        <v>0</v>
      </c>
    </row>
    <row r="4874" spans="1:6" x14ac:dyDescent="0.25">
      <c r="A4874" s="1">
        <v>45078</v>
      </c>
      <c r="B4874" t="s">
        <v>132</v>
      </c>
      <c r="C4874" t="s">
        <v>477</v>
      </c>
      <c r="D4874">
        <v>0</v>
      </c>
      <c r="E4874">
        <v>0</v>
      </c>
      <c r="F4874">
        <v>0</v>
      </c>
    </row>
    <row r="4875" spans="1:6" x14ac:dyDescent="0.25">
      <c r="A4875" s="1">
        <v>45078</v>
      </c>
      <c r="B4875" t="s">
        <v>50</v>
      </c>
      <c r="C4875" t="s">
        <v>372</v>
      </c>
      <c r="D4875">
        <v>0</v>
      </c>
      <c r="E4875">
        <v>0</v>
      </c>
      <c r="F4875">
        <v>0</v>
      </c>
    </row>
    <row r="4876" spans="1:6" x14ac:dyDescent="0.25">
      <c r="A4876" s="1">
        <v>45078</v>
      </c>
      <c r="B4876" t="s">
        <v>132</v>
      </c>
      <c r="C4876" t="s">
        <v>989</v>
      </c>
      <c r="D4876">
        <v>0</v>
      </c>
      <c r="E4876">
        <v>0</v>
      </c>
      <c r="F4876" s="2">
        <v>94838.18</v>
      </c>
    </row>
    <row r="4877" spans="1:6" x14ac:dyDescent="0.25">
      <c r="A4877" s="1">
        <v>45078</v>
      </c>
      <c r="B4877" t="s">
        <v>9</v>
      </c>
      <c r="C4877" t="s">
        <v>636</v>
      </c>
      <c r="D4877" s="2">
        <v>350000</v>
      </c>
      <c r="E4877" s="2">
        <v>350000</v>
      </c>
      <c r="F4877" s="2">
        <v>350000</v>
      </c>
    </row>
    <row r="4878" spans="1:6" x14ac:dyDescent="0.25">
      <c r="A4878" s="1">
        <v>45078</v>
      </c>
      <c r="B4878" t="s">
        <v>37</v>
      </c>
      <c r="C4878" t="s">
        <v>151</v>
      </c>
      <c r="D4878">
        <v>0</v>
      </c>
      <c r="E4878" s="2">
        <v>662309.54</v>
      </c>
      <c r="F4878" s="2">
        <v>662309.54</v>
      </c>
    </row>
    <row r="4879" spans="1:6" x14ac:dyDescent="0.25">
      <c r="A4879" s="1">
        <v>45078</v>
      </c>
      <c r="B4879" t="s">
        <v>196</v>
      </c>
      <c r="C4879" t="s">
        <v>491</v>
      </c>
      <c r="D4879">
        <v>0</v>
      </c>
      <c r="E4879">
        <v>0</v>
      </c>
      <c r="F4879">
        <v>0</v>
      </c>
    </row>
    <row r="4880" spans="1:6" x14ac:dyDescent="0.25">
      <c r="A4880" s="1">
        <v>45078</v>
      </c>
      <c r="B4880" t="s">
        <v>306</v>
      </c>
      <c r="C4880" t="s">
        <v>334</v>
      </c>
      <c r="D4880" s="2">
        <v>-1542.45</v>
      </c>
      <c r="E4880">
        <v>0</v>
      </c>
      <c r="F4880">
        <v>0</v>
      </c>
    </row>
    <row r="4881" spans="1:6" x14ac:dyDescent="0.25">
      <c r="A4881" s="1">
        <v>45078</v>
      </c>
      <c r="B4881" t="s">
        <v>40</v>
      </c>
      <c r="C4881" t="s">
        <v>813</v>
      </c>
      <c r="D4881">
        <v>0</v>
      </c>
      <c r="E4881" s="2">
        <v>9678490.9900000002</v>
      </c>
      <c r="F4881" s="2">
        <v>9609206.8900000006</v>
      </c>
    </row>
    <row r="4882" spans="1:6" x14ac:dyDescent="0.25">
      <c r="A4882" s="1">
        <v>45078</v>
      </c>
      <c r="B4882" t="s">
        <v>21</v>
      </c>
      <c r="C4882" t="s">
        <v>523</v>
      </c>
      <c r="D4882">
        <v>0</v>
      </c>
      <c r="E4882" s="2">
        <v>202518.23</v>
      </c>
      <c r="F4882">
        <v>0</v>
      </c>
    </row>
    <row r="4883" spans="1:6" x14ac:dyDescent="0.25">
      <c r="A4883" s="1">
        <v>45078</v>
      </c>
      <c r="B4883" t="s">
        <v>29</v>
      </c>
      <c r="C4883" t="s">
        <v>180</v>
      </c>
      <c r="D4883">
        <v>0</v>
      </c>
      <c r="E4883">
        <v>0</v>
      </c>
      <c r="F4883">
        <v>0</v>
      </c>
    </row>
    <row r="4884" spans="1:6" x14ac:dyDescent="0.25">
      <c r="A4884" s="1">
        <v>45078</v>
      </c>
      <c r="B4884" t="s">
        <v>648</v>
      </c>
      <c r="C4884" t="s">
        <v>1047</v>
      </c>
      <c r="D4884" s="2">
        <v>1629209</v>
      </c>
      <c r="E4884" s="2">
        <v>15180.44</v>
      </c>
      <c r="F4884" s="2">
        <v>15180.44</v>
      </c>
    </row>
    <row r="4885" spans="1:6" x14ac:dyDescent="0.25">
      <c r="A4885" s="1">
        <v>45078</v>
      </c>
      <c r="B4885" t="s">
        <v>61</v>
      </c>
      <c r="C4885" t="s">
        <v>62</v>
      </c>
      <c r="D4885">
        <v>0</v>
      </c>
      <c r="E4885">
        <v>0</v>
      </c>
      <c r="F4885">
        <v>0</v>
      </c>
    </row>
    <row r="4886" spans="1:6" x14ac:dyDescent="0.25">
      <c r="A4886" s="1">
        <v>45078</v>
      </c>
      <c r="B4886" t="s">
        <v>132</v>
      </c>
      <c r="C4886" t="s">
        <v>375</v>
      </c>
      <c r="D4886" s="2">
        <v>1090000</v>
      </c>
      <c r="E4886" s="2">
        <v>1090000</v>
      </c>
      <c r="F4886" s="2">
        <v>1090000</v>
      </c>
    </row>
    <row r="4887" spans="1:6" x14ac:dyDescent="0.25">
      <c r="A4887" s="1">
        <v>45078</v>
      </c>
      <c r="B4887" t="s">
        <v>23</v>
      </c>
      <c r="C4887" t="s">
        <v>1268</v>
      </c>
      <c r="D4887" s="2">
        <v>16786.77</v>
      </c>
      <c r="E4887">
        <v>0</v>
      </c>
      <c r="F4887">
        <v>0</v>
      </c>
    </row>
    <row r="4888" spans="1:6" x14ac:dyDescent="0.25">
      <c r="A4888" s="1">
        <v>45078</v>
      </c>
      <c r="B4888" t="s">
        <v>40</v>
      </c>
      <c r="C4888" t="s">
        <v>73</v>
      </c>
      <c r="D4888">
        <v>0</v>
      </c>
      <c r="E4888">
        <v>0</v>
      </c>
      <c r="F4888">
        <v>0</v>
      </c>
    </row>
    <row r="4889" spans="1:6" x14ac:dyDescent="0.25">
      <c r="A4889" s="1">
        <v>45078</v>
      </c>
      <c r="B4889" t="s">
        <v>398</v>
      </c>
      <c r="C4889" t="s">
        <v>437</v>
      </c>
      <c r="D4889" s="2">
        <v>12170156.33</v>
      </c>
      <c r="E4889" s="2">
        <v>3045564.76</v>
      </c>
      <c r="F4889" s="2">
        <v>3045564.76</v>
      </c>
    </row>
    <row r="4890" spans="1:6" x14ac:dyDescent="0.25">
      <c r="A4890" s="1">
        <v>45078</v>
      </c>
      <c r="B4890" t="s">
        <v>50</v>
      </c>
      <c r="C4890" t="s">
        <v>320</v>
      </c>
      <c r="D4890">
        <v>0</v>
      </c>
      <c r="E4890" s="2">
        <v>1587208.84</v>
      </c>
      <c r="F4890" s="2">
        <v>1942689.97</v>
      </c>
    </row>
    <row r="4891" spans="1:6" x14ac:dyDescent="0.25">
      <c r="A4891" s="1">
        <v>45078</v>
      </c>
      <c r="B4891" t="s">
        <v>46</v>
      </c>
      <c r="C4891" t="s">
        <v>89</v>
      </c>
      <c r="D4891">
        <v>0</v>
      </c>
      <c r="E4891">
        <v>0</v>
      </c>
      <c r="F4891">
        <v>0</v>
      </c>
    </row>
    <row r="4892" spans="1:6" x14ac:dyDescent="0.25">
      <c r="A4892" s="1">
        <v>45078</v>
      </c>
      <c r="B4892" t="s">
        <v>154</v>
      </c>
      <c r="C4892" t="s">
        <v>716</v>
      </c>
      <c r="D4892" s="2">
        <v>583037.48</v>
      </c>
      <c r="E4892" s="2">
        <v>408641.94</v>
      </c>
      <c r="F4892" s="2">
        <v>385862.99</v>
      </c>
    </row>
    <row r="4893" spans="1:6" x14ac:dyDescent="0.25">
      <c r="A4893" s="1">
        <v>45078</v>
      </c>
      <c r="B4893" t="s">
        <v>40</v>
      </c>
      <c r="C4893" t="s">
        <v>541</v>
      </c>
      <c r="D4893" s="2">
        <v>185671.48</v>
      </c>
      <c r="E4893" s="2">
        <v>74758.42</v>
      </c>
      <c r="F4893" s="2">
        <v>78672.37</v>
      </c>
    </row>
    <row r="4894" spans="1:6" x14ac:dyDescent="0.25">
      <c r="A4894" s="1">
        <v>45078</v>
      </c>
      <c r="B4894" t="s">
        <v>31</v>
      </c>
      <c r="C4894" t="s">
        <v>1249</v>
      </c>
      <c r="D4894" s="2">
        <v>5989860.7599999998</v>
      </c>
      <c r="E4894">
        <v>0</v>
      </c>
      <c r="F4894">
        <v>0</v>
      </c>
    </row>
    <row r="4895" spans="1:6" x14ac:dyDescent="0.25">
      <c r="A4895" s="1">
        <v>45078</v>
      </c>
      <c r="B4895" t="s">
        <v>460</v>
      </c>
      <c r="C4895" t="s">
        <v>746</v>
      </c>
      <c r="D4895" s="2">
        <v>427696.69</v>
      </c>
      <c r="E4895" s="2">
        <v>458859.87</v>
      </c>
      <c r="F4895" s="2">
        <v>629734.63</v>
      </c>
    </row>
    <row r="4896" spans="1:6" x14ac:dyDescent="0.25">
      <c r="A4896" s="1">
        <v>45078</v>
      </c>
      <c r="B4896" t="s">
        <v>114</v>
      </c>
      <c r="C4896" t="s">
        <v>1269</v>
      </c>
      <c r="D4896">
        <v>0</v>
      </c>
      <c r="E4896">
        <v>0</v>
      </c>
      <c r="F4896">
        <v>0</v>
      </c>
    </row>
    <row r="4897" spans="1:6" x14ac:dyDescent="0.25">
      <c r="A4897" s="1">
        <v>45078</v>
      </c>
      <c r="B4897" t="s">
        <v>37</v>
      </c>
      <c r="C4897" t="s">
        <v>208</v>
      </c>
      <c r="D4897">
        <v>0</v>
      </c>
      <c r="E4897" s="2">
        <v>128777837.22</v>
      </c>
      <c r="F4897" s="2">
        <v>128777837.22</v>
      </c>
    </row>
    <row r="4898" spans="1:6" x14ac:dyDescent="0.25">
      <c r="A4898" s="1">
        <v>45078</v>
      </c>
      <c r="B4898" t="s">
        <v>42</v>
      </c>
      <c r="C4898" t="s">
        <v>1241</v>
      </c>
      <c r="D4898">
        <v>0</v>
      </c>
      <c r="E4898" s="2">
        <v>11845171</v>
      </c>
      <c r="F4898" s="2">
        <v>11845171</v>
      </c>
    </row>
    <row r="4899" spans="1:6" x14ac:dyDescent="0.25">
      <c r="A4899" s="1">
        <v>45078</v>
      </c>
      <c r="B4899" t="s">
        <v>196</v>
      </c>
      <c r="C4899" t="s">
        <v>999</v>
      </c>
      <c r="D4899">
        <v>0</v>
      </c>
      <c r="E4899">
        <v>0</v>
      </c>
      <c r="F4899">
        <v>0</v>
      </c>
    </row>
    <row r="4900" spans="1:6" x14ac:dyDescent="0.25">
      <c r="A4900" s="1">
        <v>45078</v>
      </c>
      <c r="B4900" t="s">
        <v>68</v>
      </c>
      <c r="C4900" t="s">
        <v>87</v>
      </c>
      <c r="D4900" s="2">
        <v>6458098.7699999996</v>
      </c>
      <c r="E4900" s="2">
        <v>49002.33</v>
      </c>
      <c r="F4900" s="2">
        <v>64788.67</v>
      </c>
    </row>
    <row r="4901" spans="1:6" x14ac:dyDescent="0.25">
      <c r="A4901" s="1">
        <v>45078</v>
      </c>
      <c r="B4901" t="s">
        <v>19</v>
      </c>
      <c r="C4901" t="s">
        <v>397</v>
      </c>
      <c r="D4901" s="2">
        <v>57090.62</v>
      </c>
      <c r="E4901" s="2">
        <v>457352.78</v>
      </c>
      <c r="F4901" s="2">
        <v>463775.97</v>
      </c>
    </row>
    <row r="4902" spans="1:6" x14ac:dyDescent="0.25">
      <c r="A4902" s="1">
        <v>45078</v>
      </c>
      <c r="B4902" t="s">
        <v>17</v>
      </c>
      <c r="C4902" t="s">
        <v>954</v>
      </c>
      <c r="D4902">
        <v>0</v>
      </c>
      <c r="E4902">
        <v>0</v>
      </c>
      <c r="F4902">
        <v>0</v>
      </c>
    </row>
    <row r="4903" spans="1:6" x14ac:dyDescent="0.25">
      <c r="A4903" s="1">
        <v>45078</v>
      </c>
      <c r="B4903" t="s">
        <v>490</v>
      </c>
      <c r="C4903" t="s">
        <v>1190</v>
      </c>
      <c r="D4903" s="2">
        <v>1062420</v>
      </c>
      <c r="E4903" s="2">
        <v>58934290</v>
      </c>
      <c r="F4903" s="2">
        <v>58934290</v>
      </c>
    </row>
    <row r="4904" spans="1:6" x14ac:dyDescent="0.25">
      <c r="A4904" s="1">
        <v>45078</v>
      </c>
      <c r="B4904" t="s">
        <v>118</v>
      </c>
      <c r="C4904" t="s">
        <v>508</v>
      </c>
      <c r="D4904">
        <v>0</v>
      </c>
      <c r="E4904">
        <v>0</v>
      </c>
      <c r="F4904">
        <v>0</v>
      </c>
    </row>
    <row r="4905" spans="1:6" x14ac:dyDescent="0.25">
      <c r="A4905" s="1">
        <v>45078</v>
      </c>
      <c r="B4905" t="s">
        <v>15</v>
      </c>
      <c r="C4905" t="s">
        <v>948</v>
      </c>
      <c r="D4905" s="2">
        <v>494652.21</v>
      </c>
      <c r="E4905" s="2">
        <v>23556.1</v>
      </c>
      <c r="F4905" s="2">
        <v>94577.24</v>
      </c>
    </row>
    <row r="4906" spans="1:6" x14ac:dyDescent="0.25">
      <c r="A4906" s="1">
        <v>45078</v>
      </c>
      <c r="B4906" t="s">
        <v>288</v>
      </c>
      <c r="C4906" t="s">
        <v>434</v>
      </c>
      <c r="D4906" s="2">
        <v>159986.44</v>
      </c>
      <c r="E4906">
        <v>0</v>
      </c>
      <c r="F4906">
        <v>0</v>
      </c>
    </row>
    <row r="4907" spans="1:6" x14ac:dyDescent="0.25">
      <c r="A4907" s="1">
        <v>45078</v>
      </c>
      <c r="B4907" t="s">
        <v>50</v>
      </c>
      <c r="C4907" t="s">
        <v>1169</v>
      </c>
      <c r="D4907">
        <v>0</v>
      </c>
      <c r="E4907">
        <v>0</v>
      </c>
      <c r="F4907">
        <v>0</v>
      </c>
    </row>
    <row r="4908" spans="1:6" x14ac:dyDescent="0.25">
      <c r="A4908" s="1">
        <v>45078</v>
      </c>
      <c r="B4908" t="s">
        <v>234</v>
      </c>
      <c r="C4908" t="s">
        <v>959</v>
      </c>
      <c r="D4908">
        <v>0</v>
      </c>
      <c r="E4908">
        <v>0</v>
      </c>
      <c r="F4908">
        <v>0</v>
      </c>
    </row>
    <row r="4909" spans="1:6" x14ac:dyDescent="0.25">
      <c r="A4909" s="1">
        <v>45078</v>
      </c>
      <c r="B4909" t="s">
        <v>40</v>
      </c>
      <c r="C4909" t="s">
        <v>762</v>
      </c>
      <c r="D4909">
        <v>0</v>
      </c>
      <c r="E4909">
        <v>0</v>
      </c>
      <c r="F4909" s="2">
        <v>3417.39</v>
      </c>
    </row>
    <row r="4910" spans="1:6" x14ac:dyDescent="0.25">
      <c r="A4910" s="1">
        <v>45078</v>
      </c>
      <c r="B4910" t="s">
        <v>81</v>
      </c>
      <c r="C4910" t="s">
        <v>357</v>
      </c>
      <c r="D4910">
        <v>0</v>
      </c>
      <c r="E4910">
        <v>0</v>
      </c>
      <c r="F4910">
        <v>0</v>
      </c>
    </row>
    <row r="4911" spans="1:6" x14ac:dyDescent="0.25">
      <c r="A4911" s="1">
        <v>45078</v>
      </c>
      <c r="B4911" t="s">
        <v>23</v>
      </c>
      <c r="C4911" t="s">
        <v>1165</v>
      </c>
      <c r="D4911" s="2">
        <v>88476120.299999997</v>
      </c>
      <c r="E4911">
        <v>0</v>
      </c>
      <c r="F4911">
        <v>0</v>
      </c>
    </row>
    <row r="4912" spans="1:6" x14ac:dyDescent="0.25">
      <c r="A4912" s="1">
        <v>45078</v>
      </c>
      <c r="B4912" t="s">
        <v>405</v>
      </c>
      <c r="C4912" t="s">
        <v>532</v>
      </c>
      <c r="D4912" s="2">
        <v>13333.34</v>
      </c>
      <c r="E4912" s="2">
        <v>13333.34</v>
      </c>
      <c r="F4912" s="2">
        <v>13333.34</v>
      </c>
    </row>
    <row r="4913" spans="1:6" x14ac:dyDescent="0.25">
      <c r="A4913" s="1">
        <v>45078</v>
      </c>
      <c r="B4913" t="s">
        <v>42</v>
      </c>
      <c r="C4913" t="s">
        <v>109</v>
      </c>
      <c r="D4913" s="2">
        <v>500000</v>
      </c>
      <c r="E4913" s="2">
        <v>500000</v>
      </c>
      <c r="F4913" s="2">
        <v>500000</v>
      </c>
    </row>
    <row r="4914" spans="1:6" x14ac:dyDescent="0.25">
      <c r="A4914" s="1">
        <v>45078</v>
      </c>
      <c r="B4914" t="s">
        <v>11</v>
      </c>
      <c r="C4914" t="s">
        <v>231</v>
      </c>
      <c r="D4914" s="2">
        <v>2968082060.4899998</v>
      </c>
      <c r="E4914" s="2">
        <v>2984975936.5100002</v>
      </c>
      <c r="F4914" s="2">
        <v>2984975936.5100002</v>
      </c>
    </row>
    <row r="4915" spans="1:6" x14ac:dyDescent="0.25">
      <c r="A4915" s="1">
        <v>45078</v>
      </c>
      <c r="B4915" t="s">
        <v>187</v>
      </c>
      <c r="C4915" t="s">
        <v>188</v>
      </c>
      <c r="D4915">
        <v>0</v>
      </c>
      <c r="E4915" s="2">
        <v>3612.5</v>
      </c>
      <c r="F4915" s="2">
        <v>3612.5</v>
      </c>
    </row>
    <row r="4916" spans="1:6" x14ac:dyDescent="0.25">
      <c r="A4916" s="1">
        <v>45078</v>
      </c>
      <c r="B4916" t="s">
        <v>21</v>
      </c>
      <c r="C4916" t="s">
        <v>1270</v>
      </c>
      <c r="D4916">
        <v>0</v>
      </c>
      <c r="E4916">
        <v>0</v>
      </c>
      <c r="F4916">
        <v>0</v>
      </c>
    </row>
    <row r="4917" spans="1:6" x14ac:dyDescent="0.25">
      <c r="A4917" s="1">
        <v>45078</v>
      </c>
      <c r="B4917" t="s">
        <v>19</v>
      </c>
      <c r="C4917" t="s">
        <v>20</v>
      </c>
      <c r="D4917" s="2">
        <v>432870.8</v>
      </c>
      <c r="E4917" s="2">
        <v>22237.35</v>
      </c>
      <c r="F4917" s="2">
        <v>22082.85</v>
      </c>
    </row>
    <row r="4918" spans="1:6" x14ac:dyDescent="0.25">
      <c r="A4918" s="1">
        <v>45078</v>
      </c>
      <c r="B4918" t="s">
        <v>490</v>
      </c>
      <c r="C4918" t="s">
        <v>999</v>
      </c>
      <c r="D4918">
        <v>0</v>
      </c>
      <c r="E4918">
        <v>0</v>
      </c>
      <c r="F4918">
        <v>0</v>
      </c>
    </row>
    <row r="4919" spans="1:6" x14ac:dyDescent="0.25">
      <c r="A4919" s="1">
        <v>45078</v>
      </c>
      <c r="B4919" t="s">
        <v>120</v>
      </c>
      <c r="C4919" t="s">
        <v>927</v>
      </c>
      <c r="D4919" s="2">
        <v>3300</v>
      </c>
      <c r="E4919">
        <v>0</v>
      </c>
      <c r="F4919">
        <v>0</v>
      </c>
    </row>
    <row r="4920" spans="1:6" x14ac:dyDescent="0.25">
      <c r="A4920" s="1">
        <v>45078</v>
      </c>
      <c r="B4920" t="s">
        <v>11</v>
      </c>
      <c r="C4920" t="s">
        <v>139</v>
      </c>
      <c r="D4920">
        <v>0</v>
      </c>
      <c r="E4920" s="2">
        <v>332230841.32999998</v>
      </c>
      <c r="F4920" s="2">
        <v>332230841.32999998</v>
      </c>
    </row>
    <row r="4921" spans="1:6" x14ac:dyDescent="0.25">
      <c r="A4921" s="1">
        <v>45078</v>
      </c>
      <c r="B4921" t="s">
        <v>29</v>
      </c>
      <c r="C4921" t="s">
        <v>1208</v>
      </c>
      <c r="D4921">
        <v>0</v>
      </c>
      <c r="E4921" s="2">
        <v>1000000</v>
      </c>
      <c r="F4921" s="2">
        <v>1000000</v>
      </c>
    </row>
    <row r="4922" spans="1:6" x14ac:dyDescent="0.25">
      <c r="A4922" s="1">
        <v>45078</v>
      </c>
      <c r="B4922" t="s">
        <v>21</v>
      </c>
      <c r="C4922" t="s">
        <v>1271</v>
      </c>
      <c r="D4922" s="2">
        <v>40250000</v>
      </c>
      <c r="E4922">
        <v>0</v>
      </c>
      <c r="F4922">
        <v>0</v>
      </c>
    </row>
    <row r="4923" spans="1:6" x14ac:dyDescent="0.25">
      <c r="A4923" s="1">
        <v>45078</v>
      </c>
      <c r="B4923" t="s">
        <v>40</v>
      </c>
      <c r="C4923" t="s">
        <v>311</v>
      </c>
      <c r="D4923" s="2">
        <v>46835580.590000004</v>
      </c>
      <c r="E4923" s="2">
        <v>2520016.23</v>
      </c>
      <c r="F4923" s="2">
        <v>2535339.62</v>
      </c>
    </row>
    <row r="4924" spans="1:6" x14ac:dyDescent="0.25">
      <c r="A4924" s="1">
        <v>45078</v>
      </c>
      <c r="B4924" t="s">
        <v>11</v>
      </c>
      <c r="C4924" t="s">
        <v>83</v>
      </c>
      <c r="D4924">
        <v>0</v>
      </c>
      <c r="E4924" s="2">
        <v>11617841712.030001</v>
      </c>
      <c r="F4924" s="2">
        <v>11617841712.030001</v>
      </c>
    </row>
    <row r="4925" spans="1:6" x14ac:dyDescent="0.25">
      <c r="A4925" s="1">
        <v>45078</v>
      </c>
      <c r="B4925" t="s">
        <v>187</v>
      </c>
      <c r="C4925" t="s">
        <v>1008</v>
      </c>
      <c r="D4925" s="2">
        <v>30000</v>
      </c>
      <c r="E4925" s="2">
        <v>16518.080000000002</v>
      </c>
      <c r="F4925" s="2">
        <v>15832.67</v>
      </c>
    </row>
    <row r="4926" spans="1:6" x14ac:dyDescent="0.25">
      <c r="A4926" s="1">
        <v>45078</v>
      </c>
      <c r="B4926" t="s">
        <v>53</v>
      </c>
      <c r="C4926" t="s">
        <v>739</v>
      </c>
      <c r="D4926">
        <v>0</v>
      </c>
      <c r="E4926" s="2">
        <v>580892078.26999998</v>
      </c>
      <c r="F4926" s="2">
        <v>580892078.26999998</v>
      </c>
    </row>
    <row r="4927" spans="1:6" x14ac:dyDescent="0.25">
      <c r="A4927" s="1">
        <v>45078</v>
      </c>
      <c r="B4927" t="s">
        <v>27</v>
      </c>
      <c r="C4927" t="s">
        <v>346</v>
      </c>
      <c r="D4927">
        <v>0</v>
      </c>
      <c r="E4927" s="2">
        <v>14143.27</v>
      </c>
      <c r="F4927" s="2">
        <v>14143.27</v>
      </c>
    </row>
    <row r="4928" spans="1:6" x14ac:dyDescent="0.25">
      <c r="A4928" s="1">
        <v>45078</v>
      </c>
      <c r="B4928" t="s">
        <v>65</v>
      </c>
      <c r="C4928" t="s">
        <v>623</v>
      </c>
      <c r="D4928" s="2">
        <v>5000</v>
      </c>
      <c r="E4928">
        <v>0</v>
      </c>
      <c r="F4928">
        <v>0</v>
      </c>
    </row>
    <row r="4929" spans="1:6" x14ac:dyDescent="0.25">
      <c r="A4929" s="1">
        <v>45078</v>
      </c>
      <c r="B4929" t="s">
        <v>992</v>
      </c>
      <c r="C4929" t="s">
        <v>542</v>
      </c>
      <c r="D4929">
        <v>0</v>
      </c>
      <c r="E4929">
        <v>0</v>
      </c>
      <c r="F4929">
        <v>0</v>
      </c>
    </row>
    <row r="4930" spans="1:6" x14ac:dyDescent="0.25">
      <c r="A4930" s="1">
        <v>45078</v>
      </c>
      <c r="B4930" t="s">
        <v>15</v>
      </c>
      <c r="C4930" t="s">
        <v>359</v>
      </c>
      <c r="D4930" s="2">
        <v>80000</v>
      </c>
      <c r="E4930">
        <v>0</v>
      </c>
      <c r="F4930">
        <v>0</v>
      </c>
    </row>
    <row r="4931" spans="1:6" x14ac:dyDescent="0.25">
      <c r="A4931" s="1">
        <v>45078</v>
      </c>
      <c r="B4931" t="s">
        <v>105</v>
      </c>
      <c r="C4931" t="s">
        <v>393</v>
      </c>
      <c r="D4931">
        <v>0</v>
      </c>
      <c r="E4931" s="2">
        <v>2697341.63</v>
      </c>
      <c r="F4931" s="2">
        <v>2689894.57</v>
      </c>
    </row>
    <row r="4932" spans="1:6" x14ac:dyDescent="0.25">
      <c r="A4932" s="1">
        <v>45078</v>
      </c>
      <c r="B4932" t="s">
        <v>118</v>
      </c>
      <c r="C4932" t="s">
        <v>179</v>
      </c>
      <c r="D4932">
        <v>0</v>
      </c>
      <c r="E4932">
        <v>0</v>
      </c>
      <c r="F4932">
        <v>0</v>
      </c>
    </row>
    <row r="4933" spans="1:6" x14ac:dyDescent="0.25">
      <c r="A4933" s="1">
        <v>45078</v>
      </c>
      <c r="B4933" t="s">
        <v>21</v>
      </c>
      <c r="C4933" t="s">
        <v>1017</v>
      </c>
      <c r="D4933">
        <v>0</v>
      </c>
      <c r="E4933">
        <v>0</v>
      </c>
      <c r="F4933">
        <v>0</v>
      </c>
    </row>
    <row r="4934" spans="1:6" x14ac:dyDescent="0.25">
      <c r="A4934" s="1">
        <v>45078</v>
      </c>
      <c r="B4934" t="s">
        <v>40</v>
      </c>
      <c r="C4934" t="s">
        <v>695</v>
      </c>
      <c r="D4934">
        <v>-113.4</v>
      </c>
      <c r="E4934" s="2">
        <v>30383.37</v>
      </c>
      <c r="F4934" s="2">
        <v>25609.49</v>
      </c>
    </row>
    <row r="4935" spans="1:6" x14ac:dyDescent="0.25">
      <c r="A4935" s="1">
        <v>45078</v>
      </c>
      <c r="B4935" t="s">
        <v>21</v>
      </c>
      <c r="C4935" t="s">
        <v>1201</v>
      </c>
      <c r="D4935">
        <v>0</v>
      </c>
      <c r="E4935">
        <v>0</v>
      </c>
      <c r="F4935">
        <v>0</v>
      </c>
    </row>
    <row r="4936" spans="1:6" x14ac:dyDescent="0.25">
      <c r="A4936" s="1">
        <v>45078</v>
      </c>
      <c r="B4936" t="s">
        <v>37</v>
      </c>
      <c r="C4936" t="s">
        <v>504</v>
      </c>
      <c r="D4936">
        <v>0</v>
      </c>
      <c r="E4936" s="2">
        <v>116397.4</v>
      </c>
      <c r="F4936" s="2">
        <v>116397.4</v>
      </c>
    </row>
    <row r="4937" spans="1:6" x14ac:dyDescent="0.25">
      <c r="A4937" s="1">
        <v>45078</v>
      </c>
      <c r="B4937" t="s">
        <v>100</v>
      </c>
      <c r="C4937" t="s">
        <v>72</v>
      </c>
      <c r="D4937">
        <v>0</v>
      </c>
      <c r="E4937">
        <v>0</v>
      </c>
      <c r="F4937">
        <v>0</v>
      </c>
    </row>
    <row r="4938" spans="1:6" x14ac:dyDescent="0.25">
      <c r="A4938" s="1">
        <v>45078</v>
      </c>
      <c r="B4938" t="s">
        <v>53</v>
      </c>
      <c r="C4938" t="s">
        <v>495</v>
      </c>
      <c r="D4938" s="2">
        <v>172000</v>
      </c>
      <c r="E4938" s="2">
        <v>130000</v>
      </c>
      <c r="F4938" s="2">
        <v>130000</v>
      </c>
    </row>
    <row r="4939" spans="1:6" x14ac:dyDescent="0.25">
      <c r="A4939" s="1">
        <v>45078</v>
      </c>
      <c r="B4939" t="s">
        <v>21</v>
      </c>
      <c r="C4939" t="s">
        <v>1028</v>
      </c>
      <c r="D4939">
        <v>0</v>
      </c>
      <c r="E4939">
        <v>0</v>
      </c>
      <c r="F4939">
        <v>0</v>
      </c>
    </row>
    <row r="4940" spans="1:6" x14ac:dyDescent="0.25">
      <c r="A4940" s="1">
        <v>45078</v>
      </c>
      <c r="B4940" t="s">
        <v>53</v>
      </c>
      <c r="C4940" t="s">
        <v>669</v>
      </c>
      <c r="D4940">
        <v>0</v>
      </c>
      <c r="E4940" s="2">
        <v>445626991.58999997</v>
      </c>
      <c r="F4940" s="2">
        <v>437735657.63999999</v>
      </c>
    </row>
    <row r="4941" spans="1:6" x14ac:dyDescent="0.25">
      <c r="A4941" s="1">
        <v>45078</v>
      </c>
      <c r="B4941" t="s">
        <v>92</v>
      </c>
      <c r="C4941" t="s">
        <v>317</v>
      </c>
      <c r="D4941" s="2">
        <v>573255.64</v>
      </c>
      <c r="E4941">
        <v>0</v>
      </c>
      <c r="F4941">
        <v>0</v>
      </c>
    </row>
    <row r="4942" spans="1:6" x14ac:dyDescent="0.25">
      <c r="A4942" s="1">
        <v>45078</v>
      </c>
      <c r="B4942" t="s">
        <v>50</v>
      </c>
      <c r="C4942" t="s">
        <v>438</v>
      </c>
      <c r="D4942">
        <v>0</v>
      </c>
      <c r="E4942" s="2">
        <v>982987.92</v>
      </c>
      <c r="F4942" s="2">
        <v>10881.23</v>
      </c>
    </row>
    <row r="4943" spans="1:6" x14ac:dyDescent="0.25">
      <c r="A4943" s="1">
        <v>45078</v>
      </c>
      <c r="B4943" t="s">
        <v>98</v>
      </c>
      <c r="C4943" t="s">
        <v>618</v>
      </c>
      <c r="D4943">
        <v>0</v>
      </c>
      <c r="E4943">
        <v>0</v>
      </c>
      <c r="F4943">
        <v>0</v>
      </c>
    </row>
    <row r="4944" spans="1:6" x14ac:dyDescent="0.25">
      <c r="A4944" s="1">
        <v>45078</v>
      </c>
      <c r="B4944" t="s">
        <v>185</v>
      </c>
      <c r="C4944" t="s">
        <v>190</v>
      </c>
      <c r="D4944" s="2">
        <v>54698089.609999999</v>
      </c>
      <c r="E4944" s="2">
        <v>103153651.84</v>
      </c>
      <c r="F4944" s="2">
        <v>103153651.84</v>
      </c>
    </row>
    <row r="4945" spans="1:6" x14ac:dyDescent="0.25">
      <c r="A4945" s="1">
        <v>45078</v>
      </c>
      <c r="B4945" t="s">
        <v>21</v>
      </c>
      <c r="C4945" t="s">
        <v>1105</v>
      </c>
      <c r="D4945" s="2">
        <v>1000000</v>
      </c>
      <c r="E4945">
        <v>0</v>
      </c>
      <c r="F4945">
        <v>0</v>
      </c>
    </row>
    <row r="4946" spans="1:6" x14ac:dyDescent="0.25">
      <c r="A4946" s="1">
        <v>45078</v>
      </c>
      <c r="B4946" t="s">
        <v>13</v>
      </c>
      <c r="C4946" t="s">
        <v>474</v>
      </c>
      <c r="D4946">
        <v>0</v>
      </c>
      <c r="E4946" s="2">
        <v>440483399.62</v>
      </c>
      <c r="F4946" s="2">
        <v>510995616.31</v>
      </c>
    </row>
    <row r="4947" spans="1:6" x14ac:dyDescent="0.25">
      <c r="A4947" s="1">
        <v>45078</v>
      </c>
      <c r="B4947" t="s">
        <v>402</v>
      </c>
      <c r="C4947" t="s">
        <v>403</v>
      </c>
      <c r="D4947">
        <v>0</v>
      </c>
      <c r="E4947">
        <v>0</v>
      </c>
      <c r="F4947">
        <v>0</v>
      </c>
    </row>
    <row r="4948" spans="1:6" x14ac:dyDescent="0.25">
      <c r="A4948" s="1">
        <v>45078</v>
      </c>
      <c r="B4948" t="s">
        <v>21</v>
      </c>
      <c r="C4948" t="s">
        <v>1272</v>
      </c>
      <c r="D4948" s="2">
        <v>2000000</v>
      </c>
      <c r="E4948">
        <v>0</v>
      </c>
      <c r="F4948">
        <v>0</v>
      </c>
    </row>
    <row r="4949" spans="1:6" x14ac:dyDescent="0.25">
      <c r="A4949" s="1">
        <v>45078</v>
      </c>
      <c r="B4949" t="s">
        <v>105</v>
      </c>
      <c r="C4949" t="s">
        <v>310</v>
      </c>
      <c r="D4949">
        <v>0</v>
      </c>
      <c r="E4949">
        <v>0</v>
      </c>
      <c r="F4949">
        <v>0</v>
      </c>
    </row>
    <row r="4950" spans="1:6" x14ac:dyDescent="0.25">
      <c r="A4950" s="1">
        <v>45078</v>
      </c>
      <c r="B4950" t="s">
        <v>118</v>
      </c>
      <c r="C4950" t="s">
        <v>911</v>
      </c>
      <c r="D4950">
        <v>0</v>
      </c>
      <c r="E4950">
        <v>0</v>
      </c>
      <c r="F4950">
        <v>0</v>
      </c>
    </row>
    <row r="4951" spans="1:6" x14ac:dyDescent="0.25">
      <c r="A4951" s="1">
        <v>45078</v>
      </c>
      <c r="B4951" t="s">
        <v>25</v>
      </c>
      <c r="C4951" t="s">
        <v>324</v>
      </c>
      <c r="D4951" s="2">
        <v>57868960</v>
      </c>
      <c r="E4951">
        <v>0</v>
      </c>
      <c r="F4951">
        <v>0</v>
      </c>
    </row>
    <row r="4952" spans="1:6" x14ac:dyDescent="0.25">
      <c r="A4952" s="1">
        <v>45078</v>
      </c>
      <c r="B4952" t="s">
        <v>278</v>
      </c>
      <c r="C4952" t="s">
        <v>722</v>
      </c>
      <c r="D4952" s="2">
        <v>110000</v>
      </c>
      <c r="E4952">
        <v>0</v>
      </c>
      <c r="F4952">
        <v>0</v>
      </c>
    </row>
    <row r="4953" spans="1:6" x14ac:dyDescent="0.25">
      <c r="A4953" s="1">
        <v>45078</v>
      </c>
      <c r="B4953" t="s">
        <v>65</v>
      </c>
      <c r="C4953" t="s">
        <v>66</v>
      </c>
      <c r="D4953" s="2">
        <v>1930382.43</v>
      </c>
      <c r="E4953" s="2">
        <v>261787.68</v>
      </c>
      <c r="F4953" s="2">
        <v>261787.68</v>
      </c>
    </row>
    <row r="4954" spans="1:6" x14ac:dyDescent="0.25">
      <c r="A4954" s="1">
        <v>45078</v>
      </c>
      <c r="B4954" t="s">
        <v>426</v>
      </c>
      <c r="C4954" t="s">
        <v>427</v>
      </c>
      <c r="D4954" s="2">
        <v>281843752247.21997</v>
      </c>
      <c r="E4954" s="2">
        <v>5607864928.8999996</v>
      </c>
      <c r="F4954" s="2">
        <v>5607864928.8999996</v>
      </c>
    </row>
    <row r="4955" spans="1:6" x14ac:dyDescent="0.25">
      <c r="A4955" s="1">
        <v>45078</v>
      </c>
      <c r="B4955" t="s">
        <v>933</v>
      </c>
      <c r="C4955" t="s">
        <v>1041</v>
      </c>
      <c r="D4955" s="2">
        <v>756244</v>
      </c>
      <c r="E4955" s="2">
        <v>32305.93</v>
      </c>
      <c r="F4955" s="2">
        <v>32305.93</v>
      </c>
    </row>
    <row r="4956" spans="1:6" x14ac:dyDescent="0.25">
      <c r="A4956" s="1">
        <v>45078</v>
      </c>
      <c r="B4956" t="s">
        <v>21</v>
      </c>
      <c r="C4956" t="s">
        <v>312</v>
      </c>
      <c r="D4956">
        <v>0</v>
      </c>
      <c r="E4956" s="2">
        <v>30283.71</v>
      </c>
      <c r="F4956" s="2">
        <v>30283.71</v>
      </c>
    </row>
    <row r="4957" spans="1:6" x14ac:dyDescent="0.25">
      <c r="A4957" s="1">
        <v>45078</v>
      </c>
      <c r="B4957" t="s">
        <v>344</v>
      </c>
      <c r="C4957" t="s">
        <v>1054</v>
      </c>
      <c r="D4957" s="2">
        <v>17598.47</v>
      </c>
      <c r="E4957" s="2">
        <v>49325.01</v>
      </c>
      <c r="F4957" s="2">
        <v>49325.01</v>
      </c>
    </row>
    <row r="4958" spans="1:6" x14ac:dyDescent="0.25">
      <c r="A4958" s="1">
        <v>45078</v>
      </c>
      <c r="B4958" t="s">
        <v>21</v>
      </c>
      <c r="C4958" t="s">
        <v>238</v>
      </c>
      <c r="D4958">
        <v>0</v>
      </c>
      <c r="E4958" s="2">
        <v>318021.23</v>
      </c>
      <c r="F4958" s="2">
        <v>318021.23</v>
      </c>
    </row>
    <row r="4959" spans="1:6" x14ac:dyDescent="0.25">
      <c r="A4959" s="1">
        <v>45078</v>
      </c>
      <c r="B4959" t="s">
        <v>118</v>
      </c>
      <c r="C4959" t="s">
        <v>379</v>
      </c>
      <c r="D4959">
        <v>0</v>
      </c>
      <c r="E4959">
        <v>0</v>
      </c>
      <c r="F4959" s="2">
        <v>4244.6400000000003</v>
      </c>
    </row>
    <row r="4960" spans="1:6" x14ac:dyDescent="0.25">
      <c r="A4960" s="1">
        <v>45078</v>
      </c>
      <c r="B4960" t="s">
        <v>40</v>
      </c>
      <c r="C4960" t="s">
        <v>802</v>
      </c>
      <c r="D4960" s="2">
        <v>8654000</v>
      </c>
      <c r="E4960" s="2">
        <v>168122489.24000001</v>
      </c>
      <c r="F4960" s="2">
        <v>116554823.25</v>
      </c>
    </row>
    <row r="4961" spans="1:6" x14ac:dyDescent="0.25">
      <c r="A4961" s="1">
        <v>45078</v>
      </c>
      <c r="B4961" t="s">
        <v>407</v>
      </c>
      <c r="C4961" t="s">
        <v>408</v>
      </c>
      <c r="D4961" s="2">
        <v>629209</v>
      </c>
      <c r="E4961" s="2">
        <v>9650.24</v>
      </c>
      <c r="F4961" s="2">
        <v>8340.89</v>
      </c>
    </row>
    <row r="4962" spans="1:6" x14ac:dyDescent="0.25">
      <c r="A4962" s="1">
        <v>45078</v>
      </c>
      <c r="B4962" t="s">
        <v>50</v>
      </c>
      <c r="C4962" t="s">
        <v>323</v>
      </c>
      <c r="D4962" s="2">
        <v>5725000</v>
      </c>
      <c r="E4962" s="2">
        <v>193902.88</v>
      </c>
      <c r="F4962" s="2">
        <v>209735.03</v>
      </c>
    </row>
    <row r="4963" spans="1:6" x14ac:dyDescent="0.25">
      <c r="A4963" s="1">
        <v>45078</v>
      </c>
      <c r="B4963" t="s">
        <v>306</v>
      </c>
      <c r="C4963" t="s">
        <v>307</v>
      </c>
      <c r="D4963" s="2">
        <v>-952970.86</v>
      </c>
      <c r="E4963" s="2">
        <v>3484802.29</v>
      </c>
      <c r="F4963" s="2">
        <v>3926771.23</v>
      </c>
    </row>
    <row r="4964" spans="1:6" x14ac:dyDescent="0.25">
      <c r="A4964" s="1">
        <v>45078</v>
      </c>
      <c r="B4964" t="s">
        <v>40</v>
      </c>
      <c r="C4964" t="s">
        <v>857</v>
      </c>
      <c r="D4964" s="2">
        <v>778507893.98000002</v>
      </c>
      <c r="E4964" s="2">
        <v>2909982264.29</v>
      </c>
      <c r="F4964" s="2">
        <v>1951710727.3</v>
      </c>
    </row>
    <row r="4965" spans="1:6" x14ac:dyDescent="0.25">
      <c r="A4965" s="1">
        <v>45078</v>
      </c>
      <c r="B4965" t="s">
        <v>50</v>
      </c>
      <c r="C4965" t="s">
        <v>1150</v>
      </c>
      <c r="D4965" s="2">
        <v>25259069.510000002</v>
      </c>
      <c r="E4965" s="2">
        <v>9787.3700000000008</v>
      </c>
      <c r="F4965" s="2">
        <v>1850.8</v>
      </c>
    </row>
    <row r="4966" spans="1:6" x14ac:dyDescent="0.25">
      <c r="A4966" s="1">
        <v>45078</v>
      </c>
      <c r="B4966" t="s">
        <v>132</v>
      </c>
      <c r="C4966" t="s">
        <v>285</v>
      </c>
      <c r="D4966" s="2">
        <v>18843092.539999999</v>
      </c>
      <c r="E4966" s="2">
        <v>8944223.9600000009</v>
      </c>
      <c r="F4966" s="2">
        <v>7893246.75</v>
      </c>
    </row>
    <row r="4967" spans="1:6" x14ac:dyDescent="0.25">
      <c r="A4967" s="1">
        <v>45078</v>
      </c>
      <c r="B4967" t="s">
        <v>79</v>
      </c>
      <c r="C4967" t="s">
        <v>1210</v>
      </c>
      <c r="D4967">
        <v>0</v>
      </c>
      <c r="E4967">
        <v>0</v>
      </c>
      <c r="F4967">
        <v>0</v>
      </c>
    </row>
    <row r="4968" spans="1:6" x14ac:dyDescent="0.25">
      <c r="A4968" s="1">
        <v>45078</v>
      </c>
      <c r="B4968" t="s">
        <v>11</v>
      </c>
      <c r="C4968" t="s">
        <v>778</v>
      </c>
      <c r="D4968" s="2">
        <v>128378251</v>
      </c>
      <c r="E4968" s="2">
        <v>128183170.59999999</v>
      </c>
      <c r="F4968" s="2">
        <v>85998299.799999997</v>
      </c>
    </row>
    <row r="4969" spans="1:6" x14ac:dyDescent="0.25">
      <c r="A4969" s="1">
        <v>45078</v>
      </c>
      <c r="B4969" t="s">
        <v>23</v>
      </c>
      <c r="C4969" t="s">
        <v>630</v>
      </c>
      <c r="D4969" s="2">
        <v>1229058.74</v>
      </c>
      <c r="E4969" s="2">
        <v>7500</v>
      </c>
      <c r="F4969" s="2">
        <v>7500</v>
      </c>
    </row>
    <row r="4970" spans="1:6" x14ac:dyDescent="0.25">
      <c r="A4970" s="1">
        <v>45078</v>
      </c>
      <c r="B4970" t="s">
        <v>162</v>
      </c>
      <c r="C4970" t="s">
        <v>1052</v>
      </c>
      <c r="D4970">
        <v>0</v>
      </c>
      <c r="E4970" s="2">
        <v>20471326</v>
      </c>
      <c r="F4970" s="2">
        <v>20471326</v>
      </c>
    </row>
    <row r="4971" spans="1:6" x14ac:dyDescent="0.25">
      <c r="A4971" s="1">
        <v>45078</v>
      </c>
      <c r="B4971" t="s">
        <v>490</v>
      </c>
      <c r="C4971" t="s">
        <v>573</v>
      </c>
      <c r="D4971">
        <v>0</v>
      </c>
      <c r="E4971" s="2">
        <v>5500</v>
      </c>
      <c r="F4971" s="2">
        <v>5500</v>
      </c>
    </row>
    <row r="4972" spans="1:6" x14ac:dyDescent="0.25">
      <c r="A4972" s="1">
        <v>45078</v>
      </c>
      <c r="B4972" t="s">
        <v>296</v>
      </c>
      <c r="C4972" t="s">
        <v>997</v>
      </c>
      <c r="D4972" s="2">
        <v>157863716.59999999</v>
      </c>
      <c r="E4972">
        <v>0</v>
      </c>
      <c r="F4972">
        <v>0</v>
      </c>
    </row>
    <row r="4973" spans="1:6" x14ac:dyDescent="0.25">
      <c r="A4973" s="1">
        <v>45078</v>
      </c>
      <c r="B4973" t="s">
        <v>460</v>
      </c>
      <c r="C4973" t="s">
        <v>461</v>
      </c>
      <c r="D4973" s="2">
        <v>61087.1</v>
      </c>
      <c r="E4973" s="2">
        <v>151616.94</v>
      </c>
      <c r="F4973" s="2">
        <v>151616.94</v>
      </c>
    </row>
    <row r="4974" spans="1:6" x14ac:dyDescent="0.25">
      <c r="A4974" s="1">
        <v>45078</v>
      </c>
      <c r="B4974" t="s">
        <v>21</v>
      </c>
      <c r="C4974" t="s">
        <v>963</v>
      </c>
      <c r="D4974">
        <v>0</v>
      </c>
      <c r="E4974">
        <v>0</v>
      </c>
      <c r="F4974">
        <v>0</v>
      </c>
    </row>
    <row r="4975" spans="1:6" x14ac:dyDescent="0.25">
      <c r="A4975" s="1">
        <v>45078</v>
      </c>
      <c r="B4975" t="s">
        <v>42</v>
      </c>
      <c r="C4975" t="s">
        <v>334</v>
      </c>
      <c r="D4975" s="2">
        <v>-43311.6</v>
      </c>
      <c r="E4975" s="2">
        <v>-43311.6</v>
      </c>
      <c r="F4975" s="2">
        <v>-43311.6</v>
      </c>
    </row>
    <row r="4976" spans="1:6" x14ac:dyDescent="0.25">
      <c r="A4976" s="1">
        <v>45078</v>
      </c>
      <c r="B4976" t="s">
        <v>216</v>
      </c>
      <c r="C4976" t="s">
        <v>217</v>
      </c>
      <c r="D4976">
        <v>0</v>
      </c>
      <c r="E4976">
        <v>0</v>
      </c>
      <c r="F4976">
        <v>0</v>
      </c>
    </row>
    <row r="4977" spans="1:6" x14ac:dyDescent="0.25">
      <c r="A4977" s="1">
        <v>45078</v>
      </c>
      <c r="B4977" t="s">
        <v>21</v>
      </c>
      <c r="C4977" t="s">
        <v>516</v>
      </c>
      <c r="D4977">
        <v>0</v>
      </c>
      <c r="E4977">
        <v>0</v>
      </c>
      <c r="F4977">
        <v>0</v>
      </c>
    </row>
    <row r="4978" spans="1:6" x14ac:dyDescent="0.25">
      <c r="A4978" s="1">
        <v>45078</v>
      </c>
      <c r="B4978" t="s">
        <v>44</v>
      </c>
      <c r="C4978" t="s">
        <v>253</v>
      </c>
      <c r="D4978" s="2">
        <v>21913.93</v>
      </c>
      <c r="E4978" s="2">
        <v>54665.97</v>
      </c>
      <c r="F4978" s="2">
        <v>55332.68</v>
      </c>
    </row>
    <row r="4979" spans="1:6" x14ac:dyDescent="0.25">
      <c r="A4979" s="1">
        <v>45078</v>
      </c>
      <c r="B4979" t="s">
        <v>143</v>
      </c>
      <c r="C4979" t="s">
        <v>1161</v>
      </c>
      <c r="D4979" s="2">
        <v>196000</v>
      </c>
      <c r="E4979">
        <v>0</v>
      </c>
      <c r="F4979">
        <v>0</v>
      </c>
    </row>
    <row r="4980" spans="1:6" x14ac:dyDescent="0.25">
      <c r="A4980" s="1">
        <v>45078</v>
      </c>
      <c r="B4980" t="s">
        <v>29</v>
      </c>
      <c r="C4980" t="s">
        <v>60</v>
      </c>
      <c r="D4980" s="2">
        <v>240708.66</v>
      </c>
      <c r="E4980" s="2">
        <v>46262.67</v>
      </c>
      <c r="F4980" s="2">
        <v>46262.67</v>
      </c>
    </row>
    <row r="4981" spans="1:6" x14ac:dyDescent="0.25">
      <c r="A4981" s="1">
        <v>45078</v>
      </c>
      <c r="B4981" t="s">
        <v>114</v>
      </c>
      <c r="C4981" t="s">
        <v>1093</v>
      </c>
      <c r="D4981">
        <v>0</v>
      </c>
      <c r="E4981">
        <v>0</v>
      </c>
      <c r="F4981">
        <v>0</v>
      </c>
    </row>
    <row r="4982" spans="1:6" x14ac:dyDescent="0.25">
      <c r="A4982" s="1">
        <v>45078</v>
      </c>
      <c r="B4982" t="s">
        <v>21</v>
      </c>
      <c r="C4982" t="s">
        <v>329</v>
      </c>
      <c r="D4982" s="2">
        <v>5000000</v>
      </c>
      <c r="E4982" s="2">
        <v>12807577.789999999</v>
      </c>
      <c r="F4982" s="2">
        <v>12807577.789999999</v>
      </c>
    </row>
    <row r="4983" spans="1:6" x14ac:dyDescent="0.25">
      <c r="A4983" s="1">
        <v>45078</v>
      </c>
      <c r="B4983" t="s">
        <v>37</v>
      </c>
      <c r="C4983" t="s">
        <v>38</v>
      </c>
      <c r="D4983">
        <v>0</v>
      </c>
      <c r="E4983" s="2">
        <v>228472483.06</v>
      </c>
      <c r="F4983" s="2">
        <v>228472483.06</v>
      </c>
    </row>
    <row r="4984" spans="1:6" x14ac:dyDescent="0.25">
      <c r="A4984" s="1">
        <v>45078</v>
      </c>
      <c r="B4984" t="s">
        <v>422</v>
      </c>
      <c r="C4984" t="s">
        <v>1045</v>
      </c>
      <c r="D4984" s="2">
        <v>35860318.119999997</v>
      </c>
      <c r="E4984" s="2">
        <v>2258000</v>
      </c>
      <c r="F4984" s="2">
        <v>2258000</v>
      </c>
    </row>
    <row r="4985" spans="1:6" x14ac:dyDescent="0.25">
      <c r="A4985" s="1">
        <v>45078</v>
      </c>
      <c r="B4985" t="s">
        <v>23</v>
      </c>
      <c r="C4985" t="s">
        <v>157</v>
      </c>
      <c r="D4985" s="2">
        <v>-292497.76</v>
      </c>
      <c r="E4985" s="2">
        <v>210400.72</v>
      </c>
      <c r="F4985" s="2">
        <v>213369.07</v>
      </c>
    </row>
    <row r="4986" spans="1:6" x14ac:dyDescent="0.25">
      <c r="A4986" s="1">
        <v>45078</v>
      </c>
      <c r="B4986" t="s">
        <v>405</v>
      </c>
      <c r="C4986" t="s">
        <v>72</v>
      </c>
      <c r="D4986">
        <v>0</v>
      </c>
      <c r="E4986">
        <v>0</v>
      </c>
      <c r="F4986">
        <v>0</v>
      </c>
    </row>
    <row r="4987" spans="1:6" x14ac:dyDescent="0.25">
      <c r="A4987" s="1">
        <v>45078</v>
      </c>
      <c r="B4987" t="s">
        <v>13</v>
      </c>
      <c r="C4987" t="s">
        <v>446</v>
      </c>
      <c r="D4987" s="2">
        <v>3248096.95</v>
      </c>
      <c r="E4987" s="2">
        <v>895463.74</v>
      </c>
      <c r="F4987" s="2">
        <v>1350400.85</v>
      </c>
    </row>
    <row r="4988" spans="1:6" x14ac:dyDescent="0.25">
      <c r="A4988" s="1">
        <v>45078</v>
      </c>
      <c r="B4988" t="s">
        <v>402</v>
      </c>
      <c r="C4988" t="s">
        <v>1140</v>
      </c>
      <c r="D4988">
        <v>0</v>
      </c>
      <c r="E4988">
        <v>0</v>
      </c>
      <c r="F4988">
        <v>0</v>
      </c>
    </row>
    <row r="4989" spans="1:6" x14ac:dyDescent="0.25">
      <c r="A4989" s="1">
        <v>45078</v>
      </c>
      <c r="B4989" t="s">
        <v>278</v>
      </c>
      <c r="C4989" t="s">
        <v>279</v>
      </c>
      <c r="D4989" s="2">
        <v>3249.41</v>
      </c>
      <c r="E4989" s="2">
        <v>266221.40999999997</v>
      </c>
      <c r="F4989" s="2">
        <v>269596.21000000002</v>
      </c>
    </row>
    <row r="4990" spans="1:6" x14ac:dyDescent="0.25">
      <c r="A4990" s="1">
        <v>45078</v>
      </c>
      <c r="B4990" t="s">
        <v>441</v>
      </c>
      <c r="C4990" t="s">
        <v>1273</v>
      </c>
      <c r="D4990">
        <v>0</v>
      </c>
      <c r="E4990">
        <v>0</v>
      </c>
      <c r="F4990">
        <v>0</v>
      </c>
    </row>
    <row r="4991" spans="1:6" x14ac:dyDescent="0.25">
      <c r="A4991" s="1">
        <v>45078</v>
      </c>
      <c r="B4991" t="s">
        <v>21</v>
      </c>
      <c r="C4991" t="s">
        <v>622</v>
      </c>
      <c r="D4991">
        <v>0</v>
      </c>
      <c r="E4991" s="2">
        <v>269683.88</v>
      </c>
      <c r="F4991" s="2">
        <v>269683.88</v>
      </c>
    </row>
    <row r="4992" spans="1:6" x14ac:dyDescent="0.25">
      <c r="A4992" s="1">
        <v>45078</v>
      </c>
      <c r="B4992" t="s">
        <v>42</v>
      </c>
      <c r="C4992" t="s">
        <v>447</v>
      </c>
      <c r="D4992">
        <v>0</v>
      </c>
      <c r="E4992">
        <v>0</v>
      </c>
      <c r="F4992">
        <v>0</v>
      </c>
    </row>
    <row r="4993" spans="1:6" x14ac:dyDescent="0.25">
      <c r="A4993" s="1">
        <v>45078</v>
      </c>
      <c r="B4993" t="s">
        <v>185</v>
      </c>
      <c r="C4993" t="s">
        <v>186</v>
      </c>
      <c r="D4993" s="2">
        <v>205072068.72999999</v>
      </c>
      <c r="E4993" s="2">
        <v>385752613.25999999</v>
      </c>
      <c r="F4993" s="2">
        <v>385752613.25999999</v>
      </c>
    </row>
    <row r="4994" spans="1:6" x14ac:dyDescent="0.25">
      <c r="A4994" s="1">
        <v>45078</v>
      </c>
      <c r="B4994" t="s">
        <v>31</v>
      </c>
      <c r="C4994" t="s">
        <v>1176</v>
      </c>
      <c r="D4994">
        <v>0</v>
      </c>
      <c r="E4994">
        <v>0</v>
      </c>
      <c r="F4994">
        <v>0</v>
      </c>
    </row>
    <row r="4995" spans="1:6" x14ac:dyDescent="0.25">
      <c r="A4995" s="1">
        <v>45078</v>
      </c>
      <c r="B4995" t="s">
        <v>37</v>
      </c>
      <c r="C4995" t="s">
        <v>577</v>
      </c>
      <c r="D4995" s="2">
        <v>32208.43</v>
      </c>
      <c r="E4995" s="2">
        <v>28874.48</v>
      </c>
      <c r="F4995" s="2">
        <v>28701.85</v>
      </c>
    </row>
    <row r="4996" spans="1:6" x14ac:dyDescent="0.25">
      <c r="A4996" s="1">
        <v>45078</v>
      </c>
      <c r="B4996" t="s">
        <v>176</v>
      </c>
      <c r="C4996" t="s">
        <v>95</v>
      </c>
      <c r="D4996">
        <v>0</v>
      </c>
      <c r="E4996">
        <v>0</v>
      </c>
      <c r="F4996">
        <v>0</v>
      </c>
    </row>
    <row r="4997" spans="1:6" x14ac:dyDescent="0.25">
      <c r="A4997" s="1">
        <v>45078</v>
      </c>
      <c r="B4997" t="s">
        <v>234</v>
      </c>
      <c r="C4997" t="s">
        <v>771</v>
      </c>
      <c r="D4997" s="2">
        <v>1500000</v>
      </c>
      <c r="E4997">
        <v>0</v>
      </c>
      <c r="F4997">
        <v>0</v>
      </c>
    </row>
    <row r="4998" spans="1:6" x14ac:dyDescent="0.25">
      <c r="A4998" s="1">
        <v>45078</v>
      </c>
      <c r="B4998" t="s">
        <v>458</v>
      </c>
      <c r="C4998" t="s">
        <v>30</v>
      </c>
      <c r="D4998">
        <v>0</v>
      </c>
      <c r="E4998">
        <v>0</v>
      </c>
      <c r="F4998">
        <v>0</v>
      </c>
    </row>
    <row r="4999" spans="1:6" x14ac:dyDescent="0.25">
      <c r="A4999" s="1">
        <v>45078</v>
      </c>
      <c r="B4999" t="s">
        <v>118</v>
      </c>
      <c r="C4999" t="s">
        <v>308</v>
      </c>
      <c r="D4999" s="2">
        <v>701897.66</v>
      </c>
      <c r="E4999" s="2">
        <v>90399.62</v>
      </c>
      <c r="F4999" s="2">
        <v>102336.06</v>
      </c>
    </row>
    <row r="5000" spans="1:6" x14ac:dyDescent="0.25">
      <c r="A5000" s="1">
        <v>45078</v>
      </c>
      <c r="B5000" t="s">
        <v>17</v>
      </c>
      <c r="C5000" t="s">
        <v>1057</v>
      </c>
      <c r="D5000">
        <v>0</v>
      </c>
      <c r="E5000">
        <v>0</v>
      </c>
      <c r="F5000">
        <v>0</v>
      </c>
    </row>
    <row r="5001" spans="1:6" x14ac:dyDescent="0.25">
      <c r="A5001" s="1">
        <v>45078</v>
      </c>
      <c r="B5001" t="s">
        <v>98</v>
      </c>
      <c r="C5001" t="s">
        <v>249</v>
      </c>
      <c r="D5001">
        <v>0</v>
      </c>
      <c r="E5001">
        <v>0</v>
      </c>
      <c r="F5001">
        <v>0</v>
      </c>
    </row>
    <row r="5002" spans="1:6" x14ac:dyDescent="0.25">
      <c r="A5002" s="1">
        <v>45078</v>
      </c>
      <c r="B5002" t="s">
        <v>306</v>
      </c>
      <c r="C5002" t="s">
        <v>414</v>
      </c>
      <c r="D5002" s="2">
        <v>6319956.1799999997</v>
      </c>
      <c r="E5002" s="2">
        <v>655518.43000000005</v>
      </c>
      <c r="F5002" s="2">
        <v>658403.81999999995</v>
      </c>
    </row>
    <row r="5003" spans="1:6" x14ac:dyDescent="0.25">
      <c r="A5003" s="1">
        <v>45078</v>
      </c>
      <c r="B5003" t="s">
        <v>40</v>
      </c>
      <c r="C5003" t="s">
        <v>803</v>
      </c>
      <c r="D5003">
        <v>0</v>
      </c>
      <c r="E5003" s="2">
        <v>522795.67</v>
      </c>
      <c r="F5003" s="2">
        <v>535243.43000000005</v>
      </c>
    </row>
    <row r="5004" spans="1:6" x14ac:dyDescent="0.25">
      <c r="A5004" s="1">
        <v>45078</v>
      </c>
      <c r="B5004" t="s">
        <v>40</v>
      </c>
      <c r="C5004" t="s">
        <v>148</v>
      </c>
      <c r="D5004">
        <v>0</v>
      </c>
      <c r="E5004" s="2">
        <v>1132098.42</v>
      </c>
      <c r="F5004" s="2">
        <v>1140146.27</v>
      </c>
    </row>
    <row r="5005" spans="1:6" x14ac:dyDescent="0.25">
      <c r="A5005" s="1">
        <v>45078</v>
      </c>
      <c r="B5005" t="s">
        <v>344</v>
      </c>
      <c r="C5005" t="s">
        <v>568</v>
      </c>
      <c r="D5005">
        <v>0</v>
      </c>
      <c r="E5005">
        <v>0</v>
      </c>
      <c r="F5005">
        <v>0</v>
      </c>
    </row>
    <row r="5006" spans="1:6" x14ac:dyDescent="0.25">
      <c r="A5006" s="1">
        <v>45078</v>
      </c>
      <c r="B5006" t="s">
        <v>278</v>
      </c>
      <c r="C5006" t="s">
        <v>481</v>
      </c>
      <c r="D5006" s="2">
        <v>34364757.450000003</v>
      </c>
      <c r="E5006" s="2">
        <v>100572489.97</v>
      </c>
      <c r="F5006" s="2">
        <v>100568291.98</v>
      </c>
    </row>
    <row r="5007" spans="1:6" x14ac:dyDescent="0.25">
      <c r="A5007" s="1">
        <v>45078</v>
      </c>
      <c r="B5007" t="s">
        <v>17</v>
      </c>
      <c r="C5007" t="s">
        <v>782</v>
      </c>
      <c r="D5007">
        <v>0</v>
      </c>
      <c r="E5007">
        <v>0</v>
      </c>
      <c r="F5007">
        <v>0</v>
      </c>
    </row>
    <row r="5008" spans="1:6" x14ac:dyDescent="0.25">
      <c r="A5008" s="1">
        <v>45078</v>
      </c>
      <c r="B5008" t="s">
        <v>37</v>
      </c>
      <c r="C5008" t="s">
        <v>1196</v>
      </c>
      <c r="D5008">
        <v>0</v>
      </c>
      <c r="E5008" s="2">
        <v>151177.66</v>
      </c>
      <c r="F5008" s="2">
        <v>151177.66</v>
      </c>
    </row>
    <row r="5009" spans="1:6" x14ac:dyDescent="0.25">
      <c r="A5009" s="1">
        <v>45078</v>
      </c>
      <c r="B5009" t="s">
        <v>114</v>
      </c>
      <c r="C5009" t="s">
        <v>945</v>
      </c>
      <c r="D5009">
        <v>0</v>
      </c>
      <c r="E5009" s="2">
        <v>52423.48</v>
      </c>
      <c r="F5009" s="2">
        <v>53592.41</v>
      </c>
    </row>
    <row r="5010" spans="1:6" x14ac:dyDescent="0.25">
      <c r="A5010" s="1">
        <v>45078</v>
      </c>
      <c r="B5010" t="s">
        <v>278</v>
      </c>
      <c r="C5010" t="s">
        <v>900</v>
      </c>
      <c r="D5010">
        <v>0</v>
      </c>
      <c r="E5010" s="2">
        <v>217992.65</v>
      </c>
      <c r="F5010" s="2">
        <v>175513.32</v>
      </c>
    </row>
    <row r="5011" spans="1:6" x14ac:dyDescent="0.25">
      <c r="A5011" s="1">
        <v>45078</v>
      </c>
      <c r="B5011" t="s">
        <v>118</v>
      </c>
      <c r="C5011" t="s">
        <v>1081</v>
      </c>
      <c r="D5011" s="2">
        <v>50000000</v>
      </c>
      <c r="E5011">
        <v>0</v>
      </c>
      <c r="F5011">
        <v>0</v>
      </c>
    </row>
    <row r="5012" spans="1:6" x14ac:dyDescent="0.25">
      <c r="A5012" s="1">
        <v>45078</v>
      </c>
      <c r="B5012" t="s">
        <v>42</v>
      </c>
      <c r="C5012" t="s">
        <v>952</v>
      </c>
      <c r="D5012">
        <v>0</v>
      </c>
      <c r="E5012" s="2">
        <v>26734901.449999999</v>
      </c>
      <c r="F5012" s="2">
        <v>26734901.449999999</v>
      </c>
    </row>
    <row r="5013" spans="1:6" x14ac:dyDescent="0.25">
      <c r="A5013" s="1">
        <v>45078</v>
      </c>
      <c r="B5013" t="s">
        <v>992</v>
      </c>
      <c r="C5013" t="s">
        <v>993</v>
      </c>
      <c r="D5013">
        <v>0</v>
      </c>
      <c r="E5013">
        <v>0</v>
      </c>
      <c r="F5013">
        <v>0</v>
      </c>
    </row>
    <row r="5014" spans="1:6" x14ac:dyDescent="0.25">
      <c r="A5014" s="1">
        <v>45078</v>
      </c>
      <c r="B5014" t="s">
        <v>17</v>
      </c>
      <c r="C5014" t="s">
        <v>268</v>
      </c>
      <c r="D5014" s="2">
        <v>137031</v>
      </c>
      <c r="E5014">
        <v>0</v>
      </c>
      <c r="F5014">
        <v>0</v>
      </c>
    </row>
    <row r="5015" spans="1:6" x14ac:dyDescent="0.25">
      <c r="A5015" s="1">
        <v>45078</v>
      </c>
      <c r="B5015" t="s">
        <v>21</v>
      </c>
      <c r="C5015" t="s">
        <v>775</v>
      </c>
      <c r="D5015" s="2">
        <v>143776.65</v>
      </c>
      <c r="E5015">
        <v>0</v>
      </c>
      <c r="F5015">
        <v>0</v>
      </c>
    </row>
    <row r="5016" spans="1:6" x14ac:dyDescent="0.25">
      <c r="A5016" s="1">
        <v>45078</v>
      </c>
      <c r="B5016" t="s">
        <v>31</v>
      </c>
      <c r="C5016" t="s">
        <v>357</v>
      </c>
      <c r="D5016">
        <v>0</v>
      </c>
      <c r="E5016">
        <v>0</v>
      </c>
      <c r="F5016">
        <v>0</v>
      </c>
    </row>
    <row r="5017" spans="1:6" x14ac:dyDescent="0.25">
      <c r="A5017" s="1">
        <v>45078</v>
      </c>
      <c r="B5017" t="s">
        <v>21</v>
      </c>
      <c r="C5017" t="s">
        <v>797</v>
      </c>
      <c r="D5017">
        <v>0</v>
      </c>
      <c r="E5017" s="2">
        <v>574351.56999999995</v>
      </c>
      <c r="F5017" s="2">
        <v>574351.56999999995</v>
      </c>
    </row>
    <row r="5018" spans="1:6" x14ac:dyDescent="0.25">
      <c r="A5018" s="1">
        <v>45078</v>
      </c>
      <c r="B5018" t="s">
        <v>1274</v>
      </c>
      <c r="C5018" t="s">
        <v>1275</v>
      </c>
      <c r="D5018">
        <v>0</v>
      </c>
      <c r="E5018">
        <v>0</v>
      </c>
      <c r="F5018">
        <v>0</v>
      </c>
    </row>
    <row r="5019" spans="1:6" x14ac:dyDescent="0.25">
      <c r="A5019" s="1">
        <v>45078</v>
      </c>
      <c r="B5019" t="s">
        <v>31</v>
      </c>
      <c r="C5019" t="s">
        <v>192</v>
      </c>
      <c r="D5019" s="2">
        <v>181009643.80000001</v>
      </c>
      <c r="E5019" s="2">
        <v>2090211.09</v>
      </c>
      <c r="F5019" s="2">
        <v>2090211.09</v>
      </c>
    </row>
    <row r="5020" spans="1:6" x14ac:dyDescent="0.25">
      <c r="A5020" s="1">
        <v>45078</v>
      </c>
      <c r="B5020" t="s">
        <v>181</v>
      </c>
      <c r="C5020" t="s">
        <v>182</v>
      </c>
      <c r="D5020">
        <v>0</v>
      </c>
      <c r="E5020">
        <v>0</v>
      </c>
      <c r="F5020">
        <v>0</v>
      </c>
    </row>
    <row r="5021" spans="1:6" x14ac:dyDescent="0.25">
      <c r="A5021" s="1">
        <v>45078</v>
      </c>
      <c r="B5021" t="s">
        <v>23</v>
      </c>
      <c r="C5021" t="s">
        <v>620</v>
      </c>
      <c r="D5021" s="2">
        <v>507992.8</v>
      </c>
      <c r="E5021" s="2">
        <v>193868.73</v>
      </c>
      <c r="F5021" s="2">
        <v>9574839.0800000001</v>
      </c>
    </row>
    <row r="5022" spans="1:6" x14ac:dyDescent="0.25">
      <c r="A5022" s="1">
        <v>45078</v>
      </c>
      <c r="B5022" t="s">
        <v>42</v>
      </c>
      <c r="C5022" t="s">
        <v>72</v>
      </c>
      <c r="D5022">
        <v>0</v>
      </c>
      <c r="E5022">
        <v>0</v>
      </c>
      <c r="F5022">
        <v>0</v>
      </c>
    </row>
    <row r="5023" spans="1:6" x14ac:dyDescent="0.25">
      <c r="A5023" s="1">
        <v>45078</v>
      </c>
      <c r="B5023" t="s">
        <v>98</v>
      </c>
      <c r="C5023" t="s">
        <v>178</v>
      </c>
      <c r="D5023">
        <v>0</v>
      </c>
      <c r="E5023">
        <v>0</v>
      </c>
      <c r="F5023">
        <v>0</v>
      </c>
    </row>
    <row r="5024" spans="1:6" x14ac:dyDescent="0.25">
      <c r="A5024" s="1">
        <v>45078</v>
      </c>
      <c r="B5024" t="s">
        <v>63</v>
      </c>
      <c r="C5024" t="s">
        <v>1092</v>
      </c>
      <c r="D5024" s="2">
        <v>-62409.39</v>
      </c>
      <c r="E5024">
        <v>0</v>
      </c>
      <c r="F5024">
        <v>0</v>
      </c>
    </row>
    <row r="5025" spans="1:6" x14ac:dyDescent="0.25">
      <c r="A5025" s="1">
        <v>45078</v>
      </c>
      <c r="B5025" t="s">
        <v>92</v>
      </c>
      <c r="C5025" t="s">
        <v>1023</v>
      </c>
      <c r="D5025">
        <v>0</v>
      </c>
      <c r="E5025">
        <v>0</v>
      </c>
      <c r="F5025">
        <v>0</v>
      </c>
    </row>
    <row r="5026" spans="1:6" x14ac:dyDescent="0.25">
      <c r="A5026" s="1">
        <v>45078</v>
      </c>
      <c r="B5026" t="s">
        <v>44</v>
      </c>
      <c r="C5026" t="s">
        <v>723</v>
      </c>
      <c r="D5026" s="2">
        <v>392820</v>
      </c>
      <c r="E5026" s="2">
        <v>233916.91</v>
      </c>
      <c r="F5026" s="2">
        <v>214701.94</v>
      </c>
    </row>
    <row r="5027" spans="1:6" x14ac:dyDescent="0.25">
      <c r="A5027" s="1">
        <v>45078</v>
      </c>
      <c r="B5027" t="s">
        <v>476</v>
      </c>
      <c r="C5027" t="s">
        <v>950</v>
      </c>
      <c r="D5027">
        <v>0</v>
      </c>
      <c r="E5027">
        <v>0</v>
      </c>
      <c r="F5027">
        <v>0</v>
      </c>
    </row>
    <row r="5028" spans="1:6" x14ac:dyDescent="0.25">
      <c r="A5028" s="1">
        <v>45078</v>
      </c>
      <c r="B5028" t="s">
        <v>75</v>
      </c>
      <c r="C5028" t="s">
        <v>269</v>
      </c>
      <c r="D5028">
        <v>0</v>
      </c>
      <c r="E5028">
        <v>0</v>
      </c>
      <c r="F5028" s="2">
        <v>9647941.9299999997</v>
      </c>
    </row>
    <row r="5029" spans="1:6" x14ac:dyDescent="0.25">
      <c r="A5029" s="1">
        <v>45078</v>
      </c>
      <c r="B5029" t="s">
        <v>19</v>
      </c>
      <c r="C5029" t="s">
        <v>733</v>
      </c>
      <c r="D5029">
        <v>0</v>
      </c>
      <c r="E5029" s="2">
        <v>1207.22</v>
      </c>
      <c r="F5029" s="2">
        <v>1074.43</v>
      </c>
    </row>
    <row r="5030" spans="1:6" x14ac:dyDescent="0.25">
      <c r="A5030" s="1">
        <v>45078</v>
      </c>
      <c r="B5030" t="s">
        <v>46</v>
      </c>
      <c r="C5030" t="s">
        <v>820</v>
      </c>
      <c r="D5030" s="2">
        <v>12890480.84</v>
      </c>
      <c r="E5030" s="2">
        <v>2038448.05</v>
      </c>
      <c r="F5030" s="2">
        <v>2037934.7</v>
      </c>
    </row>
    <row r="5031" spans="1:6" x14ac:dyDescent="0.25">
      <c r="A5031" s="1">
        <v>45078</v>
      </c>
      <c r="B5031" t="s">
        <v>53</v>
      </c>
      <c r="C5031" t="s">
        <v>382</v>
      </c>
      <c r="D5031">
        <v>0</v>
      </c>
      <c r="E5031" s="2">
        <v>387261385.55000001</v>
      </c>
      <c r="F5031" s="2">
        <v>387261385.55000001</v>
      </c>
    </row>
    <row r="5032" spans="1:6" x14ac:dyDescent="0.25">
      <c r="A5032" s="1">
        <v>45078</v>
      </c>
      <c r="B5032" t="s">
        <v>206</v>
      </c>
      <c r="C5032" t="s">
        <v>207</v>
      </c>
      <c r="D5032" s="2">
        <v>30000</v>
      </c>
      <c r="E5032" s="2">
        <v>55253.15</v>
      </c>
      <c r="F5032" s="2">
        <v>22125.84</v>
      </c>
    </row>
    <row r="5033" spans="1:6" x14ac:dyDescent="0.25">
      <c r="A5033" s="1">
        <v>45078</v>
      </c>
      <c r="B5033" t="s">
        <v>101</v>
      </c>
      <c r="C5033" t="s">
        <v>984</v>
      </c>
      <c r="D5033" s="2">
        <v>5766000.9400000004</v>
      </c>
      <c r="E5033" s="2">
        <v>250682.05</v>
      </c>
      <c r="F5033" s="2">
        <v>250682.05</v>
      </c>
    </row>
    <row r="5034" spans="1:6" x14ac:dyDescent="0.25">
      <c r="A5034" s="1">
        <v>45078</v>
      </c>
      <c r="B5034" t="s">
        <v>127</v>
      </c>
      <c r="C5034" t="s">
        <v>171</v>
      </c>
      <c r="D5034" s="2">
        <v>-77230</v>
      </c>
      <c r="E5034" s="2">
        <v>93043.71</v>
      </c>
      <c r="F5034" s="2">
        <v>93043.71</v>
      </c>
    </row>
    <row r="5035" spans="1:6" x14ac:dyDescent="0.25">
      <c r="A5035" s="1">
        <v>45078</v>
      </c>
      <c r="B5035" t="s">
        <v>27</v>
      </c>
      <c r="C5035" t="s">
        <v>811</v>
      </c>
      <c r="D5035" s="2">
        <v>982606.33</v>
      </c>
      <c r="E5035" s="2">
        <v>108611.83</v>
      </c>
      <c r="F5035" s="2">
        <v>105791.11</v>
      </c>
    </row>
    <row r="5036" spans="1:6" x14ac:dyDescent="0.25">
      <c r="A5036" s="1">
        <v>45078</v>
      </c>
      <c r="B5036" t="s">
        <v>282</v>
      </c>
      <c r="C5036" t="s">
        <v>664</v>
      </c>
      <c r="D5036" s="2">
        <v>6000000</v>
      </c>
      <c r="E5036" s="2">
        <v>14719370804.52</v>
      </c>
      <c r="F5036" s="2">
        <v>14719370804.52</v>
      </c>
    </row>
    <row r="5037" spans="1:6" x14ac:dyDescent="0.25">
      <c r="A5037" s="1">
        <v>45078</v>
      </c>
      <c r="B5037" t="s">
        <v>40</v>
      </c>
      <c r="C5037" t="s">
        <v>149</v>
      </c>
      <c r="D5037" s="2">
        <v>9111100.7400000002</v>
      </c>
      <c r="E5037" s="2">
        <v>8908867.0600000005</v>
      </c>
      <c r="F5037" s="2">
        <v>8951073.7100000009</v>
      </c>
    </row>
    <row r="5038" spans="1:6" x14ac:dyDescent="0.25">
      <c r="A5038" s="1">
        <v>45078</v>
      </c>
      <c r="B5038" t="s">
        <v>490</v>
      </c>
      <c r="C5038" t="s">
        <v>1065</v>
      </c>
      <c r="D5038" s="2">
        <v>52103729.390000001</v>
      </c>
      <c r="E5038" s="2">
        <v>45095278.18</v>
      </c>
      <c r="F5038" s="2">
        <v>45094579.390000001</v>
      </c>
    </row>
    <row r="5039" spans="1:6" x14ac:dyDescent="0.25">
      <c r="A5039" s="1">
        <v>45078</v>
      </c>
      <c r="B5039" t="s">
        <v>15</v>
      </c>
      <c r="C5039" t="s">
        <v>627</v>
      </c>
      <c r="D5039">
        <v>0</v>
      </c>
      <c r="E5039">
        <v>0</v>
      </c>
      <c r="F5039">
        <v>0</v>
      </c>
    </row>
    <row r="5040" spans="1:6" x14ac:dyDescent="0.25">
      <c r="A5040" s="1">
        <v>45078</v>
      </c>
      <c r="B5040" t="s">
        <v>114</v>
      </c>
      <c r="C5040" t="s">
        <v>1085</v>
      </c>
      <c r="D5040">
        <v>0</v>
      </c>
      <c r="E5040">
        <v>0</v>
      </c>
      <c r="F5040">
        <v>0</v>
      </c>
    </row>
    <row r="5041" spans="1:6" x14ac:dyDescent="0.25">
      <c r="A5041" s="1">
        <v>45078</v>
      </c>
      <c r="B5041" t="s">
        <v>21</v>
      </c>
      <c r="C5041" t="s">
        <v>431</v>
      </c>
      <c r="D5041" s="2">
        <v>2300000</v>
      </c>
      <c r="E5041" s="2">
        <v>429022.55</v>
      </c>
      <c r="F5041" s="2">
        <v>429022.55</v>
      </c>
    </row>
    <row r="5042" spans="1:6" x14ac:dyDescent="0.25">
      <c r="A5042" s="1">
        <v>45078</v>
      </c>
      <c r="B5042" t="s">
        <v>234</v>
      </c>
      <c r="C5042" t="s">
        <v>284</v>
      </c>
      <c r="D5042" s="2">
        <v>4306095598</v>
      </c>
      <c r="E5042" s="2">
        <v>4306095598</v>
      </c>
      <c r="F5042" s="2">
        <v>4306095598</v>
      </c>
    </row>
    <row r="5043" spans="1:6" x14ac:dyDescent="0.25">
      <c r="A5043" s="1">
        <v>45078</v>
      </c>
      <c r="B5043" t="s">
        <v>21</v>
      </c>
      <c r="C5043" t="s">
        <v>700</v>
      </c>
      <c r="D5043" s="2">
        <v>7750801.5499999998</v>
      </c>
      <c r="E5043" s="2">
        <v>222738.45</v>
      </c>
      <c r="F5043" s="2">
        <v>222738.45</v>
      </c>
    </row>
    <row r="5044" spans="1:6" x14ac:dyDescent="0.25">
      <c r="A5044" s="1">
        <v>45078</v>
      </c>
      <c r="B5044" t="s">
        <v>164</v>
      </c>
      <c r="C5044" t="s">
        <v>840</v>
      </c>
      <c r="D5044">
        <v>0</v>
      </c>
      <c r="E5044">
        <v>0</v>
      </c>
      <c r="F5044">
        <v>0</v>
      </c>
    </row>
    <row r="5045" spans="1:6" x14ac:dyDescent="0.25">
      <c r="A5045" s="1">
        <v>45078</v>
      </c>
      <c r="B5045" t="s">
        <v>77</v>
      </c>
      <c r="C5045" t="s">
        <v>78</v>
      </c>
      <c r="D5045">
        <v>0</v>
      </c>
      <c r="E5045">
        <v>0</v>
      </c>
      <c r="F5045">
        <v>0</v>
      </c>
    </row>
    <row r="5046" spans="1:6" x14ac:dyDescent="0.25">
      <c r="A5046" s="1">
        <v>45078</v>
      </c>
      <c r="B5046" t="s">
        <v>114</v>
      </c>
      <c r="C5046" t="s">
        <v>1062</v>
      </c>
      <c r="D5046">
        <v>0</v>
      </c>
      <c r="E5046">
        <v>0</v>
      </c>
      <c r="F5046">
        <v>0</v>
      </c>
    </row>
    <row r="5047" spans="1:6" x14ac:dyDescent="0.25">
      <c r="A5047" s="1">
        <v>45078</v>
      </c>
      <c r="B5047" t="s">
        <v>46</v>
      </c>
      <c r="C5047" t="s">
        <v>57</v>
      </c>
      <c r="D5047">
        <v>0</v>
      </c>
      <c r="E5047" s="2">
        <v>5569.66</v>
      </c>
      <c r="F5047" s="2">
        <v>5569.66</v>
      </c>
    </row>
    <row r="5048" spans="1:6" x14ac:dyDescent="0.25">
      <c r="A5048" s="1">
        <v>45078</v>
      </c>
      <c r="B5048" t="s">
        <v>234</v>
      </c>
      <c r="C5048" t="s">
        <v>412</v>
      </c>
      <c r="D5048" s="2">
        <v>252593.38</v>
      </c>
      <c r="E5048">
        <v>0</v>
      </c>
      <c r="F5048">
        <v>0</v>
      </c>
    </row>
    <row r="5049" spans="1:6" x14ac:dyDescent="0.25">
      <c r="A5049" s="1">
        <v>45078</v>
      </c>
      <c r="B5049" t="s">
        <v>48</v>
      </c>
      <c r="C5049" t="s">
        <v>1248</v>
      </c>
      <c r="D5049">
        <v>0</v>
      </c>
      <c r="E5049" s="2">
        <v>400000</v>
      </c>
      <c r="F5049" s="2">
        <v>1400000</v>
      </c>
    </row>
    <row r="5050" spans="1:6" x14ac:dyDescent="0.25">
      <c r="A5050" s="1">
        <v>45078</v>
      </c>
      <c r="B5050" t="s">
        <v>154</v>
      </c>
      <c r="C5050" t="s">
        <v>155</v>
      </c>
      <c r="D5050">
        <v>0</v>
      </c>
      <c r="E5050" s="2">
        <v>22350.76</v>
      </c>
      <c r="F5050" s="2">
        <v>22350.76</v>
      </c>
    </row>
    <row r="5051" spans="1:6" x14ac:dyDescent="0.25">
      <c r="A5051" s="1">
        <v>45078</v>
      </c>
      <c r="B5051" t="s">
        <v>114</v>
      </c>
      <c r="C5051" t="s">
        <v>758</v>
      </c>
      <c r="D5051" s="2">
        <v>222089.83</v>
      </c>
      <c r="E5051" s="2">
        <v>361289.83</v>
      </c>
      <c r="F5051" s="2">
        <v>389589.83</v>
      </c>
    </row>
    <row r="5052" spans="1:6" x14ac:dyDescent="0.25">
      <c r="A5052" s="1">
        <v>45078</v>
      </c>
      <c r="B5052" t="s">
        <v>383</v>
      </c>
      <c r="C5052" t="s">
        <v>277</v>
      </c>
      <c r="D5052">
        <v>0</v>
      </c>
      <c r="E5052">
        <v>0</v>
      </c>
      <c r="F5052">
        <v>0</v>
      </c>
    </row>
    <row r="5053" spans="1:6" x14ac:dyDescent="0.25">
      <c r="A5053" s="1">
        <v>45078</v>
      </c>
      <c r="B5053" t="s">
        <v>296</v>
      </c>
      <c r="C5053" t="s">
        <v>230</v>
      </c>
      <c r="D5053">
        <v>0</v>
      </c>
      <c r="E5053" s="2">
        <v>2622787.9700000002</v>
      </c>
      <c r="F5053" s="2">
        <v>2622787.9700000002</v>
      </c>
    </row>
    <row r="5054" spans="1:6" x14ac:dyDescent="0.25">
      <c r="A5054" s="1">
        <v>45078</v>
      </c>
      <c r="B5054" t="s">
        <v>27</v>
      </c>
      <c r="C5054" t="s">
        <v>28</v>
      </c>
      <c r="D5054" s="2">
        <v>-22128.06</v>
      </c>
      <c r="E5054" s="2">
        <v>5982398.6699999999</v>
      </c>
      <c r="F5054" s="2">
        <v>5917338.4000000004</v>
      </c>
    </row>
    <row r="5055" spans="1:6" x14ac:dyDescent="0.25">
      <c r="A5055" s="1">
        <v>45078</v>
      </c>
      <c r="B5055" t="s">
        <v>17</v>
      </c>
      <c r="C5055" t="s">
        <v>673</v>
      </c>
      <c r="D5055">
        <v>0</v>
      </c>
      <c r="E5055">
        <v>0</v>
      </c>
      <c r="F5055">
        <v>0</v>
      </c>
    </row>
    <row r="5056" spans="1:6" x14ac:dyDescent="0.25">
      <c r="A5056" s="1">
        <v>45078</v>
      </c>
      <c r="B5056" t="s">
        <v>933</v>
      </c>
      <c r="C5056" t="s">
        <v>934</v>
      </c>
      <c r="D5056" s="2">
        <v>8525</v>
      </c>
      <c r="E5056" s="2">
        <v>2601.37</v>
      </c>
      <c r="F5056" s="2">
        <v>2601.37</v>
      </c>
    </row>
    <row r="5057" spans="1:6" x14ac:dyDescent="0.25">
      <c r="A5057" s="1">
        <v>45078</v>
      </c>
      <c r="B5057" t="s">
        <v>263</v>
      </c>
      <c r="C5057" t="s">
        <v>264</v>
      </c>
      <c r="D5057" s="2">
        <v>-3482058.2</v>
      </c>
      <c r="E5057" s="2">
        <v>8262943.79</v>
      </c>
      <c r="F5057" s="2">
        <v>9043411.9199999999</v>
      </c>
    </row>
    <row r="5058" spans="1:6" x14ac:dyDescent="0.25">
      <c r="A5058" s="1">
        <v>45078</v>
      </c>
      <c r="B5058" t="s">
        <v>92</v>
      </c>
      <c r="C5058" t="s">
        <v>93</v>
      </c>
      <c r="D5058" s="2">
        <v>493643.76</v>
      </c>
      <c r="E5058" s="2">
        <v>480205.36</v>
      </c>
      <c r="F5058" s="2">
        <v>65851.839999999997</v>
      </c>
    </row>
    <row r="5059" spans="1:6" x14ac:dyDescent="0.25">
      <c r="A5059" s="1">
        <v>45078</v>
      </c>
      <c r="B5059" t="s">
        <v>118</v>
      </c>
      <c r="C5059" t="s">
        <v>751</v>
      </c>
      <c r="D5059" s="2">
        <v>10000</v>
      </c>
      <c r="E5059">
        <v>0</v>
      </c>
      <c r="F5059">
        <v>0</v>
      </c>
    </row>
    <row r="5060" spans="1:6" x14ac:dyDescent="0.25">
      <c r="A5060" s="1">
        <v>45078</v>
      </c>
      <c r="B5060" t="s">
        <v>75</v>
      </c>
      <c r="C5060" t="s">
        <v>85</v>
      </c>
      <c r="D5060" s="2">
        <v>789874.57</v>
      </c>
      <c r="E5060" s="2">
        <v>64136.56</v>
      </c>
      <c r="F5060" s="2">
        <v>92136.56</v>
      </c>
    </row>
    <row r="5061" spans="1:6" x14ac:dyDescent="0.25">
      <c r="A5061" s="1">
        <v>45078</v>
      </c>
      <c r="B5061" t="s">
        <v>458</v>
      </c>
      <c r="C5061" t="s">
        <v>260</v>
      </c>
      <c r="D5061">
        <v>0</v>
      </c>
      <c r="E5061">
        <v>0</v>
      </c>
      <c r="F5061">
        <v>0</v>
      </c>
    </row>
    <row r="5062" spans="1:6" x14ac:dyDescent="0.25">
      <c r="A5062" s="1">
        <v>45078</v>
      </c>
      <c r="B5062" t="s">
        <v>101</v>
      </c>
      <c r="C5062" t="s">
        <v>536</v>
      </c>
      <c r="D5062" s="2">
        <v>334110.27</v>
      </c>
      <c r="E5062" s="2">
        <v>174555.16</v>
      </c>
      <c r="F5062" s="2">
        <v>50185.01</v>
      </c>
    </row>
    <row r="5063" spans="1:6" x14ac:dyDescent="0.25">
      <c r="A5063" s="1">
        <v>45078</v>
      </c>
      <c r="B5063" t="s">
        <v>46</v>
      </c>
      <c r="C5063" t="s">
        <v>295</v>
      </c>
      <c r="D5063" s="2">
        <v>1554837.58</v>
      </c>
      <c r="E5063" s="2">
        <v>1261615.96</v>
      </c>
      <c r="F5063" s="2">
        <v>1257891.25</v>
      </c>
    </row>
    <row r="5064" spans="1:6" x14ac:dyDescent="0.25">
      <c r="A5064" s="1">
        <v>45078</v>
      </c>
      <c r="B5064" t="s">
        <v>682</v>
      </c>
      <c r="C5064" t="s">
        <v>1185</v>
      </c>
      <c r="D5064" s="2">
        <v>168002.91</v>
      </c>
      <c r="E5064" s="2">
        <v>13145.22</v>
      </c>
      <c r="F5064" s="2">
        <v>13145.22</v>
      </c>
    </row>
    <row r="5065" spans="1:6" x14ac:dyDescent="0.25">
      <c r="A5065" s="1">
        <v>45078</v>
      </c>
      <c r="B5065" t="s">
        <v>1073</v>
      </c>
      <c r="C5065" t="s">
        <v>1021</v>
      </c>
      <c r="D5065">
        <v>0</v>
      </c>
      <c r="E5065">
        <v>0</v>
      </c>
      <c r="F5065">
        <v>0</v>
      </c>
    </row>
    <row r="5066" spans="1:6" x14ac:dyDescent="0.25">
      <c r="A5066" s="1">
        <v>45078</v>
      </c>
      <c r="B5066" t="s">
        <v>1276</v>
      </c>
      <c r="C5066" t="s">
        <v>1277</v>
      </c>
      <c r="D5066">
        <v>0</v>
      </c>
      <c r="E5066">
        <v>0</v>
      </c>
      <c r="F5066">
        <v>0</v>
      </c>
    </row>
    <row r="5067" spans="1:6" x14ac:dyDescent="0.25">
      <c r="A5067" s="1">
        <v>45078</v>
      </c>
      <c r="B5067" t="s">
        <v>46</v>
      </c>
      <c r="C5067" t="s">
        <v>152</v>
      </c>
      <c r="D5067">
        <v>0</v>
      </c>
      <c r="E5067">
        <v>0</v>
      </c>
      <c r="F5067">
        <v>0</v>
      </c>
    </row>
    <row r="5068" spans="1:6" x14ac:dyDescent="0.25">
      <c r="A5068" s="1">
        <v>45078</v>
      </c>
      <c r="B5068" t="s">
        <v>181</v>
      </c>
      <c r="C5068" t="s">
        <v>1125</v>
      </c>
      <c r="D5068">
        <v>0</v>
      </c>
      <c r="E5068">
        <v>0</v>
      </c>
      <c r="F5068">
        <v>0</v>
      </c>
    </row>
    <row r="5069" spans="1:6" x14ac:dyDescent="0.25">
      <c r="A5069" s="1">
        <v>45078</v>
      </c>
      <c r="B5069" t="s">
        <v>143</v>
      </c>
      <c r="C5069" t="s">
        <v>378</v>
      </c>
      <c r="D5069" s="2">
        <v>301977661</v>
      </c>
      <c r="E5069">
        <v>0</v>
      </c>
      <c r="F5069">
        <v>0</v>
      </c>
    </row>
    <row r="5070" spans="1:6" x14ac:dyDescent="0.25">
      <c r="A5070" s="1">
        <v>45078</v>
      </c>
      <c r="B5070" t="s">
        <v>1251</v>
      </c>
      <c r="C5070" t="s">
        <v>468</v>
      </c>
      <c r="D5070">
        <v>0</v>
      </c>
      <c r="E5070">
        <v>0</v>
      </c>
      <c r="F5070">
        <v>0</v>
      </c>
    </row>
    <row r="5071" spans="1:6" x14ac:dyDescent="0.25">
      <c r="A5071" s="1">
        <v>45078</v>
      </c>
      <c r="B5071" t="s">
        <v>42</v>
      </c>
      <c r="C5071" t="s">
        <v>1207</v>
      </c>
      <c r="D5071">
        <v>0</v>
      </c>
      <c r="E5071" s="2">
        <v>6270906.7199999997</v>
      </c>
      <c r="F5071" s="2">
        <v>6270906.7199999997</v>
      </c>
    </row>
    <row r="5072" spans="1:6" x14ac:dyDescent="0.25">
      <c r="A5072" s="1">
        <v>45078</v>
      </c>
      <c r="B5072" t="s">
        <v>65</v>
      </c>
      <c r="C5072" t="s">
        <v>834</v>
      </c>
      <c r="D5072" s="2">
        <v>31008777.48</v>
      </c>
      <c r="E5072" s="2">
        <v>6836315.8899999997</v>
      </c>
      <c r="F5072" s="2">
        <v>6603640.9299999997</v>
      </c>
    </row>
    <row r="5073" spans="1:6" x14ac:dyDescent="0.25">
      <c r="A5073" s="1">
        <v>45078</v>
      </c>
      <c r="B5073" t="s">
        <v>53</v>
      </c>
      <c r="C5073" t="s">
        <v>237</v>
      </c>
      <c r="D5073">
        <v>0</v>
      </c>
      <c r="E5073" s="2">
        <v>7711497.1799999997</v>
      </c>
      <c r="F5073" s="2">
        <v>7711497.1799999997</v>
      </c>
    </row>
    <row r="5074" spans="1:6" x14ac:dyDescent="0.25">
      <c r="A5074" s="1">
        <v>45078</v>
      </c>
      <c r="B5074" t="s">
        <v>21</v>
      </c>
      <c r="C5074" t="s">
        <v>998</v>
      </c>
      <c r="D5074">
        <v>0</v>
      </c>
      <c r="E5074">
        <v>0</v>
      </c>
      <c r="F5074">
        <v>0</v>
      </c>
    </row>
    <row r="5075" spans="1:6" x14ac:dyDescent="0.25">
      <c r="A5075" s="1">
        <v>45078</v>
      </c>
      <c r="B5075" t="s">
        <v>21</v>
      </c>
      <c r="C5075" t="s">
        <v>642</v>
      </c>
      <c r="D5075" s="2">
        <v>684211.32</v>
      </c>
      <c r="E5075" s="2">
        <v>1748940.01</v>
      </c>
      <c r="F5075" s="2">
        <v>1479775.63</v>
      </c>
    </row>
    <row r="5076" spans="1:6" x14ac:dyDescent="0.25">
      <c r="A5076" s="1">
        <v>45078</v>
      </c>
      <c r="B5076" t="s">
        <v>296</v>
      </c>
      <c r="C5076" t="s">
        <v>552</v>
      </c>
      <c r="D5076" s="2">
        <v>347871.38</v>
      </c>
      <c r="E5076" s="2">
        <v>399463.47</v>
      </c>
      <c r="F5076" s="2">
        <v>1073845.94</v>
      </c>
    </row>
    <row r="5077" spans="1:6" x14ac:dyDescent="0.25">
      <c r="A5077" s="1">
        <v>45078</v>
      </c>
      <c r="B5077" t="s">
        <v>40</v>
      </c>
      <c r="C5077" t="s">
        <v>135</v>
      </c>
      <c r="D5077" s="2">
        <v>430904.47</v>
      </c>
      <c r="E5077" s="2">
        <v>430904.47</v>
      </c>
      <c r="F5077" s="2">
        <v>430907.88</v>
      </c>
    </row>
    <row r="5078" spans="1:6" x14ac:dyDescent="0.25">
      <c r="A5078" s="1">
        <v>45078</v>
      </c>
      <c r="B5078" t="s">
        <v>107</v>
      </c>
      <c r="C5078" t="s">
        <v>982</v>
      </c>
      <c r="D5078">
        <v>0</v>
      </c>
      <c r="E5078">
        <v>0</v>
      </c>
      <c r="F5078">
        <v>0</v>
      </c>
    </row>
    <row r="5079" spans="1:6" x14ac:dyDescent="0.25">
      <c r="A5079" s="1">
        <v>45078</v>
      </c>
      <c r="B5079" t="s">
        <v>107</v>
      </c>
      <c r="C5079" t="s">
        <v>513</v>
      </c>
      <c r="D5079" s="2">
        <v>-7858.6</v>
      </c>
      <c r="E5079" s="2">
        <v>76028.69</v>
      </c>
      <c r="F5079" s="2">
        <v>100190.45</v>
      </c>
    </row>
    <row r="5080" spans="1:6" x14ac:dyDescent="0.25">
      <c r="A5080" s="1">
        <v>45078</v>
      </c>
      <c r="B5080" t="s">
        <v>21</v>
      </c>
      <c r="C5080" t="s">
        <v>526</v>
      </c>
      <c r="D5080">
        <v>0</v>
      </c>
      <c r="E5080" s="2">
        <v>2067710.59</v>
      </c>
      <c r="F5080" s="2">
        <v>4756833.67</v>
      </c>
    </row>
    <row r="5081" spans="1:6" x14ac:dyDescent="0.25">
      <c r="A5081" s="1">
        <v>45078</v>
      </c>
      <c r="B5081" t="s">
        <v>50</v>
      </c>
      <c r="C5081" t="s">
        <v>938</v>
      </c>
      <c r="D5081" s="2">
        <v>22703659.34</v>
      </c>
      <c r="E5081">
        <v>0</v>
      </c>
      <c r="F5081">
        <v>0</v>
      </c>
    </row>
    <row r="5082" spans="1:6" x14ac:dyDescent="0.25">
      <c r="A5082" s="1">
        <v>45078</v>
      </c>
      <c r="B5082" t="s">
        <v>21</v>
      </c>
      <c r="C5082" t="s">
        <v>591</v>
      </c>
      <c r="D5082">
        <v>0</v>
      </c>
      <c r="E5082" s="2">
        <v>2281244.7000000002</v>
      </c>
      <c r="F5082" s="2">
        <v>215577.62</v>
      </c>
    </row>
    <row r="5083" spans="1:6" x14ac:dyDescent="0.25">
      <c r="A5083" s="1">
        <v>45078</v>
      </c>
      <c r="B5083" t="s">
        <v>42</v>
      </c>
      <c r="C5083" t="s">
        <v>548</v>
      </c>
      <c r="D5083" s="2">
        <v>43762762.509999998</v>
      </c>
      <c r="E5083" s="2">
        <v>142549354.66999999</v>
      </c>
      <c r="F5083" s="2">
        <v>98656244.069999993</v>
      </c>
    </row>
    <row r="5084" spans="1:6" x14ac:dyDescent="0.25">
      <c r="A5084" s="1">
        <v>45078</v>
      </c>
      <c r="B5084" t="s">
        <v>48</v>
      </c>
      <c r="C5084" t="s">
        <v>1252</v>
      </c>
      <c r="D5084" s="2">
        <v>297245</v>
      </c>
      <c r="E5084" s="2">
        <v>5167374</v>
      </c>
      <c r="F5084" s="2">
        <v>9807562</v>
      </c>
    </row>
    <row r="5085" spans="1:6" x14ac:dyDescent="0.25">
      <c r="A5085" s="1">
        <v>45078</v>
      </c>
      <c r="B5085" t="s">
        <v>159</v>
      </c>
      <c r="C5085" t="s">
        <v>986</v>
      </c>
      <c r="D5085">
        <v>0</v>
      </c>
      <c r="E5085" s="2">
        <v>23650000</v>
      </c>
      <c r="F5085" s="2">
        <v>23650000</v>
      </c>
    </row>
    <row r="5086" spans="1:6" x14ac:dyDescent="0.25">
      <c r="A5086" s="1">
        <v>45078</v>
      </c>
      <c r="B5086" t="s">
        <v>206</v>
      </c>
      <c r="C5086" t="s">
        <v>534</v>
      </c>
      <c r="D5086" s="2">
        <v>24652</v>
      </c>
      <c r="E5086" s="2">
        <v>56164.58</v>
      </c>
      <c r="F5086" s="2">
        <v>57669.98</v>
      </c>
    </row>
    <row r="5087" spans="1:6" x14ac:dyDescent="0.25">
      <c r="A5087" s="1">
        <v>45078</v>
      </c>
      <c r="B5087" t="s">
        <v>96</v>
      </c>
      <c r="C5087" t="s">
        <v>594</v>
      </c>
      <c r="D5087">
        <v>0</v>
      </c>
      <c r="E5087">
        <v>0</v>
      </c>
      <c r="F5087">
        <v>0</v>
      </c>
    </row>
    <row r="5088" spans="1:6" x14ac:dyDescent="0.25">
      <c r="A5088" s="1">
        <v>45078</v>
      </c>
      <c r="B5088" t="s">
        <v>55</v>
      </c>
      <c r="C5088" t="s">
        <v>203</v>
      </c>
      <c r="D5088">
        <v>0</v>
      </c>
      <c r="E5088">
        <v>0</v>
      </c>
      <c r="F5088">
        <v>0</v>
      </c>
    </row>
    <row r="5089" spans="1:6" x14ac:dyDescent="0.25">
      <c r="A5089" s="1">
        <v>45078</v>
      </c>
      <c r="B5089" t="s">
        <v>490</v>
      </c>
      <c r="C5089" t="s">
        <v>538</v>
      </c>
      <c r="D5089" s="2">
        <v>30000</v>
      </c>
      <c r="E5089" s="2">
        <v>95745215</v>
      </c>
      <c r="F5089" s="2">
        <v>91755215</v>
      </c>
    </row>
    <row r="5090" spans="1:6" x14ac:dyDescent="0.25">
      <c r="A5090" s="1">
        <v>45078</v>
      </c>
      <c r="B5090" t="s">
        <v>9</v>
      </c>
      <c r="C5090" t="s">
        <v>396</v>
      </c>
      <c r="D5090">
        <v>0</v>
      </c>
      <c r="E5090" s="2">
        <v>8175943.3099999996</v>
      </c>
      <c r="F5090" s="2">
        <v>8175398.8099999996</v>
      </c>
    </row>
    <row r="5091" spans="1:6" x14ac:dyDescent="0.25">
      <c r="A5091" s="1">
        <v>45078</v>
      </c>
      <c r="B5091" t="s">
        <v>31</v>
      </c>
      <c r="C5091" t="s">
        <v>1227</v>
      </c>
      <c r="D5091" s="2">
        <v>3560404.26</v>
      </c>
      <c r="E5091">
        <v>0</v>
      </c>
      <c r="F5091">
        <v>0</v>
      </c>
    </row>
    <row r="5092" spans="1:6" x14ac:dyDescent="0.25">
      <c r="A5092" s="1">
        <v>45078</v>
      </c>
      <c r="B5092" t="s">
        <v>21</v>
      </c>
      <c r="C5092" t="s">
        <v>643</v>
      </c>
      <c r="D5092">
        <v>0</v>
      </c>
      <c r="E5092">
        <v>0</v>
      </c>
      <c r="F5092">
        <v>0</v>
      </c>
    </row>
    <row r="5093" spans="1:6" x14ac:dyDescent="0.25">
      <c r="A5093" s="1">
        <v>45078</v>
      </c>
      <c r="B5093" t="s">
        <v>648</v>
      </c>
      <c r="C5093" t="s">
        <v>649</v>
      </c>
      <c r="D5093" s="2">
        <v>1039718.61</v>
      </c>
      <c r="E5093" s="2">
        <v>1452449.16</v>
      </c>
      <c r="F5093" s="2">
        <v>1492867.15</v>
      </c>
    </row>
    <row r="5094" spans="1:6" x14ac:dyDescent="0.25">
      <c r="A5094" s="1">
        <v>45078</v>
      </c>
      <c r="B5094" t="s">
        <v>21</v>
      </c>
      <c r="C5094" t="s">
        <v>976</v>
      </c>
      <c r="D5094" s="2">
        <v>900000</v>
      </c>
      <c r="E5094">
        <v>0</v>
      </c>
      <c r="F5094">
        <v>0</v>
      </c>
    </row>
    <row r="5095" spans="1:6" x14ac:dyDescent="0.25">
      <c r="A5095" s="1">
        <v>45078</v>
      </c>
      <c r="B5095" t="s">
        <v>23</v>
      </c>
      <c r="C5095" t="s">
        <v>891</v>
      </c>
      <c r="D5095" s="2">
        <v>1093473.6499999999</v>
      </c>
      <c r="E5095" s="2">
        <v>358939.38</v>
      </c>
      <c r="F5095" s="2">
        <v>297278.90000000002</v>
      </c>
    </row>
    <row r="5096" spans="1:6" x14ac:dyDescent="0.25">
      <c r="A5096" s="1">
        <v>45078</v>
      </c>
      <c r="B5096" t="s">
        <v>107</v>
      </c>
      <c r="C5096" t="s">
        <v>505</v>
      </c>
      <c r="D5096" s="2">
        <v>69785421.659999996</v>
      </c>
      <c r="E5096" s="2">
        <v>72431402.109999999</v>
      </c>
      <c r="F5096" s="2">
        <v>72431402.109999999</v>
      </c>
    </row>
    <row r="5097" spans="1:6" x14ac:dyDescent="0.25">
      <c r="A5097" s="1">
        <v>45078</v>
      </c>
      <c r="B5097" t="s">
        <v>31</v>
      </c>
      <c r="C5097" t="s">
        <v>553</v>
      </c>
      <c r="D5097">
        <v>0</v>
      </c>
      <c r="E5097">
        <v>0</v>
      </c>
      <c r="F5097">
        <v>0</v>
      </c>
    </row>
    <row r="5098" spans="1:6" x14ac:dyDescent="0.25">
      <c r="A5098" s="1">
        <v>45078</v>
      </c>
      <c r="B5098" t="s">
        <v>21</v>
      </c>
      <c r="C5098" t="s">
        <v>463</v>
      </c>
      <c r="D5098" s="2">
        <v>1200000</v>
      </c>
      <c r="E5098">
        <v>0</v>
      </c>
      <c r="F5098">
        <v>0</v>
      </c>
    </row>
    <row r="5099" spans="1:6" x14ac:dyDescent="0.25">
      <c r="A5099" s="1">
        <v>45078</v>
      </c>
      <c r="B5099" t="s">
        <v>48</v>
      </c>
      <c r="C5099" t="s">
        <v>1198</v>
      </c>
      <c r="D5099" s="2">
        <v>-1383.5</v>
      </c>
      <c r="E5099" s="2">
        <v>-1383.5</v>
      </c>
      <c r="F5099" s="2">
        <v>-1383.5</v>
      </c>
    </row>
    <row r="5100" spans="1:6" x14ac:dyDescent="0.25">
      <c r="A5100" s="1">
        <v>45078</v>
      </c>
      <c r="B5100" t="s">
        <v>46</v>
      </c>
      <c r="C5100" t="s">
        <v>587</v>
      </c>
      <c r="D5100" s="2">
        <v>70000</v>
      </c>
      <c r="E5100" s="2">
        <v>87082.11</v>
      </c>
      <c r="F5100" s="2">
        <v>105328.32000000001</v>
      </c>
    </row>
    <row r="5101" spans="1:6" x14ac:dyDescent="0.25">
      <c r="A5101" s="1">
        <v>45078</v>
      </c>
      <c r="B5101" t="s">
        <v>50</v>
      </c>
      <c r="C5101" t="s">
        <v>146</v>
      </c>
      <c r="D5101">
        <v>0</v>
      </c>
      <c r="E5101" s="2">
        <v>13811482.1</v>
      </c>
      <c r="F5101" s="2">
        <v>13811482.1</v>
      </c>
    </row>
    <row r="5102" spans="1:6" x14ac:dyDescent="0.25">
      <c r="A5102" s="1">
        <v>45078</v>
      </c>
      <c r="B5102" t="s">
        <v>518</v>
      </c>
      <c r="C5102" t="s">
        <v>936</v>
      </c>
      <c r="D5102">
        <v>0</v>
      </c>
      <c r="E5102">
        <v>0</v>
      </c>
      <c r="F5102">
        <v>0</v>
      </c>
    </row>
    <row r="5103" spans="1:6" x14ac:dyDescent="0.25">
      <c r="A5103" s="1">
        <v>45078</v>
      </c>
      <c r="B5103" t="s">
        <v>344</v>
      </c>
      <c r="C5103" t="s">
        <v>1278</v>
      </c>
      <c r="D5103" s="2">
        <v>77501</v>
      </c>
      <c r="E5103" s="2">
        <v>61171.68</v>
      </c>
      <c r="F5103" s="2">
        <v>52171.68</v>
      </c>
    </row>
    <row r="5104" spans="1:6" x14ac:dyDescent="0.25">
      <c r="A5104" s="1">
        <v>45078</v>
      </c>
      <c r="B5104" t="s">
        <v>17</v>
      </c>
      <c r="C5104" t="s">
        <v>270</v>
      </c>
      <c r="D5104" s="2">
        <v>1148331.8500000001</v>
      </c>
      <c r="E5104" s="2">
        <v>1757986.88</v>
      </c>
      <c r="F5104" s="2">
        <v>1735164.15</v>
      </c>
    </row>
    <row r="5105" spans="1:6" x14ac:dyDescent="0.25">
      <c r="A5105" s="1">
        <v>45078</v>
      </c>
      <c r="B5105" t="s">
        <v>35</v>
      </c>
      <c r="C5105" t="s">
        <v>36</v>
      </c>
      <c r="D5105">
        <v>0</v>
      </c>
      <c r="E5105">
        <v>0</v>
      </c>
      <c r="F5105">
        <v>0</v>
      </c>
    </row>
    <row r="5106" spans="1:6" x14ac:dyDescent="0.25">
      <c r="A5106" s="1">
        <v>45078</v>
      </c>
      <c r="B5106" t="s">
        <v>11</v>
      </c>
      <c r="C5106" t="s">
        <v>391</v>
      </c>
      <c r="D5106">
        <v>0</v>
      </c>
      <c r="E5106" s="2">
        <v>31685112.190000001</v>
      </c>
      <c r="F5106" s="2">
        <v>31685112.190000001</v>
      </c>
    </row>
    <row r="5107" spans="1:6" x14ac:dyDescent="0.25">
      <c r="A5107" s="1">
        <v>45078</v>
      </c>
      <c r="B5107" t="s">
        <v>40</v>
      </c>
      <c r="C5107" t="s">
        <v>41</v>
      </c>
      <c r="D5107" s="2">
        <v>791361.03</v>
      </c>
      <c r="E5107" s="2">
        <v>3124463.54</v>
      </c>
      <c r="F5107" s="2">
        <v>3261896.57</v>
      </c>
    </row>
    <row r="5108" spans="1:6" x14ac:dyDescent="0.25">
      <c r="A5108" s="1">
        <v>45078</v>
      </c>
      <c r="B5108" t="s">
        <v>40</v>
      </c>
      <c r="C5108" t="s">
        <v>531</v>
      </c>
      <c r="D5108">
        <v>0</v>
      </c>
      <c r="E5108">
        <v>0</v>
      </c>
      <c r="F5108">
        <v>0</v>
      </c>
    </row>
    <row r="5109" spans="1:6" x14ac:dyDescent="0.25">
      <c r="A5109" s="1">
        <v>45078</v>
      </c>
      <c r="B5109" t="s">
        <v>105</v>
      </c>
      <c r="C5109" t="s">
        <v>336</v>
      </c>
      <c r="D5109" s="2">
        <v>636233.87</v>
      </c>
      <c r="E5109" s="2">
        <v>1172726.18</v>
      </c>
      <c r="F5109" s="2">
        <v>1173871.77</v>
      </c>
    </row>
    <row r="5110" spans="1:6" x14ac:dyDescent="0.25">
      <c r="A5110" s="1">
        <v>45078</v>
      </c>
      <c r="B5110" t="s">
        <v>1235</v>
      </c>
      <c r="C5110" t="s">
        <v>599</v>
      </c>
      <c r="D5110">
        <v>0</v>
      </c>
      <c r="E5110">
        <v>0</v>
      </c>
      <c r="F5110">
        <v>0</v>
      </c>
    </row>
    <row r="5111" spans="1:6" x14ac:dyDescent="0.25">
      <c r="A5111" s="1">
        <v>45078</v>
      </c>
      <c r="B5111" t="s">
        <v>11</v>
      </c>
      <c r="C5111" t="s">
        <v>116</v>
      </c>
      <c r="D5111">
        <v>0</v>
      </c>
      <c r="E5111" s="2">
        <v>11101493052.719999</v>
      </c>
      <c r="F5111" s="2">
        <v>11101493052.719999</v>
      </c>
    </row>
    <row r="5112" spans="1:6" x14ac:dyDescent="0.25">
      <c r="A5112" s="1">
        <v>45078</v>
      </c>
      <c r="B5112" t="s">
        <v>21</v>
      </c>
      <c r="C5112" t="s">
        <v>242</v>
      </c>
      <c r="D5112">
        <v>0</v>
      </c>
      <c r="E5112">
        <v>0</v>
      </c>
      <c r="F5112">
        <v>0</v>
      </c>
    </row>
    <row r="5113" spans="1:6" x14ac:dyDescent="0.25">
      <c r="A5113" s="1">
        <v>45078</v>
      </c>
      <c r="B5113" t="s">
        <v>68</v>
      </c>
      <c r="C5113" t="s">
        <v>221</v>
      </c>
      <c r="D5113" s="2">
        <v>10427119.51</v>
      </c>
      <c r="E5113" s="2">
        <v>13689651.02</v>
      </c>
      <c r="F5113" s="2">
        <v>27073630.350000001</v>
      </c>
    </row>
    <row r="5114" spans="1:6" x14ac:dyDescent="0.25">
      <c r="A5114" s="1">
        <v>45078</v>
      </c>
      <c r="B5114" t="s">
        <v>27</v>
      </c>
      <c r="C5114" t="s">
        <v>607</v>
      </c>
      <c r="D5114">
        <v>0</v>
      </c>
      <c r="E5114">
        <v>0</v>
      </c>
      <c r="F5114">
        <v>0</v>
      </c>
    </row>
    <row r="5115" spans="1:6" x14ac:dyDescent="0.25">
      <c r="A5115" s="1">
        <v>45078</v>
      </c>
      <c r="B5115" t="s">
        <v>196</v>
      </c>
      <c r="C5115" t="s">
        <v>993</v>
      </c>
      <c r="D5115">
        <v>0</v>
      </c>
      <c r="E5115">
        <v>0</v>
      </c>
      <c r="F5115">
        <v>0</v>
      </c>
    </row>
    <row r="5116" spans="1:6" x14ac:dyDescent="0.25">
      <c r="A5116" s="1">
        <v>45078</v>
      </c>
      <c r="B5116" t="s">
        <v>23</v>
      </c>
      <c r="C5116" t="s">
        <v>1231</v>
      </c>
      <c r="D5116">
        <v>0</v>
      </c>
      <c r="E5116">
        <v>0</v>
      </c>
      <c r="F5116">
        <v>0</v>
      </c>
    </row>
    <row r="5117" spans="1:6" x14ac:dyDescent="0.25">
      <c r="A5117" s="1">
        <v>45078</v>
      </c>
      <c r="B5117" t="s">
        <v>21</v>
      </c>
      <c r="C5117" t="s">
        <v>524</v>
      </c>
      <c r="D5117">
        <v>0</v>
      </c>
      <c r="E5117">
        <v>0</v>
      </c>
      <c r="F5117">
        <v>0</v>
      </c>
    </row>
    <row r="5118" spans="1:6" x14ac:dyDescent="0.25">
      <c r="A5118" s="1">
        <v>45078</v>
      </c>
      <c r="B5118" t="s">
        <v>37</v>
      </c>
      <c r="C5118" t="s">
        <v>319</v>
      </c>
      <c r="D5118">
        <v>0</v>
      </c>
      <c r="E5118">
        <v>0</v>
      </c>
      <c r="F5118">
        <v>0</v>
      </c>
    </row>
    <row r="5119" spans="1:6" x14ac:dyDescent="0.25">
      <c r="A5119" s="1">
        <v>45078</v>
      </c>
      <c r="B5119" t="s">
        <v>50</v>
      </c>
      <c r="C5119" t="s">
        <v>286</v>
      </c>
      <c r="D5119">
        <v>0</v>
      </c>
      <c r="E5119">
        <v>0</v>
      </c>
      <c r="F5119">
        <v>0</v>
      </c>
    </row>
    <row r="5120" spans="1:6" x14ac:dyDescent="0.25">
      <c r="A5120" s="1">
        <v>45078</v>
      </c>
      <c r="B5120" t="s">
        <v>185</v>
      </c>
      <c r="C5120" t="s">
        <v>316</v>
      </c>
      <c r="D5120" s="2">
        <v>60605806.159999996</v>
      </c>
      <c r="E5120" s="2">
        <v>56188002.049999997</v>
      </c>
      <c r="F5120" s="2">
        <v>40938632.229999997</v>
      </c>
    </row>
    <row r="5121" spans="1:6" x14ac:dyDescent="0.25">
      <c r="A5121" s="1">
        <v>45078</v>
      </c>
      <c r="B5121" t="s">
        <v>40</v>
      </c>
      <c r="C5121" t="s">
        <v>747</v>
      </c>
      <c r="D5121" s="2">
        <v>347000</v>
      </c>
      <c r="E5121" s="2">
        <v>2547000</v>
      </c>
      <c r="F5121" s="2">
        <v>2200000</v>
      </c>
    </row>
    <row r="5122" spans="1:6" x14ac:dyDescent="0.25">
      <c r="A5122" s="1">
        <v>45078</v>
      </c>
      <c r="B5122" t="s">
        <v>118</v>
      </c>
      <c r="C5122" t="s">
        <v>639</v>
      </c>
      <c r="D5122">
        <v>0</v>
      </c>
      <c r="E5122" s="2">
        <v>11076868.220000001</v>
      </c>
      <c r="F5122" s="2">
        <v>14771016.939999999</v>
      </c>
    </row>
    <row r="5123" spans="1:6" x14ac:dyDescent="0.25">
      <c r="A5123" s="1">
        <v>45078</v>
      </c>
      <c r="B5123" t="s">
        <v>11</v>
      </c>
      <c r="C5123" t="s">
        <v>195</v>
      </c>
      <c r="D5123" s="2">
        <v>248158659.72999999</v>
      </c>
      <c r="E5123" s="2">
        <v>248220845.94999999</v>
      </c>
      <c r="F5123" s="2">
        <v>165864090.53</v>
      </c>
    </row>
    <row r="5124" spans="1:6" x14ac:dyDescent="0.25">
      <c r="A5124" s="1">
        <v>45078</v>
      </c>
      <c r="B5124" t="s">
        <v>458</v>
      </c>
      <c r="C5124" t="s">
        <v>798</v>
      </c>
      <c r="D5124">
        <v>0</v>
      </c>
      <c r="E5124">
        <v>0</v>
      </c>
      <c r="F5124">
        <v>0</v>
      </c>
    </row>
    <row r="5125" spans="1:6" x14ac:dyDescent="0.25">
      <c r="A5125" s="1">
        <v>45078</v>
      </c>
      <c r="B5125" t="s">
        <v>272</v>
      </c>
      <c r="C5125" t="s">
        <v>273</v>
      </c>
      <c r="D5125">
        <v>0</v>
      </c>
      <c r="E5125" s="2">
        <v>36088.57</v>
      </c>
      <c r="F5125" s="2">
        <v>42688.57</v>
      </c>
    </row>
    <row r="5126" spans="1:6" x14ac:dyDescent="0.25">
      <c r="A5126" s="1">
        <v>45078</v>
      </c>
      <c r="B5126" t="s">
        <v>17</v>
      </c>
      <c r="C5126" t="s">
        <v>935</v>
      </c>
      <c r="D5126" s="2">
        <v>1499999.99</v>
      </c>
      <c r="E5126">
        <v>0</v>
      </c>
      <c r="F5126">
        <v>0.16</v>
      </c>
    </row>
    <row r="5127" spans="1:6" x14ac:dyDescent="0.25">
      <c r="A5127" s="1">
        <v>45078</v>
      </c>
      <c r="B5127" t="s">
        <v>27</v>
      </c>
      <c r="C5127" t="s">
        <v>783</v>
      </c>
      <c r="D5127" s="2">
        <v>185418.53</v>
      </c>
      <c r="E5127" s="2">
        <v>69388.63</v>
      </c>
      <c r="F5127" s="2">
        <v>59923.37</v>
      </c>
    </row>
    <row r="5128" spans="1:6" x14ac:dyDescent="0.25">
      <c r="A5128" s="1">
        <v>45078</v>
      </c>
      <c r="B5128" t="s">
        <v>98</v>
      </c>
      <c r="C5128" t="s">
        <v>1036</v>
      </c>
      <c r="D5128">
        <v>0</v>
      </c>
      <c r="E5128">
        <v>0</v>
      </c>
      <c r="F5128">
        <v>0</v>
      </c>
    </row>
    <row r="5129" spans="1:6" x14ac:dyDescent="0.25">
      <c r="A5129" s="1">
        <v>45078</v>
      </c>
      <c r="B5129" t="s">
        <v>29</v>
      </c>
      <c r="C5129" t="s">
        <v>260</v>
      </c>
      <c r="D5129" s="2">
        <v>91912034.950000003</v>
      </c>
      <c r="E5129" s="2">
        <v>81971654.329999998</v>
      </c>
      <c r="F5129" s="2">
        <v>80986758.180000007</v>
      </c>
    </row>
    <row r="5130" spans="1:6" x14ac:dyDescent="0.25">
      <c r="A5130" s="1">
        <v>45078</v>
      </c>
      <c r="B5130" t="s">
        <v>11</v>
      </c>
      <c r="C5130" t="s">
        <v>300</v>
      </c>
      <c r="D5130">
        <v>0</v>
      </c>
      <c r="E5130" s="2">
        <v>96418208.290000007</v>
      </c>
      <c r="F5130" s="2">
        <v>96418208.290000007</v>
      </c>
    </row>
    <row r="5131" spans="1:6" x14ac:dyDescent="0.25">
      <c r="A5131" s="1">
        <v>45078</v>
      </c>
      <c r="B5131" t="s">
        <v>23</v>
      </c>
      <c r="C5131" t="s">
        <v>394</v>
      </c>
      <c r="D5131" s="2">
        <v>-37339.160000000003</v>
      </c>
      <c r="E5131">
        <v>0</v>
      </c>
      <c r="F5131">
        <v>0</v>
      </c>
    </row>
    <row r="5132" spans="1:6" x14ac:dyDescent="0.25">
      <c r="A5132" s="1">
        <v>45078</v>
      </c>
      <c r="B5132" t="s">
        <v>21</v>
      </c>
      <c r="C5132" t="s">
        <v>985</v>
      </c>
      <c r="D5132">
        <v>0</v>
      </c>
      <c r="E5132" s="2">
        <v>262812.84000000003</v>
      </c>
      <c r="F5132" s="2">
        <v>919617.29</v>
      </c>
    </row>
    <row r="5133" spans="1:6" x14ac:dyDescent="0.25">
      <c r="A5133" s="1">
        <v>45078</v>
      </c>
      <c r="B5133" t="s">
        <v>11</v>
      </c>
      <c r="C5133" t="s">
        <v>1279</v>
      </c>
      <c r="D5133">
        <v>0</v>
      </c>
      <c r="E5133">
        <v>0</v>
      </c>
      <c r="F5133">
        <v>0</v>
      </c>
    </row>
    <row r="5134" spans="1:6" x14ac:dyDescent="0.25">
      <c r="A5134" s="1">
        <v>45078</v>
      </c>
      <c r="B5134" t="s">
        <v>196</v>
      </c>
      <c r="C5134" t="s">
        <v>806</v>
      </c>
      <c r="D5134">
        <v>0</v>
      </c>
      <c r="E5134">
        <v>0</v>
      </c>
      <c r="F5134">
        <v>0</v>
      </c>
    </row>
    <row r="5135" spans="1:6" x14ac:dyDescent="0.25">
      <c r="A5135" s="1">
        <v>45078</v>
      </c>
      <c r="B5135" t="s">
        <v>40</v>
      </c>
      <c r="C5135" t="s">
        <v>325</v>
      </c>
      <c r="D5135" s="2">
        <v>-50000</v>
      </c>
      <c r="E5135" s="2">
        <v>3585280.27</v>
      </c>
      <c r="F5135" s="2">
        <v>1967937.31</v>
      </c>
    </row>
    <row r="5136" spans="1:6" x14ac:dyDescent="0.25">
      <c r="A5136" s="1">
        <v>45078</v>
      </c>
      <c r="B5136" t="s">
        <v>23</v>
      </c>
      <c r="C5136" t="s">
        <v>807</v>
      </c>
      <c r="D5136" s="2">
        <v>1086242.46</v>
      </c>
      <c r="E5136" s="2">
        <v>1158322.48</v>
      </c>
      <c r="F5136" s="2">
        <v>1157568.1599999999</v>
      </c>
    </row>
    <row r="5137" spans="1:6" x14ac:dyDescent="0.25">
      <c r="A5137" s="1">
        <v>45078</v>
      </c>
      <c r="B5137" t="s">
        <v>37</v>
      </c>
      <c r="C5137" t="s">
        <v>1120</v>
      </c>
      <c r="D5137">
        <v>0</v>
      </c>
      <c r="E5137">
        <v>0</v>
      </c>
      <c r="F5137">
        <v>0</v>
      </c>
    </row>
    <row r="5138" spans="1:6" x14ac:dyDescent="0.25">
      <c r="A5138" s="1">
        <v>45078</v>
      </c>
      <c r="B5138" t="s">
        <v>21</v>
      </c>
      <c r="C5138" t="s">
        <v>967</v>
      </c>
      <c r="D5138">
        <v>0</v>
      </c>
      <c r="E5138" s="2">
        <v>148466.51</v>
      </c>
      <c r="F5138" s="2">
        <v>148466.51</v>
      </c>
    </row>
    <row r="5139" spans="1:6" x14ac:dyDescent="0.25">
      <c r="A5139" s="1">
        <v>45078</v>
      </c>
      <c r="B5139" t="s">
        <v>21</v>
      </c>
      <c r="C5139" t="s">
        <v>527</v>
      </c>
      <c r="D5139" s="2">
        <v>86976.39</v>
      </c>
      <c r="E5139" s="2">
        <v>6183121.4100000001</v>
      </c>
      <c r="F5139" s="2">
        <v>7214647.3600000003</v>
      </c>
    </row>
    <row r="5140" spans="1:6" x14ac:dyDescent="0.25">
      <c r="A5140" s="1">
        <v>45078</v>
      </c>
      <c r="B5140" t="s">
        <v>75</v>
      </c>
      <c r="C5140" t="s">
        <v>847</v>
      </c>
      <c r="D5140" s="2">
        <v>16163025.83</v>
      </c>
      <c r="E5140" s="2">
        <v>569775.01</v>
      </c>
      <c r="F5140" s="2">
        <v>569775.01</v>
      </c>
    </row>
    <row r="5141" spans="1:6" x14ac:dyDescent="0.25">
      <c r="A5141" s="1">
        <v>45078</v>
      </c>
      <c r="B5141" t="s">
        <v>15</v>
      </c>
      <c r="C5141" t="s">
        <v>732</v>
      </c>
      <c r="D5141">
        <v>0</v>
      </c>
      <c r="E5141">
        <v>0</v>
      </c>
      <c r="F5141">
        <v>0</v>
      </c>
    </row>
    <row r="5142" spans="1:6" x14ac:dyDescent="0.25">
      <c r="A5142" s="1">
        <v>45078</v>
      </c>
      <c r="B5142" t="s">
        <v>42</v>
      </c>
      <c r="C5142" t="s">
        <v>1280</v>
      </c>
      <c r="D5142" s="2">
        <v>906801538</v>
      </c>
      <c r="E5142" s="2">
        <v>906801538</v>
      </c>
      <c r="F5142" s="2">
        <v>906801538</v>
      </c>
    </row>
    <row r="5143" spans="1:6" x14ac:dyDescent="0.25">
      <c r="A5143" s="1">
        <v>45078</v>
      </c>
      <c r="B5143" t="s">
        <v>278</v>
      </c>
      <c r="C5143" t="s">
        <v>572</v>
      </c>
      <c r="D5143" s="2">
        <v>71200605.329999998</v>
      </c>
      <c r="E5143">
        <v>0</v>
      </c>
      <c r="F5143">
        <v>0</v>
      </c>
    </row>
    <row r="5144" spans="1:6" x14ac:dyDescent="0.25">
      <c r="A5144" s="1">
        <v>45078</v>
      </c>
      <c r="B5144" t="s">
        <v>42</v>
      </c>
      <c r="C5144" t="s">
        <v>978</v>
      </c>
      <c r="D5144" s="2">
        <v>22000000</v>
      </c>
      <c r="E5144" s="2">
        <v>8599521.4399999995</v>
      </c>
      <c r="F5144" s="2">
        <v>12720971.66</v>
      </c>
    </row>
    <row r="5145" spans="1:6" x14ac:dyDescent="0.25">
      <c r="A5145" s="1">
        <v>45078</v>
      </c>
      <c r="B5145" t="s">
        <v>29</v>
      </c>
      <c r="C5145" t="s">
        <v>292</v>
      </c>
      <c r="D5145" s="2">
        <v>13408015.25</v>
      </c>
      <c r="E5145" s="2">
        <v>3146151.37</v>
      </c>
      <c r="F5145" s="2">
        <v>3328691.37</v>
      </c>
    </row>
    <row r="5146" spans="1:6" x14ac:dyDescent="0.25">
      <c r="A5146" s="1">
        <v>45078</v>
      </c>
      <c r="B5146" t="s">
        <v>11</v>
      </c>
      <c r="C5146" t="s">
        <v>794</v>
      </c>
      <c r="D5146" s="2">
        <v>60959722.170000002</v>
      </c>
      <c r="E5146" s="2">
        <v>60952450.509999998</v>
      </c>
      <c r="F5146" s="2">
        <v>43155780.509999998</v>
      </c>
    </row>
    <row r="5147" spans="1:6" x14ac:dyDescent="0.25">
      <c r="A5147" s="1">
        <v>45078</v>
      </c>
      <c r="B5147" t="s">
        <v>46</v>
      </c>
      <c r="C5147" t="s">
        <v>409</v>
      </c>
      <c r="D5147" s="2">
        <v>900000</v>
      </c>
      <c r="E5147" s="2">
        <v>187285.84</v>
      </c>
      <c r="F5147" s="2">
        <v>191515.47</v>
      </c>
    </row>
    <row r="5148" spans="1:6" x14ac:dyDescent="0.25">
      <c r="A5148" s="1">
        <v>45078</v>
      </c>
      <c r="B5148" t="s">
        <v>90</v>
      </c>
      <c r="C5148" t="s">
        <v>428</v>
      </c>
      <c r="D5148" s="2">
        <v>31139683.600000001</v>
      </c>
      <c r="E5148" s="2">
        <v>31816145.399999999</v>
      </c>
      <c r="F5148" s="2">
        <v>31816145.399999999</v>
      </c>
    </row>
    <row r="5149" spans="1:6" x14ac:dyDescent="0.25">
      <c r="A5149" s="1">
        <v>45078</v>
      </c>
      <c r="B5149" t="s">
        <v>21</v>
      </c>
      <c r="C5149" t="s">
        <v>510</v>
      </c>
      <c r="D5149" s="2">
        <v>3221559.66</v>
      </c>
      <c r="E5149" s="2">
        <v>196720.18</v>
      </c>
      <c r="F5149" s="2">
        <v>196720.18</v>
      </c>
    </row>
    <row r="5150" spans="1:6" x14ac:dyDescent="0.25">
      <c r="A5150" s="1">
        <v>45078</v>
      </c>
      <c r="B5150" t="s">
        <v>196</v>
      </c>
      <c r="C5150" t="s">
        <v>348</v>
      </c>
      <c r="D5150">
        <v>0</v>
      </c>
      <c r="E5150">
        <v>0</v>
      </c>
      <c r="F5150">
        <v>0</v>
      </c>
    </row>
    <row r="5151" spans="1:6" x14ac:dyDescent="0.25">
      <c r="A5151" s="1">
        <v>45078</v>
      </c>
      <c r="B5151" t="s">
        <v>46</v>
      </c>
      <c r="C5151" t="s">
        <v>1007</v>
      </c>
      <c r="D5151" s="2">
        <v>2973621</v>
      </c>
      <c r="E5151" s="2">
        <v>2973621</v>
      </c>
      <c r="F5151">
        <v>0</v>
      </c>
    </row>
    <row r="5152" spans="1:6" x14ac:dyDescent="0.25">
      <c r="A5152" s="1">
        <v>45078</v>
      </c>
      <c r="B5152" t="s">
        <v>383</v>
      </c>
      <c r="C5152" t="s">
        <v>1281</v>
      </c>
      <c r="D5152">
        <v>0</v>
      </c>
      <c r="E5152">
        <v>0</v>
      </c>
      <c r="F5152">
        <v>0</v>
      </c>
    </row>
    <row r="5153" spans="1:6" x14ac:dyDescent="0.25">
      <c r="A5153" s="1">
        <v>45078</v>
      </c>
      <c r="B5153" t="s">
        <v>309</v>
      </c>
      <c r="C5153" t="s">
        <v>310</v>
      </c>
      <c r="D5153">
        <v>0</v>
      </c>
      <c r="E5153">
        <v>0</v>
      </c>
      <c r="F5153">
        <v>0</v>
      </c>
    </row>
    <row r="5154" spans="1:6" x14ac:dyDescent="0.25">
      <c r="A5154" s="1">
        <v>45078</v>
      </c>
      <c r="B5154" t="s">
        <v>21</v>
      </c>
      <c r="C5154" t="s">
        <v>433</v>
      </c>
      <c r="D5154" s="2">
        <v>3092441</v>
      </c>
      <c r="E5154" s="2">
        <v>6498626.0700000003</v>
      </c>
      <c r="F5154" s="2">
        <v>6498626.0700000003</v>
      </c>
    </row>
    <row r="5155" spans="1:6" x14ac:dyDescent="0.25">
      <c r="A5155" s="1">
        <v>45078</v>
      </c>
      <c r="B5155" t="s">
        <v>288</v>
      </c>
      <c r="C5155" t="s">
        <v>1282</v>
      </c>
      <c r="D5155" s="2">
        <v>566400.71</v>
      </c>
      <c r="E5155" s="2">
        <v>478834.31</v>
      </c>
      <c r="F5155" s="2">
        <v>478834.31</v>
      </c>
    </row>
    <row r="5156" spans="1:6" x14ac:dyDescent="0.25">
      <c r="A5156" s="1">
        <v>45078</v>
      </c>
      <c r="B5156" t="s">
        <v>1058</v>
      </c>
      <c r="C5156" t="s">
        <v>1059</v>
      </c>
      <c r="D5156" s="2">
        <v>19863437.620000001</v>
      </c>
      <c r="E5156" s="2">
        <v>26572761.27</v>
      </c>
      <c r="F5156" s="2">
        <v>26572761.27</v>
      </c>
    </row>
    <row r="5157" spans="1:6" x14ac:dyDescent="0.25">
      <c r="A5157" s="1">
        <v>45078</v>
      </c>
      <c r="B5157" t="s">
        <v>105</v>
      </c>
      <c r="C5157" t="s">
        <v>1084</v>
      </c>
      <c r="D5157" s="2">
        <v>3330667</v>
      </c>
      <c r="E5157">
        <v>0</v>
      </c>
      <c r="F5157">
        <v>0</v>
      </c>
    </row>
    <row r="5158" spans="1:6" x14ac:dyDescent="0.25">
      <c r="A5158" s="1">
        <v>45078</v>
      </c>
      <c r="B5158" t="s">
        <v>37</v>
      </c>
      <c r="C5158" t="s">
        <v>583</v>
      </c>
      <c r="D5158">
        <v>0</v>
      </c>
      <c r="E5158">
        <v>0</v>
      </c>
      <c r="F5158">
        <v>0</v>
      </c>
    </row>
    <row r="5159" spans="1:6" x14ac:dyDescent="0.25">
      <c r="A5159" s="1">
        <v>45078</v>
      </c>
      <c r="B5159" t="s">
        <v>63</v>
      </c>
      <c r="C5159" t="s">
        <v>483</v>
      </c>
      <c r="D5159">
        <v>0</v>
      </c>
      <c r="E5159" s="2">
        <v>4160395.48</v>
      </c>
      <c r="F5159" s="2">
        <v>4160395.48</v>
      </c>
    </row>
    <row r="5160" spans="1:6" x14ac:dyDescent="0.25">
      <c r="A5160" s="1">
        <v>45078</v>
      </c>
      <c r="B5160" t="s">
        <v>17</v>
      </c>
      <c r="C5160" t="s">
        <v>1013</v>
      </c>
      <c r="D5160" s="2">
        <v>4676556.34</v>
      </c>
      <c r="E5160">
        <v>0</v>
      </c>
      <c r="F5160">
        <v>0</v>
      </c>
    </row>
    <row r="5161" spans="1:6" x14ac:dyDescent="0.25">
      <c r="A5161" s="1">
        <v>45078</v>
      </c>
      <c r="B5161" t="s">
        <v>23</v>
      </c>
      <c r="C5161" t="s">
        <v>371</v>
      </c>
      <c r="D5161" s="2">
        <v>19949.39</v>
      </c>
      <c r="E5161" s="2">
        <v>50019.199999999997</v>
      </c>
      <c r="F5161" s="2">
        <v>50019.199999999997</v>
      </c>
    </row>
    <row r="5162" spans="1:6" x14ac:dyDescent="0.25">
      <c r="A5162" s="1">
        <v>45078</v>
      </c>
      <c r="B5162" t="s">
        <v>159</v>
      </c>
      <c r="C5162" t="s">
        <v>302</v>
      </c>
      <c r="D5162" s="2">
        <v>-2292.1799999999998</v>
      </c>
      <c r="E5162" s="2">
        <v>4351.79</v>
      </c>
      <c r="F5162" s="2">
        <v>4351.79</v>
      </c>
    </row>
    <row r="5163" spans="1:6" x14ac:dyDescent="0.25">
      <c r="A5163" s="1">
        <v>45078</v>
      </c>
      <c r="B5163" t="s">
        <v>105</v>
      </c>
      <c r="C5163" t="s">
        <v>150</v>
      </c>
      <c r="D5163">
        <v>0</v>
      </c>
      <c r="E5163" s="2">
        <v>7495862.5</v>
      </c>
      <c r="F5163" s="2">
        <v>7495862.5</v>
      </c>
    </row>
    <row r="5164" spans="1:6" x14ac:dyDescent="0.25">
      <c r="A5164" s="1">
        <v>45078</v>
      </c>
      <c r="B5164" t="s">
        <v>21</v>
      </c>
      <c r="C5164" t="s">
        <v>1133</v>
      </c>
      <c r="D5164" s="2">
        <v>4699284.5199999996</v>
      </c>
      <c r="E5164" s="2">
        <v>118526.08</v>
      </c>
      <c r="F5164" s="2">
        <v>125789.37</v>
      </c>
    </row>
    <row r="5165" spans="1:6" x14ac:dyDescent="0.25">
      <c r="A5165" s="1">
        <v>45078</v>
      </c>
      <c r="B5165" t="s">
        <v>15</v>
      </c>
      <c r="C5165" t="s">
        <v>693</v>
      </c>
      <c r="D5165" s="2">
        <v>2055684.02</v>
      </c>
      <c r="E5165" s="2">
        <v>3793931.68</v>
      </c>
      <c r="F5165" s="2">
        <v>4059404.54</v>
      </c>
    </row>
    <row r="5166" spans="1:6" x14ac:dyDescent="0.25">
      <c r="A5166" s="1">
        <v>45078</v>
      </c>
      <c r="B5166" t="s">
        <v>118</v>
      </c>
      <c r="C5166" t="s">
        <v>658</v>
      </c>
      <c r="D5166">
        <v>0</v>
      </c>
      <c r="E5166">
        <v>0</v>
      </c>
      <c r="F5166">
        <v>0</v>
      </c>
    </row>
    <row r="5167" spans="1:6" x14ac:dyDescent="0.25">
      <c r="A5167" s="1">
        <v>45078</v>
      </c>
      <c r="B5167" t="s">
        <v>11</v>
      </c>
      <c r="C5167" t="s">
        <v>12</v>
      </c>
      <c r="D5167">
        <v>0</v>
      </c>
      <c r="E5167" s="2">
        <v>5793309144</v>
      </c>
      <c r="F5167" s="2">
        <v>5793309144</v>
      </c>
    </row>
    <row r="5168" spans="1:6" x14ac:dyDescent="0.25">
      <c r="A5168" s="1">
        <v>45078</v>
      </c>
      <c r="B5168" t="s">
        <v>107</v>
      </c>
      <c r="C5168" t="s">
        <v>153</v>
      </c>
      <c r="D5168" s="2">
        <v>90000</v>
      </c>
      <c r="E5168" s="2">
        <v>256913.95</v>
      </c>
      <c r="F5168" s="2">
        <v>183713.95</v>
      </c>
    </row>
    <row r="5169" spans="1:6" x14ac:dyDescent="0.25">
      <c r="A5169" s="1">
        <v>45078</v>
      </c>
      <c r="B5169" t="s">
        <v>143</v>
      </c>
      <c r="C5169" t="s">
        <v>1175</v>
      </c>
      <c r="D5169" s="2">
        <v>801268562</v>
      </c>
      <c r="E5169" s="2">
        <v>1695263399</v>
      </c>
      <c r="F5169" s="2">
        <v>1695263399</v>
      </c>
    </row>
    <row r="5170" spans="1:6" x14ac:dyDescent="0.25">
      <c r="A5170" s="1">
        <v>45078</v>
      </c>
      <c r="B5170" t="s">
        <v>103</v>
      </c>
      <c r="C5170" t="s">
        <v>220</v>
      </c>
      <c r="D5170" s="2">
        <v>284000</v>
      </c>
      <c r="E5170" s="2">
        <v>324011.75</v>
      </c>
      <c r="F5170" s="2">
        <v>234968.57</v>
      </c>
    </row>
    <row r="5171" spans="1:6" x14ac:dyDescent="0.25">
      <c r="A5171" s="1">
        <v>45078</v>
      </c>
      <c r="B5171" t="s">
        <v>92</v>
      </c>
      <c r="C5171" t="s">
        <v>1239</v>
      </c>
      <c r="D5171" s="2">
        <v>-30086.34</v>
      </c>
      <c r="E5171" s="2">
        <v>-30086.34</v>
      </c>
      <c r="F5171" s="2">
        <v>-30086.34</v>
      </c>
    </row>
    <row r="5172" spans="1:6" x14ac:dyDescent="0.25">
      <c r="A5172" s="1">
        <v>45078</v>
      </c>
      <c r="B5172" t="s">
        <v>7</v>
      </c>
      <c r="C5172" t="s">
        <v>8</v>
      </c>
      <c r="D5172" s="2">
        <v>45279564353.650002</v>
      </c>
      <c r="E5172" s="2">
        <v>1488493031.1099999</v>
      </c>
      <c r="F5172" s="2">
        <v>1488493031.1099999</v>
      </c>
    </row>
    <row r="5173" spans="1:6" x14ac:dyDescent="0.25">
      <c r="A5173" s="1">
        <v>45078</v>
      </c>
      <c r="B5173" t="s">
        <v>21</v>
      </c>
      <c r="C5173" t="s">
        <v>456</v>
      </c>
      <c r="D5173" s="2">
        <v>500000</v>
      </c>
      <c r="E5173" s="2">
        <v>83488.539999999994</v>
      </c>
      <c r="F5173" s="2">
        <v>83488.539999999994</v>
      </c>
    </row>
    <row r="5174" spans="1:6" x14ac:dyDescent="0.25">
      <c r="A5174" s="1">
        <v>45078</v>
      </c>
      <c r="B5174" t="s">
        <v>23</v>
      </c>
      <c r="C5174" t="s">
        <v>368</v>
      </c>
      <c r="D5174" s="2">
        <v>1462844.28</v>
      </c>
      <c r="E5174" s="2">
        <v>223743.69</v>
      </c>
      <c r="F5174" s="2">
        <v>226421.43</v>
      </c>
    </row>
    <row r="5175" spans="1:6" x14ac:dyDescent="0.25">
      <c r="A5175" s="1">
        <v>45078</v>
      </c>
      <c r="B5175" t="s">
        <v>15</v>
      </c>
      <c r="C5175" t="s">
        <v>1173</v>
      </c>
      <c r="D5175">
        <v>0</v>
      </c>
      <c r="E5175">
        <v>0</v>
      </c>
      <c r="F5175">
        <v>0</v>
      </c>
    </row>
    <row r="5176" spans="1:6" x14ac:dyDescent="0.25">
      <c r="A5176" s="1">
        <v>45078</v>
      </c>
      <c r="B5176" t="s">
        <v>107</v>
      </c>
      <c r="C5176" t="s">
        <v>514</v>
      </c>
      <c r="D5176" s="2">
        <v>7008480.4000000004</v>
      </c>
      <c r="E5176" s="2">
        <v>4881275.1500000004</v>
      </c>
      <c r="F5176" s="2">
        <v>4881280.4000000004</v>
      </c>
    </row>
    <row r="5177" spans="1:6" x14ac:dyDescent="0.25">
      <c r="A5177" s="1">
        <v>45078</v>
      </c>
      <c r="B5177" t="s">
        <v>48</v>
      </c>
      <c r="C5177" t="s">
        <v>1283</v>
      </c>
      <c r="D5177" s="2">
        <v>700000</v>
      </c>
      <c r="E5177" s="2">
        <v>657439.81999999995</v>
      </c>
      <c r="F5177" s="2">
        <v>657439.81999999995</v>
      </c>
    </row>
    <row r="5178" spans="1:6" x14ac:dyDescent="0.25">
      <c r="A5178" s="1">
        <v>45078</v>
      </c>
      <c r="B5178" t="s">
        <v>21</v>
      </c>
      <c r="C5178" t="s">
        <v>212</v>
      </c>
      <c r="D5178" s="2">
        <v>54977212</v>
      </c>
      <c r="E5178" s="2">
        <v>8194580.2699999996</v>
      </c>
      <c r="F5178" s="2">
        <v>12402723.390000001</v>
      </c>
    </row>
    <row r="5179" spans="1:6" x14ac:dyDescent="0.25">
      <c r="A5179" s="1">
        <v>45078</v>
      </c>
      <c r="B5179" t="s">
        <v>55</v>
      </c>
      <c r="C5179" t="s">
        <v>198</v>
      </c>
      <c r="D5179">
        <v>0</v>
      </c>
      <c r="E5179">
        <v>0</v>
      </c>
      <c r="F5179">
        <v>0</v>
      </c>
    </row>
    <row r="5180" spans="1:6" x14ac:dyDescent="0.25">
      <c r="A5180" s="1">
        <v>45078</v>
      </c>
      <c r="B5180" t="s">
        <v>17</v>
      </c>
      <c r="C5180" t="s">
        <v>256</v>
      </c>
      <c r="D5180" s="2">
        <v>2324228.42</v>
      </c>
      <c r="E5180" s="2">
        <v>3748307.2</v>
      </c>
      <c r="F5180" s="2">
        <v>3998580</v>
      </c>
    </row>
    <row r="5181" spans="1:6" x14ac:dyDescent="0.25">
      <c r="A5181" s="1">
        <v>45078</v>
      </c>
      <c r="B5181" t="s">
        <v>518</v>
      </c>
      <c r="C5181" t="s">
        <v>892</v>
      </c>
      <c r="D5181" s="2">
        <v>11096.53</v>
      </c>
      <c r="E5181" s="2">
        <v>23306.93</v>
      </c>
      <c r="F5181" s="2">
        <v>49976.3</v>
      </c>
    </row>
    <row r="5182" spans="1:6" x14ac:dyDescent="0.25">
      <c r="A5182" s="1">
        <v>45078</v>
      </c>
      <c r="B5182" t="s">
        <v>40</v>
      </c>
      <c r="C5182" t="s">
        <v>629</v>
      </c>
      <c r="D5182" s="2">
        <v>286085</v>
      </c>
      <c r="E5182" s="2">
        <v>961652.91</v>
      </c>
      <c r="F5182" s="2">
        <v>953793.99</v>
      </c>
    </row>
    <row r="5183" spans="1:6" x14ac:dyDescent="0.25">
      <c r="A5183" s="1">
        <v>45078</v>
      </c>
      <c r="B5183" t="s">
        <v>682</v>
      </c>
      <c r="C5183" t="s">
        <v>741</v>
      </c>
      <c r="D5183">
        <v>0</v>
      </c>
      <c r="E5183">
        <v>0</v>
      </c>
      <c r="F5183">
        <v>0</v>
      </c>
    </row>
    <row r="5184" spans="1:6" x14ac:dyDescent="0.25">
      <c r="A5184" s="1">
        <v>45078</v>
      </c>
      <c r="B5184" t="s">
        <v>821</v>
      </c>
      <c r="C5184" t="s">
        <v>965</v>
      </c>
      <c r="D5184" s="2">
        <v>4505.5</v>
      </c>
      <c r="E5184" s="2">
        <v>4505.5</v>
      </c>
      <c r="F5184">
        <v>0</v>
      </c>
    </row>
    <row r="5185" spans="1:6" x14ac:dyDescent="0.25">
      <c r="A5185" s="1">
        <v>45078</v>
      </c>
      <c r="B5185" t="s">
        <v>213</v>
      </c>
      <c r="C5185" t="s">
        <v>214</v>
      </c>
      <c r="D5185">
        <v>0</v>
      </c>
      <c r="E5185">
        <v>0</v>
      </c>
      <c r="F5185">
        <v>0</v>
      </c>
    </row>
    <row r="5186" spans="1:6" x14ac:dyDescent="0.25">
      <c r="A5186" s="1">
        <v>45078</v>
      </c>
      <c r="B5186" t="s">
        <v>132</v>
      </c>
      <c r="C5186" t="s">
        <v>385</v>
      </c>
      <c r="D5186" s="2">
        <v>11603461.58</v>
      </c>
      <c r="E5186" s="2">
        <v>5571022.8200000003</v>
      </c>
      <c r="F5186" s="2">
        <v>6048673.8300000001</v>
      </c>
    </row>
    <row r="5187" spans="1:6" x14ac:dyDescent="0.25">
      <c r="A5187" s="1">
        <v>45078</v>
      </c>
      <c r="B5187" t="s">
        <v>193</v>
      </c>
      <c r="C5187" t="s">
        <v>1204</v>
      </c>
      <c r="D5187" s="2">
        <v>643696983.94000006</v>
      </c>
      <c r="E5187" s="2">
        <v>643696983.94000006</v>
      </c>
      <c r="F5187" s="2">
        <v>643696983.94000006</v>
      </c>
    </row>
    <row r="5188" spans="1:6" x14ac:dyDescent="0.25">
      <c r="A5188" s="1">
        <v>45078</v>
      </c>
      <c r="B5188" t="s">
        <v>90</v>
      </c>
      <c r="C5188" t="s">
        <v>895</v>
      </c>
      <c r="D5188" s="2">
        <v>239425.41</v>
      </c>
      <c r="E5188" s="2">
        <v>696396.72</v>
      </c>
      <c r="F5188" s="2">
        <v>765127.26</v>
      </c>
    </row>
    <row r="5189" spans="1:6" x14ac:dyDescent="0.25">
      <c r="A5189" s="1">
        <v>45078</v>
      </c>
      <c r="B5189" t="s">
        <v>19</v>
      </c>
      <c r="C5189" t="s">
        <v>168</v>
      </c>
      <c r="D5189" s="2">
        <v>160000</v>
      </c>
      <c r="E5189" s="2">
        <v>1718784.02</v>
      </c>
      <c r="F5189" s="2">
        <v>1680489.22</v>
      </c>
    </row>
    <row r="5190" spans="1:6" x14ac:dyDescent="0.25">
      <c r="A5190" s="1">
        <v>45078</v>
      </c>
      <c r="B5190" t="s">
        <v>19</v>
      </c>
      <c r="C5190" t="s">
        <v>1050</v>
      </c>
      <c r="D5190" s="2">
        <v>41000</v>
      </c>
      <c r="E5190" s="2">
        <v>21260.35</v>
      </c>
      <c r="F5190" s="2">
        <v>21260.35</v>
      </c>
    </row>
    <row r="5191" spans="1:6" x14ac:dyDescent="0.25">
      <c r="A5191" s="1">
        <v>45078</v>
      </c>
      <c r="B5191" t="s">
        <v>21</v>
      </c>
      <c r="C5191" t="s">
        <v>939</v>
      </c>
      <c r="D5191" s="2">
        <v>1000000</v>
      </c>
      <c r="E5191" s="2">
        <v>210235.12</v>
      </c>
      <c r="F5191" s="2">
        <v>210235.12</v>
      </c>
    </row>
    <row r="5192" spans="1:6" x14ac:dyDescent="0.25">
      <c r="A5192" s="1">
        <v>45078</v>
      </c>
      <c r="B5192" t="s">
        <v>42</v>
      </c>
      <c r="C5192" t="s">
        <v>380</v>
      </c>
      <c r="D5192">
        <v>0</v>
      </c>
      <c r="E5192" s="2">
        <v>2145706.34</v>
      </c>
      <c r="F5192" s="2">
        <v>1833497.63</v>
      </c>
    </row>
    <row r="5193" spans="1:6" x14ac:dyDescent="0.25">
      <c r="A5193" s="1">
        <v>45078</v>
      </c>
      <c r="B5193" t="s">
        <v>40</v>
      </c>
      <c r="C5193" t="s">
        <v>873</v>
      </c>
      <c r="D5193">
        <v>0</v>
      </c>
      <c r="E5193" s="2">
        <v>2881094058.4200001</v>
      </c>
      <c r="F5193" s="2">
        <v>2881094058.4200001</v>
      </c>
    </row>
    <row r="5194" spans="1:6" x14ac:dyDescent="0.25">
      <c r="A5194" s="1">
        <v>45078</v>
      </c>
      <c r="B5194" t="s">
        <v>288</v>
      </c>
      <c r="C5194" t="s">
        <v>521</v>
      </c>
      <c r="D5194">
        <v>0</v>
      </c>
      <c r="E5194">
        <v>0</v>
      </c>
      <c r="F5194">
        <v>0</v>
      </c>
    </row>
    <row r="5195" spans="1:6" x14ac:dyDescent="0.25">
      <c r="A5195" s="1">
        <v>45078</v>
      </c>
      <c r="B5195" t="s">
        <v>21</v>
      </c>
      <c r="C5195" t="s">
        <v>522</v>
      </c>
      <c r="D5195" s="2">
        <v>19000000</v>
      </c>
      <c r="E5195" s="2">
        <v>11361525.869999999</v>
      </c>
      <c r="F5195" s="2">
        <v>11361525.869999999</v>
      </c>
    </row>
    <row r="5196" spans="1:6" x14ac:dyDescent="0.25">
      <c r="A5196" s="1">
        <v>45078</v>
      </c>
      <c r="B5196" t="s">
        <v>21</v>
      </c>
      <c r="C5196" t="s">
        <v>969</v>
      </c>
      <c r="D5196">
        <v>0</v>
      </c>
      <c r="E5196">
        <v>0</v>
      </c>
      <c r="F5196">
        <v>0</v>
      </c>
    </row>
    <row r="5197" spans="1:6" x14ac:dyDescent="0.25">
      <c r="A5197" s="1">
        <v>45078</v>
      </c>
      <c r="B5197" t="s">
        <v>23</v>
      </c>
      <c r="C5197" t="s">
        <v>710</v>
      </c>
      <c r="D5197">
        <v>0</v>
      </c>
      <c r="E5197" s="2">
        <v>32706.84</v>
      </c>
      <c r="F5197" s="2">
        <v>52031.97</v>
      </c>
    </row>
    <row r="5198" spans="1:6" x14ac:dyDescent="0.25">
      <c r="A5198" s="1">
        <v>45078</v>
      </c>
      <c r="B5198" t="s">
        <v>17</v>
      </c>
      <c r="C5198" t="s">
        <v>951</v>
      </c>
      <c r="D5198">
        <v>0</v>
      </c>
      <c r="E5198">
        <v>0</v>
      </c>
      <c r="F5198">
        <v>0</v>
      </c>
    </row>
    <row r="5199" spans="1:6" x14ac:dyDescent="0.25">
      <c r="A5199" s="1">
        <v>45078</v>
      </c>
      <c r="B5199" t="s">
        <v>23</v>
      </c>
      <c r="C5199" t="s">
        <v>305</v>
      </c>
      <c r="D5199" s="2">
        <v>177529.55</v>
      </c>
      <c r="E5199" s="2">
        <v>23155470.440000001</v>
      </c>
      <c r="F5199" s="2">
        <v>25425503.16</v>
      </c>
    </row>
    <row r="5200" spans="1:6" x14ac:dyDescent="0.25">
      <c r="A5200" s="1">
        <v>45078</v>
      </c>
      <c r="B5200" t="s">
        <v>143</v>
      </c>
      <c r="C5200" t="s">
        <v>517</v>
      </c>
      <c r="D5200" s="2">
        <v>4212000</v>
      </c>
      <c r="E5200" s="2">
        <v>4212000</v>
      </c>
      <c r="F5200" s="2">
        <v>4212000</v>
      </c>
    </row>
    <row r="5201" spans="1:6" x14ac:dyDescent="0.25">
      <c r="A5201" s="1">
        <v>45078</v>
      </c>
      <c r="B5201" t="s">
        <v>27</v>
      </c>
      <c r="C5201" t="s">
        <v>280</v>
      </c>
      <c r="D5201">
        <v>0</v>
      </c>
      <c r="E5201">
        <v>0</v>
      </c>
      <c r="F5201">
        <v>0</v>
      </c>
    </row>
    <row r="5202" spans="1:6" x14ac:dyDescent="0.25">
      <c r="A5202" s="1">
        <v>45078</v>
      </c>
      <c r="B5202" t="s">
        <v>29</v>
      </c>
      <c r="C5202" t="s">
        <v>717</v>
      </c>
      <c r="D5202" s="2">
        <v>11115320.390000001</v>
      </c>
      <c r="E5202" s="2">
        <v>44366925.359999999</v>
      </c>
      <c r="F5202" s="2">
        <v>62223619.409999996</v>
      </c>
    </row>
    <row r="5203" spans="1:6" x14ac:dyDescent="0.25">
      <c r="A5203" s="1">
        <v>45078</v>
      </c>
      <c r="B5203" t="s">
        <v>251</v>
      </c>
      <c r="C5203" t="s">
        <v>332</v>
      </c>
      <c r="D5203">
        <v>0</v>
      </c>
      <c r="E5203" s="2">
        <v>49843183.539999999</v>
      </c>
      <c r="F5203" s="2">
        <v>49843183.539999999</v>
      </c>
    </row>
    <row r="5204" spans="1:6" x14ac:dyDescent="0.25">
      <c r="A5204" s="1">
        <v>45078</v>
      </c>
      <c r="B5204" t="s">
        <v>50</v>
      </c>
      <c r="C5204" t="s">
        <v>787</v>
      </c>
      <c r="D5204" s="2">
        <v>115407366.81</v>
      </c>
      <c r="E5204" s="2">
        <v>7299015.0999999996</v>
      </c>
      <c r="F5204" s="2">
        <v>17881776.09</v>
      </c>
    </row>
    <row r="5205" spans="1:6" x14ac:dyDescent="0.25">
      <c r="A5205" s="1">
        <v>45078</v>
      </c>
      <c r="B5205" t="s">
        <v>23</v>
      </c>
      <c r="C5205" t="s">
        <v>117</v>
      </c>
      <c r="D5205" s="2">
        <v>119762</v>
      </c>
      <c r="E5205" s="2">
        <v>172867.01</v>
      </c>
      <c r="F5205" s="2">
        <v>325219.77</v>
      </c>
    </row>
    <row r="5206" spans="1:6" x14ac:dyDescent="0.25">
      <c r="A5206" s="1">
        <v>45078</v>
      </c>
      <c r="B5206" t="s">
        <v>162</v>
      </c>
      <c r="C5206" t="s">
        <v>322</v>
      </c>
      <c r="D5206" s="2">
        <v>19959921.5</v>
      </c>
      <c r="E5206" s="2">
        <v>18570883.579999998</v>
      </c>
      <c r="F5206" s="2">
        <v>12177548.58</v>
      </c>
    </row>
    <row r="5207" spans="1:6" x14ac:dyDescent="0.25">
      <c r="A5207" s="1">
        <v>45078</v>
      </c>
      <c r="B5207" t="s">
        <v>50</v>
      </c>
      <c r="C5207" t="s">
        <v>735</v>
      </c>
      <c r="D5207" s="2">
        <v>73312.41</v>
      </c>
      <c r="E5207" s="2">
        <v>4428.4799999999996</v>
      </c>
      <c r="F5207" s="2">
        <v>11037.08</v>
      </c>
    </row>
    <row r="5208" spans="1:6" x14ac:dyDescent="0.25">
      <c r="A5208" s="1">
        <v>45078</v>
      </c>
      <c r="B5208" t="s">
        <v>21</v>
      </c>
      <c r="C5208" t="s">
        <v>720</v>
      </c>
      <c r="D5208">
        <v>0</v>
      </c>
      <c r="E5208">
        <v>0</v>
      </c>
      <c r="F5208">
        <v>0</v>
      </c>
    </row>
    <row r="5209" spans="1:6" x14ac:dyDescent="0.25">
      <c r="A5209" s="1">
        <v>45078</v>
      </c>
      <c r="B5209" t="s">
        <v>225</v>
      </c>
      <c r="C5209" t="s">
        <v>226</v>
      </c>
      <c r="D5209">
        <v>0</v>
      </c>
      <c r="E5209">
        <v>0</v>
      </c>
      <c r="F5209">
        <v>0</v>
      </c>
    </row>
    <row r="5210" spans="1:6" x14ac:dyDescent="0.25">
      <c r="A5210" s="1">
        <v>45078</v>
      </c>
      <c r="B5210" t="s">
        <v>162</v>
      </c>
      <c r="C5210" t="s">
        <v>218</v>
      </c>
      <c r="D5210" s="2">
        <v>165071280</v>
      </c>
      <c r="E5210" s="2">
        <v>164590800</v>
      </c>
      <c r="F5210" s="2">
        <v>164590800</v>
      </c>
    </row>
    <row r="5211" spans="1:6" x14ac:dyDescent="0.25">
      <c r="A5211" s="1">
        <v>45078</v>
      </c>
      <c r="B5211" t="s">
        <v>261</v>
      </c>
      <c r="C5211" t="s">
        <v>34</v>
      </c>
      <c r="D5211">
        <v>0</v>
      </c>
      <c r="E5211">
        <v>0</v>
      </c>
      <c r="F5211">
        <v>0</v>
      </c>
    </row>
    <row r="5212" spans="1:6" x14ac:dyDescent="0.25">
      <c r="A5212" s="1">
        <v>45078</v>
      </c>
      <c r="B5212" t="s">
        <v>132</v>
      </c>
      <c r="C5212" t="s">
        <v>613</v>
      </c>
      <c r="D5212" s="2">
        <v>48872619.939999998</v>
      </c>
      <c r="E5212" s="2">
        <v>5818054.6399999997</v>
      </c>
      <c r="F5212" s="2">
        <v>5796527.6500000004</v>
      </c>
    </row>
    <row r="5213" spans="1:6" x14ac:dyDescent="0.25">
      <c r="A5213" s="1">
        <v>45078</v>
      </c>
      <c r="B5213" t="s">
        <v>193</v>
      </c>
      <c r="C5213" t="s">
        <v>194</v>
      </c>
      <c r="D5213" s="2">
        <v>1138198579.71</v>
      </c>
      <c r="E5213" s="2">
        <v>1138198579.71</v>
      </c>
      <c r="F5213" s="2">
        <v>1138198579.71</v>
      </c>
    </row>
    <row r="5214" spans="1:6" x14ac:dyDescent="0.25">
      <c r="A5214" s="1">
        <v>45078</v>
      </c>
      <c r="B5214" t="s">
        <v>103</v>
      </c>
      <c r="C5214" t="s">
        <v>453</v>
      </c>
      <c r="D5214">
        <v>0</v>
      </c>
      <c r="E5214">
        <v>0</v>
      </c>
      <c r="F5214">
        <v>0</v>
      </c>
    </row>
    <row r="5215" spans="1:6" x14ac:dyDescent="0.25">
      <c r="A5215" s="1">
        <v>45078</v>
      </c>
      <c r="B5215" t="s">
        <v>50</v>
      </c>
      <c r="C5215" t="s">
        <v>594</v>
      </c>
      <c r="D5215" s="2">
        <v>22402824.100000001</v>
      </c>
      <c r="E5215" s="2">
        <v>4545551.9400000004</v>
      </c>
      <c r="F5215" s="2">
        <v>11064448.359999999</v>
      </c>
    </row>
    <row r="5216" spans="1:6" x14ac:dyDescent="0.25">
      <c r="A5216" s="1">
        <v>45078</v>
      </c>
      <c r="B5216" t="s">
        <v>65</v>
      </c>
      <c r="C5216" t="s">
        <v>883</v>
      </c>
      <c r="D5216" s="2">
        <v>29472391.620000001</v>
      </c>
      <c r="E5216" s="2">
        <v>5911139.2800000003</v>
      </c>
      <c r="F5216" s="2">
        <v>5900985.1200000001</v>
      </c>
    </row>
    <row r="5217" spans="1:6" x14ac:dyDescent="0.25">
      <c r="A5217" s="1">
        <v>45078</v>
      </c>
      <c r="B5217" t="s">
        <v>460</v>
      </c>
      <c r="C5217" t="s">
        <v>856</v>
      </c>
      <c r="D5217" s="2">
        <v>1869804.82</v>
      </c>
      <c r="E5217" s="2">
        <v>12139092.17</v>
      </c>
      <c r="F5217" s="2">
        <v>16451948.800000001</v>
      </c>
    </row>
    <row r="5218" spans="1:6" x14ac:dyDescent="0.25">
      <c r="A5218" s="1">
        <v>45078</v>
      </c>
      <c r="B5218" t="s">
        <v>263</v>
      </c>
      <c r="C5218" t="s">
        <v>1189</v>
      </c>
      <c r="D5218" s="2">
        <v>1914546.08</v>
      </c>
      <c r="E5218" s="2">
        <v>2830362.05</v>
      </c>
      <c r="F5218" s="2">
        <v>6673614.2999999998</v>
      </c>
    </row>
    <row r="5219" spans="1:6" x14ac:dyDescent="0.25">
      <c r="A5219" s="1">
        <v>45078</v>
      </c>
      <c r="B5219" t="s">
        <v>19</v>
      </c>
      <c r="C5219" t="s">
        <v>39</v>
      </c>
      <c r="D5219" s="2">
        <v>59726.559999999998</v>
      </c>
      <c r="E5219" s="2">
        <v>716132.87</v>
      </c>
      <c r="F5219" s="2">
        <v>723629.21</v>
      </c>
    </row>
    <row r="5220" spans="1:6" x14ac:dyDescent="0.25">
      <c r="A5220" s="1">
        <v>45078</v>
      </c>
      <c r="B5220" t="s">
        <v>55</v>
      </c>
      <c r="C5220" t="s">
        <v>708</v>
      </c>
      <c r="D5220">
        <v>0</v>
      </c>
      <c r="E5220">
        <v>0</v>
      </c>
      <c r="F5220">
        <v>0</v>
      </c>
    </row>
    <row r="5221" spans="1:6" x14ac:dyDescent="0.25">
      <c r="A5221" s="1">
        <v>45078</v>
      </c>
      <c r="B5221" t="s">
        <v>196</v>
      </c>
      <c r="C5221" t="s">
        <v>926</v>
      </c>
      <c r="D5221">
        <v>0</v>
      </c>
      <c r="E5221">
        <v>0</v>
      </c>
      <c r="F5221">
        <v>0</v>
      </c>
    </row>
    <row r="5222" spans="1:6" x14ac:dyDescent="0.25">
      <c r="A5222" s="1">
        <v>45078</v>
      </c>
      <c r="B5222" t="s">
        <v>23</v>
      </c>
      <c r="C5222" t="s">
        <v>294</v>
      </c>
      <c r="D5222">
        <v>0</v>
      </c>
      <c r="E5222">
        <v>0</v>
      </c>
      <c r="F5222">
        <v>0</v>
      </c>
    </row>
    <row r="5223" spans="1:6" x14ac:dyDescent="0.25">
      <c r="A5223" s="1">
        <v>45078</v>
      </c>
      <c r="B5223" t="s">
        <v>90</v>
      </c>
      <c r="C5223" t="s">
        <v>326</v>
      </c>
      <c r="D5223">
        <v>0</v>
      </c>
      <c r="E5223" s="2">
        <v>706743.28</v>
      </c>
      <c r="F5223" s="2">
        <v>578664.77</v>
      </c>
    </row>
    <row r="5224" spans="1:6" x14ac:dyDescent="0.25">
      <c r="A5224" s="1">
        <v>45078</v>
      </c>
      <c r="B5224" t="s">
        <v>42</v>
      </c>
      <c r="C5224" t="s">
        <v>43</v>
      </c>
      <c r="D5224" s="2">
        <v>25566533.850000001</v>
      </c>
      <c r="E5224" s="2">
        <v>25566533.850000001</v>
      </c>
      <c r="F5224" s="2">
        <v>25566533.850000001</v>
      </c>
    </row>
    <row r="5225" spans="1:6" x14ac:dyDescent="0.25">
      <c r="A5225" s="1">
        <v>45078</v>
      </c>
      <c r="B5225" t="s">
        <v>682</v>
      </c>
      <c r="C5225" t="s">
        <v>683</v>
      </c>
      <c r="D5225" s="2">
        <v>235388.14</v>
      </c>
      <c r="E5225" s="2">
        <v>840471.41</v>
      </c>
      <c r="F5225" s="2">
        <v>845794.29</v>
      </c>
    </row>
    <row r="5226" spans="1:6" x14ac:dyDescent="0.25">
      <c r="A5226" s="1">
        <v>45078</v>
      </c>
      <c r="B5226" t="s">
        <v>17</v>
      </c>
      <c r="C5226" t="s">
        <v>377</v>
      </c>
      <c r="D5226" s="2">
        <v>3305070.27</v>
      </c>
      <c r="E5226" s="2">
        <v>14989080.75</v>
      </c>
      <c r="F5226" s="2">
        <v>15347430.75</v>
      </c>
    </row>
    <row r="5227" spans="1:6" x14ac:dyDescent="0.25">
      <c r="A5227" s="1">
        <v>45078</v>
      </c>
      <c r="B5227" t="s">
        <v>92</v>
      </c>
      <c r="C5227" t="s">
        <v>862</v>
      </c>
      <c r="D5227" s="2">
        <v>20200382.260000002</v>
      </c>
      <c r="E5227" s="2">
        <v>304716.74</v>
      </c>
      <c r="F5227" s="2">
        <v>308742.5</v>
      </c>
    </row>
    <row r="5228" spans="1:6" x14ac:dyDescent="0.25">
      <c r="A5228" s="1">
        <v>45078</v>
      </c>
      <c r="B5228" t="s">
        <v>17</v>
      </c>
      <c r="C5228" t="s">
        <v>432</v>
      </c>
      <c r="D5228">
        <v>0</v>
      </c>
      <c r="E5228" s="2">
        <v>510118.16</v>
      </c>
      <c r="F5228" s="2">
        <v>8771918.6099999994</v>
      </c>
    </row>
    <row r="5229" spans="1:6" x14ac:dyDescent="0.25">
      <c r="A5229" s="1">
        <v>45078</v>
      </c>
      <c r="B5229" t="s">
        <v>19</v>
      </c>
      <c r="C5229" t="s">
        <v>1002</v>
      </c>
      <c r="D5229" s="2">
        <v>15000</v>
      </c>
      <c r="E5229" s="2">
        <v>46456.54</v>
      </c>
      <c r="F5229" s="2">
        <v>43130.06</v>
      </c>
    </row>
    <row r="5230" spans="1:6" x14ac:dyDescent="0.25">
      <c r="A5230" s="1">
        <v>45078</v>
      </c>
      <c r="B5230" t="s">
        <v>50</v>
      </c>
      <c r="C5230" t="s">
        <v>520</v>
      </c>
      <c r="D5230">
        <v>0</v>
      </c>
      <c r="E5230">
        <v>0</v>
      </c>
      <c r="F5230">
        <v>0</v>
      </c>
    </row>
    <row r="5231" spans="1:6" x14ac:dyDescent="0.25">
      <c r="A5231" s="1">
        <v>45078</v>
      </c>
      <c r="B5231" t="s">
        <v>296</v>
      </c>
      <c r="C5231" t="s">
        <v>470</v>
      </c>
      <c r="D5231" s="2">
        <v>51917983.740000002</v>
      </c>
      <c r="E5231" s="2">
        <v>435599.47</v>
      </c>
      <c r="F5231" s="2">
        <v>28321.73</v>
      </c>
    </row>
    <row r="5232" spans="1:6" x14ac:dyDescent="0.25">
      <c r="A5232" s="1">
        <v>45078</v>
      </c>
      <c r="B5232" t="s">
        <v>75</v>
      </c>
      <c r="C5232" t="s">
        <v>485</v>
      </c>
      <c r="D5232" s="2">
        <v>677630.43</v>
      </c>
      <c r="E5232" s="2">
        <v>2638172.09</v>
      </c>
      <c r="F5232" s="2">
        <v>3138128.17</v>
      </c>
    </row>
    <row r="5233" spans="1:6" x14ac:dyDescent="0.25">
      <c r="A5233" s="1">
        <v>45078</v>
      </c>
      <c r="B5233" t="s">
        <v>127</v>
      </c>
      <c r="C5233" t="s">
        <v>128</v>
      </c>
      <c r="D5233" s="2">
        <v>4262.37</v>
      </c>
      <c r="E5233" s="2">
        <v>37366.949999999997</v>
      </c>
      <c r="F5233" s="2">
        <v>37366.949999999997</v>
      </c>
    </row>
    <row r="5234" spans="1:6" x14ac:dyDescent="0.25">
      <c r="A5234" s="1">
        <v>45078</v>
      </c>
      <c r="B5234" t="s">
        <v>932</v>
      </c>
      <c r="C5234" t="s">
        <v>685</v>
      </c>
      <c r="D5234">
        <v>0</v>
      </c>
      <c r="E5234">
        <v>0</v>
      </c>
      <c r="F5234">
        <v>0</v>
      </c>
    </row>
    <row r="5235" spans="1:6" x14ac:dyDescent="0.25">
      <c r="A5235" s="1">
        <v>45078</v>
      </c>
      <c r="B5235" t="s">
        <v>50</v>
      </c>
      <c r="C5235" t="s">
        <v>1221</v>
      </c>
      <c r="D5235">
        <v>0</v>
      </c>
      <c r="E5235">
        <v>0</v>
      </c>
      <c r="F5235">
        <v>0</v>
      </c>
    </row>
    <row r="5236" spans="1:6" x14ac:dyDescent="0.25">
      <c r="A5236" s="1">
        <v>45078</v>
      </c>
      <c r="B5236" t="s">
        <v>98</v>
      </c>
      <c r="C5236" t="s">
        <v>543</v>
      </c>
      <c r="D5236">
        <v>0</v>
      </c>
      <c r="E5236">
        <v>0</v>
      </c>
      <c r="F5236">
        <v>0</v>
      </c>
    </row>
    <row r="5237" spans="1:6" x14ac:dyDescent="0.25">
      <c r="A5237" s="1">
        <v>45078</v>
      </c>
      <c r="B5237" t="s">
        <v>23</v>
      </c>
      <c r="C5237" t="s">
        <v>1012</v>
      </c>
      <c r="D5237" s="2">
        <v>-460664.82</v>
      </c>
      <c r="E5237" s="2">
        <v>65569.05</v>
      </c>
      <c r="F5237" s="2">
        <v>56939.05</v>
      </c>
    </row>
    <row r="5238" spans="1:6" x14ac:dyDescent="0.25">
      <c r="A5238" s="1">
        <v>45078</v>
      </c>
      <c r="B5238" t="s">
        <v>42</v>
      </c>
      <c r="C5238" t="s">
        <v>258</v>
      </c>
      <c r="D5238" s="2">
        <v>196640505</v>
      </c>
      <c r="E5238">
        <v>0</v>
      </c>
      <c r="F5238">
        <v>0</v>
      </c>
    </row>
    <row r="5239" spans="1:6" x14ac:dyDescent="0.25">
      <c r="A5239" s="1">
        <v>45078</v>
      </c>
      <c r="B5239" t="s">
        <v>11</v>
      </c>
      <c r="C5239" t="s">
        <v>342</v>
      </c>
      <c r="D5239" s="2">
        <v>550911768.84000003</v>
      </c>
      <c r="E5239" s="2">
        <v>601720627.84000003</v>
      </c>
      <c r="F5239" s="2">
        <v>579243010.99000001</v>
      </c>
    </row>
    <row r="5240" spans="1:6" x14ac:dyDescent="0.25">
      <c r="A5240" s="1">
        <v>45078</v>
      </c>
      <c r="B5240" t="s">
        <v>23</v>
      </c>
      <c r="C5240" t="s">
        <v>551</v>
      </c>
      <c r="D5240" s="2">
        <v>16335.78</v>
      </c>
      <c r="E5240" s="2">
        <v>87686.97</v>
      </c>
      <c r="F5240" s="2">
        <v>79784.3</v>
      </c>
    </row>
    <row r="5241" spans="1:6" x14ac:dyDescent="0.25">
      <c r="A5241" s="1">
        <v>45078</v>
      </c>
      <c r="B5241" t="s">
        <v>118</v>
      </c>
      <c r="C5241" t="s">
        <v>486</v>
      </c>
      <c r="D5241">
        <v>0</v>
      </c>
      <c r="E5241">
        <v>0</v>
      </c>
      <c r="F5241">
        <v>0</v>
      </c>
    </row>
    <row r="5242" spans="1:6" x14ac:dyDescent="0.25">
      <c r="A5242" s="1">
        <v>45078</v>
      </c>
      <c r="B5242" t="s">
        <v>225</v>
      </c>
      <c r="C5242" t="s">
        <v>1284</v>
      </c>
      <c r="D5242" s="2">
        <v>468319000</v>
      </c>
      <c r="E5242">
        <v>0</v>
      </c>
      <c r="F5242">
        <v>0</v>
      </c>
    </row>
    <row r="5243" spans="1:6" x14ac:dyDescent="0.25">
      <c r="A5243" s="1">
        <v>45078</v>
      </c>
      <c r="B5243" t="s">
        <v>68</v>
      </c>
      <c r="C5243" t="s">
        <v>137</v>
      </c>
      <c r="D5243">
        <v>0.04</v>
      </c>
      <c r="E5243" s="2">
        <v>13431976.550000001</v>
      </c>
      <c r="F5243" s="2">
        <v>12713380.050000001</v>
      </c>
    </row>
    <row r="5244" spans="1:6" x14ac:dyDescent="0.25">
      <c r="A5244" s="1">
        <v>45078</v>
      </c>
      <c r="B5244" t="s">
        <v>27</v>
      </c>
      <c r="C5244" t="s">
        <v>748</v>
      </c>
      <c r="D5244" s="2">
        <v>6640</v>
      </c>
      <c r="E5244" s="2">
        <v>10348</v>
      </c>
      <c r="F5244" s="2">
        <v>10348</v>
      </c>
    </row>
    <row r="5245" spans="1:6" x14ac:dyDescent="0.25">
      <c r="A5245" s="1">
        <v>45078</v>
      </c>
      <c r="B5245" t="s">
        <v>21</v>
      </c>
      <c r="C5245" t="s">
        <v>58</v>
      </c>
      <c r="D5245">
        <v>0</v>
      </c>
      <c r="E5245" s="2">
        <v>711559.23</v>
      </c>
      <c r="F5245" s="2">
        <v>711559.23</v>
      </c>
    </row>
    <row r="5246" spans="1:6" x14ac:dyDescent="0.25">
      <c r="A5246" s="1">
        <v>45078</v>
      </c>
      <c r="B5246" t="s">
        <v>726</v>
      </c>
      <c r="C5246" t="s">
        <v>1011</v>
      </c>
      <c r="D5246">
        <v>0</v>
      </c>
      <c r="E5246" s="2">
        <v>1788483.86</v>
      </c>
      <c r="F5246" s="2">
        <v>1754793.45</v>
      </c>
    </row>
    <row r="5247" spans="1:6" x14ac:dyDescent="0.25">
      <c r="A5247" s="1">
        <v>45078</v>
      </c>
      <c r="B5247" t="s">
        <v>132</v>
      </c>
      <c r="C5247" t="s">
        <v>1184</v>
      </c>
      <c r="D5247" s="2">
        <v>100000</v>
      </c>
      <c r="E5247" s="2">
        <v>158912.54</v>
      </c>
      <c r="F5247" s="2">
        <v>153607.24</v>
      </c>
    </row>
    <row r="5248" spans="1:6" x14ac:dyDescent="0.25">
      <c r="A5248" s="1">
        <v>45078</v>
      </c>
      <c r="B5248" t="s">
        <v>44</v>
      </c>
      <c r="C5248" t="s">
        <v>838</v>
      </c>
      <c r="D5248" s="2">
        <v>37070848.079999998</v>
      </c>
      <c r="E5248" s="2">
        <v>9175149.6699999999</v>
      </c>
      <c r="F5248" s="2">
        <v>9017688.4900000002</v>
      </c>
    </row>
    <row r="5249" spans="1:6" x14ac:dyDescent="0.25">
      <c r="A5249" s="1">
        <v>45078</v>
      </c>
      <c r="B5249" t="s">
        <v>118</v>
      </c>
      <c r="C5249" t="s">
        <v>62</v>
      </c>
      <c r="D5249" s="2">
        <v>1569222.54</v>
      </c>
      <c r="E5249" s="2">
        <v>818867.68</v>
      </c>
      <c r="F5249" s="2">
        <v>720445.58</v>
      </c>
    </row>
    <row r="5250" spans="1:6" x14ac:dyDescent="0.25">
      <c r="A5250" s="1">
        <v>45078</v>
      </c>
      <c r="B5250" t="s">
        <v>162</v>
      </c>
      <c r="C5250" t="s">
        <v>621</v>
      </c>
      <c r="D5250" s="2">
        <v>8279324.5499999998</v>
      </c>
      <c r="E5250" s="2">
        <v>7025515.0300000003</v>
      </c>
      <c r="F5250" s="2">
        <v>6785816.5700000003</v>
      </c>
    </row>
    <row r="5251" spans="1:6" x14ac:dyDescent="0.25">
      <c r="A5251" s="1">
        <v>45078</v>
      </c>
      <c r="B5251" t="s">
        <v>31</v>
      </c>
      <c r="C5251" t="s">
        <v>1257</v>
      </c>
      <c r="D5251" s="2">
        <v>399828.78</v>
      </c>
      <c r="E5251" s="2">
        <v>9642.16</v>
      </c>
      <c r="F5251" s="2">
        <v>9642.16</v>
      </c>
    </row>
    <row r="5252" spans="1:6" x14ac:dyDescent="0.25">
      <c r="A5252" s="1">
        <v>45078</v>
      </c>
      <c r="B5252" t="s">
        <v>21</v>
      </c>
      <c r="C5252" t="s">
        <v>404</v>
      </c>
      <c r="D5252">
        <v>0</v>
      </c>
      <c r="E5252">
        <v>0</v>
      </c>
      <c r="F5252">
        <v>0</v>
      </c>
    </row>
    <row r="5253" spans="1:6" x14ac:dyDescent="0.25">
      <c r="A5253" s="1">
        <v>45078</v>
      </c>
      <c r="B5253" t="s">
        <v>21</v>
      </c>
      <c r="C5253" t="s">
        <v>1006</v>
      </c>
      <c r="D5253">
        <v>0</v>
      </c>
      <c r="E5253" s="2">
        <v>1966488.69</v>
      </c>
      <c r="F5253" s="2">
        <v>1966488.69</v>
      </c>
    </row>
    <row r="5254" spans="1:6" x14ac:dyDescent="0.25">
      <c r="A5254" s="1">
        <v>45078</v>
      </c>
      <c r="B5254" t="s">
        <v>726</v>
      </c>
      <c r="C5254" t="s">
        <v>918</v>
      </c>
      <c r="D5254" s="2">
        <v>79873.11</v>
      </c>
      <c r="E5254" s="2">
        <v>57773.279999999999</v>
      </c>
      <c r="F5254" s="2">
        <v>75054.03</v>
      </c>
    </row>
    <row r="5255" spans="1:6" x14ac:dyDescent="0.25">
      <c r="A5255" s="1">
        <v>45078</v>
      </c>
      <c r="B5255" t="s">
        <v>44</v>
      </c>
      <c r="C5255" t="s">
        <v>872</v>
      </c>
      <c r="D5255" s="2">
        <v>69807.33</v>
      </c>
      <c r="E5255" s="2">
        <v>67297.009999999995</v>
      </c>
      <c r="F5255" s="2">
        <v>37659.68</v>
      </c>
    </row>
    <row r="5256" spans="1:6" x14ac:dyDescent="0.25">
      <c r="A5256" s="1">
        <v>45078</v>
      </c>
      <c r="B5256" t="s">
        <v>21</v>
      </c>
      <c r="C5256" t="s">
        <v>795</v>
      </c>
      <c r="D5256">
        <v>0</v>
      </c>
      <c r="E5256" s="2">
        <v>162941.67000000001</v>
      </c>
      <c r="F5256" s="2">
        <v>139523.76999999999</v>
      </c>
    </row>
    <row r="5257" spans="1:6" x14ac:dyDescent="0.25">
      <c r="A5257" s="1">
        <v>45078</v>
      </c>
      <c r="B5257" t="s">
        <v>185</v>
      </c>
      <c r="C5257" t="s">
        <v>493</v>
      </c>
      <c r="D5257" s="2">
        <v>19045910.219999999</v>
      </c>
      <c r="E5257" s="2">
        <v>82664382.560000002</v>
      </c>
      <c r="F5257" s="2">
        <v>138055141.75</v>
      </c>
    </row>
    <row r="5258" spans="1:6" x14ac:dyDescent="0.25">
      <c r="A5258" s="1">
        <v>45078</v>
      </c>
      <c r="B5258" t="s">
        <v>518</v>
      </c>
      <c r="C5258" t="s">
        <v>906</v>
      </c>
      <c r="D5258" s="2">
        <v>25841.71</v>
      </c>
      <c r="E5258" s="2">
        <v>56543.73</v>
      </c>
      <c r="F5258" s="2">
        <v>85346.87</v>
      </c>
    </row>
    <row r="5259" spans="1:6" x14ac:dyDescent="0.25">
      <c r="A5259" s="1">
        <v>45078</v>
      </c>
      <c r="B5259" t="s">
        <v>40</v>
      </c>
      <c r="C5259" t="s">
        <v>581</v>
      </c>
      <c r="D5259" s="2">
        <v>5833302.4900000002</v>
      </c>
      <c r="E5259" s="2">
        <v>38304600</v>
      </c>
      <c r="F5259" s="2">
        <v>38490506.700000003</v>
      </c>
    </row>
    <row r="5260" spans="1:6" x14ac:dyDescent="0.25">
      <c r="A5260" s="1">
        <v>45078</v>
      </c>
      <c r="B5260" t="s">
        <v>196</v>
      </c>
      <c r="C5260" t="s">
        <v>615</v>
      </c>
      <c r="D5260">
        <v>0</v>
      </c>
      <c r="E5260">
        <v>0</v>
      </c>
      <c r="F5260">
        <v>0</v>
      </c>
    </row>
    <row r="5261" spans="1:6" x14ac:dyDescent="0.25">
      <c r="A5261" s="1">
        <v>45078</v>
      </c>
      <c r="B5261" t="s">
        <v>118</v>
      </c>
      <c r="C5261" t="s">
        <v>730</v>
      </c>
      <c r="D5261" s="2">
        <v>5400</v>
      </c>
      <c r="E5261" s="2">
        <v>4948.95</v>
      </c>
      <c r="F5261" s="2">
        <v>4948.95</v>
      </c>
    </row>
    <row r="5262" spans="1:6" x14ac:dyDescent="0.25">
      <c r="A5262" s="1">
        <v>45078</v>
      </c>
      <c r="B5262" t="s">
        <v>46</v>
      </c>
      <c r="C5262" t="s">
        <v>47</v>
      </c>
      <c r="D5262" s="2">
        <v>8225613.7000000002</v>
      </c>
      <c r="E5262" s="2">
        <v>1201666.6599999999</v>
      </c>
      <c r="F5262" s="2">
        <v>1201666.6599999999</v>
      </c>
    </row>
    <row r="5263" spans="1:6" x14ac:dyDescent="0.25">
      <c r="A5263" s="1">
        <v>45078</v>
      </c>
      <c r="B5263" t="s">
        <v>40</v>
      </c>
      <c r="C5263" t="s">
        <v>805</v>
      </c>
      <c r="D5263" s="2">
        <v>34068401.659999996</v>
      </c>
      <c r="E5263" s="2">
        <v>119955029.98999999</v>
      </c>
      <c r="F5263" s="2">
        <v>220610320.28999999</v>
      </c>
    </row>
    <row r="5264" spans="1:6" x14ac:dyDescent="0.25">
      <c r="A5264" s="1">
        <v>45078</v>
      </c>
      <c r="B5264" t="s">
        <v>13</v>
      </c>
      <c r="C5264" t="s">
        <v>737</v>
      </c>
      <c r="D5264" s="2">
        <v>550000</v>
      </c>
      <c r="E5264" s="2">
        <v>5325886.43</v>
      </c>
      <c r="F5264" s="2">
        <v>5288903.53</v>
      </c>
    </row>
    <row r="5265" spans="1:6" x14ac:dyDescent="0.25">
      <c r="A5265" s="1">
        <v>45078</v>
      </c>
      <c r="B5265" t="s">
        <v>40</v>
      </c>
      <c r="C5265" t="s">
        <v>539</v>
      </c>
      <c r="D5265" s="2">
        <v>-1646160.31</v>
      </c>
      <c r="E5265">
        <v>0</v>
      </c>
      <c r="F5265">
        <v>0</v>
      </c>
    </row>
    <row r="5266" spans="1:6" x14ac:dyDescent="0.25">
      <c r="A5266" s="1">
        <v>45078</v>
      </c>
      <c r="B5266" t="s">
        <v>37</v>
      </c>
      <c r="C5266" t="s">
        <v>721</v>
      </c>
      <c r="D5266" s="2">
        <v>1273276.3</v>
      </c>
      <c r="E5266">
        <v>0</v>
      </c>
      <c r="F5266">
        <v>0</v>
      </c>
    </row>
    <row r="5267" spans="1:6" x14ac:dyDescent="0.25">
      <c r="A5267" s="1">
        <v>45078</v>
      </c>
      <c r="B5267" t="s">
        <v>726</v>
      </c>
      <c r="C5267" t="s">
        <v>876</v>
      </c>
      <c r="D5267" s="2">
        <v>124311.76</v>
      </c>
      <c r="E5267" s="2">
        <v>89693.62</v>
      </c>
      <c r="F5267" s="2">
        <v>93183.29</v>
      </c>
    </row>
    <row r="5268" spans="1:6" x14ac:dyDescent="0.25">
      <c r="A5268" s="1">
        <v>45078</v>
      </c>
      <c r="B5268" t="s">
        <v>15</v>
      </c>
      <c r="C5268" t="s">
        <v>16</v>
      </c>
      <c r="D5268">
        <v>0</v>
      </c>
      <c r="E5268">
        <v>0</v>
      </c>
      <c r="F5268" s="2">
        <v>100908.63</v>
      </c>
    </row>
    <row r="5269" spans="1:6" x14ac:dyDescent="0.25">
      <c r="A5269" s="1">
        <v>45078</v>
      </c>
      <c r="B5269" t="s">
        <v>68</v>
      </c>
      <c r="C5269" t="s">
        <v>503</v>
      </c>
      <c r="D5269" s="2">
        <v>1800000</v>
      </c>
      <c r="E5269" s="2">
        <v>2707262.36</v>
      </c>
      <c r="F5269" s="2">
        <v>907262.36</v>
      </c>
    </row>
    <row r="5270" spans="1:6" x14ac:dyDescent="0.25">
      <c r="A5270" s="1">
        <v>45078</v>
      </c>
      <c r="B5270" t="s">
        <v>143</v>
      </c>
      <c r="C5270" t="s">
        <v>144</v>
      </c>
      <c r="D5270" s="2">
        <v>2106000</v>
      </c>
      <c r="E5270" s="2">
        <v>2106000</v>
      </c>
      <c r="F5270" s="2">
        <v>2106000</v>
      </c>
    </row>
    <row r="5271" spans="1:6" x14ac:dyDescent="0.25">
      <c r="A5271" s="1">
        <v>45078</v>
      </c>
      <c r="B5271" t="s">
        <v>187</v>
      </c>
      <c r="C5271" t="s">
        <v>830</v>
      </c>
      <c r="D5271" s="2">
        <v>-957372.3</v>
      </c>
      <c r="E5271" s="2">
        <v>1692769.49</v>
      </c>
      <c r="F5271" s="2">
        <v>762951.28</v>
      </c>
    </row>
    <row r="5272" spans="1:6" x14ac:dyDescent="0.25">
      <c r="A5272" s="1">
        <v>45078</v>
      </c>
      <c r="B5272" t="s">
        <v>44</v>
      </c>
      <c r="C5272" t="s">
        <v>386</v>
      </c>
      <c r="D5272">
        <v>0</v>
      </c>
      <c r="E5272" s="2">
        <v>21797.09</v>
      </c>
      <c r="F5272" s="2">
        <v>23811.91</v>
      </c>
    </row>
    <row r="5273" spans="1:6" x14ac:dyDescent="0.25">
      <c r="A5273" s="1">
        <v>45078</v>
      </c>
      <c r="B5273" t="s">
        <v>21</v>
      </c>
      <c r="C5273" t="s">
        <v>301</v>
      </c>
      <c r="D5273">
        <v>0</v>
      </c>
      <c r="E5273" s="2">
        <v>33831.57</v>
      </c>
      <c r="F5273" s="2">
        <v>33831.57</v>
      </c>
    </row>
    <row r="5274" spans="1:6" x14ac:dyDescent="0.25">
      <c r="A5274" s="1">
        <v>45078</v>
      </c>
      <c r="B5274" t="s">
        <v>13</v>
      </c>
      <c r="C5274" t="s">
        <v>266</v>
      </c>
      <c r="D5274" s="2">
        <v>-11370949.859999999</v>
      </c>
      <c r="E5274" s="2">
        <v>3275598.86</v>
      </c>
      <c r="F5274" s="2">
        <v>4001977.03</v>
      </c>
    </row>
    <row r="5275" spans="1:6" x14ac:dyDescent="0.25">
      <c r="A5275" s="1">
        <v>45078</v>
      </c>
      <c r="B5275" t="s">
        <v>23</v>
      </c>
      <c r="C5275" t="s">
        <v>1004</v>
      </c>
      <c r="D5275" s="2">
        <v>4578868.01</v>
      </c>
      <c r="E5275" s="2">
        <v>4628503.32</v>
      </c>
      <c r="F5275" s="2">
        <v>1316992.1299999999</v>
      </c>
    </row>
    <row r="5276" spans="1:6" x14ac:dyDescent="0.25">
      <c r="A5276" s="1">
        <v>45078</v>
      </c>
      <c r="B5276" t="s">
        <v>1117</v>
      </c>
      <c r="C5276" t="s">
        <v>95</v>
      </c>
      <c r="D5276">
        <v>0</v>
      </c>
      <c r="E5276">
        <v>0</v>
      </c>
      <c r="F5276">
        <v>0</v>
      </c>
    </row>
    <row r="5277" spans="1:6" x14ac:dyDescent="0.25">
      <c r="A5277" s="1">
        <v>45078</v>
      </c>
      <c r="B5277" t="s">
        <v>70</v>
      </c>
      <c r="C5277" t="s">
        <v>141</v>
      </c>
      <c r="D5277" s="2">
        <v>-427410.16</v>
      </c>
      <c r="E5277" s="2">
        <v>2025198.53</v>
      </c>
      <c r="F5277" s="2">
        <v>1427872.4</v>
      </c>
    </row>
    <row r="5278" spans="1:6" x14ac:dyDescent="0.25">
      <c r="A5278" s="1">
        <v>45078</v>
      </c>
      <c r="B5278" t="s">
        <v>29</v>
      </c>
      <c r="C5278" t="s">
        <v>653</v>
      </c>
      <c r="D5278" s="2">
        <v>96000</v>
      </c>
      <c r="E5278" s="2">
        <v>1334235.6499999999</v>
      </c>
      <c r="F5278" s="2">
        <v>1334235.6499999999</v>
      </c>
    </row>
    <row r="5279" spans="1:6" x14ac:dyDescent="0.25">
      <c r="A5279" s="1">
        <v>45078</v>
      </c>
      <c r="B5279" t="s">
        <v>31</v>
      </c>
      <c r="C5279" t="s">
        <v>223</v>
      </c>
      <c r="D5279" s="2">
        <v>9302089.9399999995</v>
      </c>
      <c r="E5279" s="2">
        <v>3927554.34</v>
      </c>
      <c r="F5279" s="2">
        <v>3927554.34</v>
      </c>
    </row>
    <row r="5280" spans="1:6" x14ac:dyDescent="0.25">
      <c r="A5280" s="1">
        <v>45078</v>
      </c>
      <c r="B5280" t="s">
        <v>234</v>
      </c>
      <c r="C5280" t="s">
        <v>299</v>
      </c>
      <c r="D5280" s="2">
        <v>3637936725.6599998</v>
      </c>
      <c r="E5280" s="2">
        <v>3637936725.6599998</v>
      </c>
      <c r="F5280" s="2">
        <v>3637936725.6599998</v>
      </c>
    </row>
    <row r="5281" spans="1:6" x14ac:dyDescent="0.25">
      <c r="A5281" s="1">
        <v>45078</v>
      </c>
      <c r="B5281" t="s">
        <v>107</v>
      </c>
      <c r="C5281" t="s">
        <v>348</v>
      </c>
      <c r="D5281">
        <v>0</v>
      </c>
      <c r="E5281" s="2">
        <v>84934.55</v>
      </c>
      <c r="F5281" s="2">
        <v>84934.55</v>
      </c>
    </row>
    <row r="5282" spans="1:6" x14ac:dyDescent="0.25">
      <c r="A5282" s="1">
        <v>45078</v>
      </c>
      <c r="B5282" t="s">
        <v>132</v>
      </c>
      <c r="C5282" t="s">
        <v>1195</v>
      </c>
      <c r="D5282" s="2">
        <v>915269375</v>
      </c>
      <c r="E5282" s="2">
        <v>1798796634</v>
      </c>
      <c r="F5282" s="2">
        <v>1798796634</v>
      </c>
    </row>
    <row r="5283" spans="1:6" x14ac:dyDescent="0.25">
      <c r="A5283" s="1">
        <v>45078</v>
      </c>
      <c r="B5283" t="s">
        <v>37</v>
      </c>
      <c r="C5283" t="s">
        <v>420</v>
      </c>
      <c r="D5283">
        <v>0</v>
      </c>
      <c r="E5283" s="2">
        <v>354051498.17000002</v>
      </c>
      <c r="F5283" s="2">
        <v>354051498.17000002</v>
      </c>
    </row>
    <row r="5284" spans="1:6" x14ac:dyDescent="0.25">
      <c r="A5284" s="1">
        <v>45078</v>
      </c>
      <c r="B5284" t="s">
        <v>21</v>
      </c>
      <c r="C5284" t="s">
        <v>1026</v>
      </c>
      <c r="D5284">
        <v>0</v>
      </c>
      <c r="E5284">
        <v>0</v>
      </c>
      <c r="F5284">
        <v>0</v>
      </c>
    </row>
    <row r="5285" spans="1:6" x14ac:dyDescent="0.25">
      <c r="A5285" s="1">
        <v>45078</v>
      </c>
      <c r="B5285" t="s">
        <v>9</v>
      </c>
      <c r="C5285" t="s">
        <v>1129</v>
      </c>
      <c r="D5285" s="2">
        <v>150000000</v>
      </c>
      <c r="E5285" s="2">
        <v>150000000</v>
      </c>
      <c r="F5285">
        <v>0</v>
      </c>
    </row>
    <row r="5286" spans="1:6" x14ac:dyDescent="0.25">
      <c r="A5286" s="1">
        <v>45078</v>
      </c>
      <c r="B5286" t="s">
        <v>11</v>
      </c>
      <c r="C5286" t="s">
        <v>471</v>
      </c>
      <c r="D5286" s="2">
        <v>18680495.670000002</v>
      </c>
      <c r="E5286" s="2">
        <v>50043187.350000001</v>
      </c>
      <c r="F5286" s="2">
        <v>56415534.460000001</v>
      </c>
    </row>
    <row r="5287" spans="1:6" x14ac:dyDescent="0.25">
      <c r="A5287" s="1">
        <v>45078</v>
      </c>
      <c r="B5287" t="s">
        <v>37</v>
      </c>
      <c r="C5287" t="s">
        <v>570</v>
      </c>
      <c r="D5287" s="2">
        <v>38152.019999999997</v>
      </c>
      <c r="E5287" s="2">
        <v>10647.15</v>
      </c>
      <c r="F5287" s="2">
        <v>6788.29</v>
      </c>
    </row>
    <row r="5288" spans="1:6" x14ac:dyDescent="0.25">
      <c r="A5288" s="1">
        <v>45078</v>
      </c>
      <c r="B5288" t="s">
        <v>13</v>
      </c>
      <c r="C5288" t="s">
        <v>711</v>
      </c>
      <c r="D5288" s="2">
        <v>668488.46</v>
      </c>
      <c r="E5288" s="2">
        <v>-2017947.59</v>
      </c>
      <c r="F5288" s="2">
        <v>-1956156.49</v>
      </c>
    </row>
    <row r="5289" spans="1:6" x14ac:dyDescent="0.25">
      <c r="A5289" s="1">
        <v>45078</v>
      </c>
      <c r="B5289" t="s">
        <v>23</v>
      </c>
      <c r="C5289" t="s">
        <v>74</v>
      </c>
      <c r="D5289">
        <v>0</v>
      </c>
      <c r="E5289">
        <v>0</v>
      </c>
      <c r="F5289">
        <v>0</v>
      </c>
    </row>
    <row r="5290" spans="1:6" x14ac:dyDescent="0.25">
      <c r="A5290" s="1">
        <v>45078</v>
      </c>
      <c r="B5290" t="s">
        <v>933</v>
      </c>
      <c r="C5290" t="s">
        <v>1203</v>
      </c>
      <c r="D5290">
        <v>0</v>
      </c>
      <c r="E5290" s="2">
        <v>16125.82</v>
      </c>
      <c r="F5290" s="2">
        <v>16125.82</v>
      </c>
    </row>
    <row r="5291" spans="1:6" x14ac:dyDescent="0.25">
      <c r="A5291" s="1">
        <v>45078</v>
      </c>
      <c r="B5291" t="s">
        <v>23</v>
      </c>
      <c r="C5291" t="s">
        <v>854</v>
      </c>
      <c r="D5291" s="2">
        <v>67665371.790000007</v>
      </c>
      <c r="E5291" s="2">
        <v>36386871.600000001</v>
      </c>
      <c r="F5291" s="2">
        <v>7880601.5499999998</v>
      </c>
    </row>
    <row r="5292" spans="1:6" x14ac:dyDescent="0.25">
      <c r="A5292" s="1">
        <v>45078</v>
      </c>
      <c r="B5292" t="s">
        <v>118</v>
      </c>
      <c r="C5292" t="s">
        <v>277</v>
      </c>
      <c r="D5292" s="2">
        <v>5771014.5199999996</v>
      </c>
      <c r="E5292" s="2">
        <v>23869.439999999999</v>
      </c>
      <c r="F5292" s="2">
        <v>33077.440000000002</v>
      </c>
    </row>
    <row r="5293" spans="1:6" x14ac:dyDescent="0.25">
      <c r="A5293" s="1">
        <v>45078</v>
      </c>
      <c r="B5293" t="s">
        <v>70</v>
      </c>
      <c r="C5293" t="s">
        <v>71</v>
      </c>
      <c r="D5293" s="2">
        <v>7151714.5300000003</v>
      </c>
      <c r="E5293" s="2">
        <v>5780522.6600000001</v>
      </c>
      <c r="F5293" s="2">
        <v>6665236.2300000004</v>
      </c>
    </row>
    <row r="5294" spans="1:6" x14ac:dyDescent="0.25">
      <c r="A5294" s="1">
        <v>45078</v>
      </c>
      <c r="B5294" t="s">
        <v>132</v>
      </c>
      <c r="C5294" t="s">
        <v>429</v>
      </c>
      <c r="D5294" s="2">
        <v>49746316.380000003</v>
      </c>
      <c r="E5294" s="2">
        <v>14535923.42</v>
      </c>
      <c r="F5294" s="2">
        <v>20200376.75</v>
      </c>
    </row>
    <row r="5295" spans="1:6" x14ac:dyDescent="0.25">
      <c r="A5295" s="1">
        <v>45078</v>
      </c>
      <c r="B5295" t="s">
        <v>40</v>
      </c>
      <c r="C5295" t="s">
        <v>706</v>
      </c>
      <c r="D5295" s="2">
        <v>573891.98</v>
      </c>
      <c r="E5295" s="2">
        <v>556436.78</v>
      </c>
      <c r="F5295" s="2">
        <v>545187.39</v>
      </c>
    </row>
    <row r="5296" spans="1:6" x14ac:dyDescent="0.25">
      <c r="A5296" s="1">
        <v>45078</v>
      </c>
      <c r="B5296" t="s">
        <v>196</v>
      </c>
      <c r="C5296" t="s">
        <v>506</v>
      </c>
      <c r="D5296">
        <v>0</v>
      </c>
      <c r="E5296">
        <v>0</v>
      </c>
      <c r="F5296">
        <v>0</v>
      </c>
    </row>
    <row r="5297" spans="1:6" x14ac:dyDescent="0.25">
      <c r="A5297" s="1">
        <v>45078</v>
      </c>
      <c r="B5297" t="s">
        <v>107</v>
      </c>
      <c r="C5297" t="s">
        <v>506</v>
      </c>
      <c r="D5297" s="2">
        <v>292129</v>
      </c>
      <c r="E5297">
        <v>0</v>
      </c>
      <c r="F5297">
        <v>0</v>
      </c>
    </row>
    <row r="5298" spans="1:6" x14ac:dyDescent="0.25">
      <c r="A5298" s="1">
        <v>45078</v>
      </c>
      <c r="B5298" t="s">
        <v>40</v>
      </c>
      <c r="C5298" t="s">
        <v>599</v>
      </c>
      <c r="D5298" s="2">
        <v>75681724.890000001</v>
      </c>
      <c r="E5298" s="2">
        <v>107436477.15000001</v>
      </c>
      <c r="F5298" s="2">
        <v>110478885.92</v>
      </c>
    </row>
    <row r="5299" spans="1:6" x14ac:dyDescent="0.25">
      <c r="A5299" s="1">
        <v>45078</v>
      </c>
      <c r="B5299" t="s">
        <v>40</v>
      </c>
      <c r="C5299" t="s">
        <v>931</v>
      </c>
      <c r="D5299">
        <v>0</v>
      </c>
      <c r="E5299" s="2">
        <v>125185.09</v>
      </c>
      <c r="F5299" s="2">
        <v>125061.56</v>
      </c>
    </row>
    <row r="5300" spans="1:6" x14ac:dyDescent="0.25">
      <c r="A5300" s="1">
        <v>45078</v>
      </c>
      <c r="B5300" t="s">
        <v>21</v>
      </c>
      <c r="C5300" t="s">
        <v>1285</v>
      </c>
      <c r="D5300">
        <v>0</v>
      </c>
      <c r="E5300">
        <v>0</v>
      </c>
      <c r="F5300">
        <v>0</v>
      </c>
    </row>
    <row r="5301" spans="1:6" x14ac:dyDescent="0.25">
      <c r="A5301" s="1">
        <v>45078</v>
      </c>
      <c r="B5301" t="s">
        <v>63</v>
      </c>
      <c r="C5301" t="s">
        <v>64</v>
      </c>
      <c r="D5301" s="2">
        <v>635706.44999999995</v>
      </c>
      <c r="E5301" s="2">
        <v>211500.75</v>
      </c>
      <c r="F5301">
        <v>0</v>
      </c>
    </row>
    <row r="5302" spans="1:6" x14ac:dyDescent="0.25">
      <c r="A5302" s="1">
        <v>45078</v>
      </c>
      <c r="B5302" t="s">
        <v>726</v>
      </c>
      <c r="C5302" t="s">
        <v>837</v>
      </c>
      <c r="D5302" s="2">
        <v>1482959.81</v>
      </c>
      <c r="E5302" s="2">
        <v>1103180.0900000001</v>
      </c>
      <c r="F5302" s="2">
        <v>1055983.6000000001</v>
      </c>
    </row>
    <row r="5303" spans="1:6" x14ac:dyDescent="0.25">
      <c r="A5303" s="1">
        <v>45078</v>
      </c>
      <c r="B5303" t="s">
        <v>23</v>
      </c>
      <c r="C5303" t="s">
        <v>24</v>
      </c>
      <c r="D5303">
        <v>0</v>
      </c>
      <c r="E5303">
        <v>0</v>
      </c>
      <c r="F5303">
        <v>0</v>
      </c>
    </row>
    <row r="5304" spans="1:6" x14ac:dyDescent="0.25">
      <c r="A5304" s="1">
        <v>45078</v>
      </c>
      <c r="B5304" t="s">
        <v>648</v>
      </c>
      <c r="C5304" t="s">
        <v>844</v>
      </c>
      <c r="D5304" s="2">
        <v>416545.71</v>
      </c>
      <c r="E5304" s="2">
        <v>242951.9</v>
      </c>
      <c r="F5304" s="2">
        <v>274807.90999999997</v>
      </c>
    </row>
    <row r="5305" spans="1:6" x14ac:dyDescent="0.25">
      <c r="A5305" s="1">
        <v>45078</v>
      </c>
      <c r="B5305" t="s">
        <v>35</v>
      </c>
      <c r="C5305" t="s">
        <v>560</v>
      </c>
      <c r="D5305" s="2">
        <v>18071.54</v>
      </c>
      <c r="E5305" s="2">
        <v>1312660.81</v>
      </c>
      <c r="F5305" s="2">
        <v>1270367.4099999999</v>
      </c>
    </row>
    <row r="5306" spans="1:6" x14ac:dyDescent="0.25">
      <c r="A5306" s="1">
        <v>45078</v>
      </c>
      <c r="B5306" t="s">
        <v>27</v>
      </c>
      <c r="C5306" t="s">
        <v>835</v>
      </c>
      <c r="D5306">
        <v>0</v>
      </c>
      <c r="E5306" s="2">
        <v>387261.64</v>
      </c>
      <c r="F5306" s="2">
        <v>387261.64</v>
      </c>
    </row>
    <row r="5307" spans="1:6" x14ac:dyDescent="0.25">
      <c r="A5307" s="1">
        <v>45078</v>
      </c>
      <c r="B5307" t="s">
        <v>13</v>
      </c>
      <c r="C5307" t="s">
        <v>635</v>
      </c>
      <c r="D5307" s="2">
        <v>9490</v>
      </c>
      <c r="E5307" s="2">
        <v>23543.56</v>
      </c>
      <c r="F5307" s="2">
        <v>15660.92</v>
      </c>
    </row>
    <row r="5308" spans="1:6" x14ac:dyDescent="0.25">
      <c r="A5308" s="1">
        <v>45078</v>
      </c>
      <c r="B5308" t="s">
        <v>53</v>
      </c>
      <c r="C5308" t="s">
        <v>84</v>
      </c>
      <c r="D5308" s="2">
        <v>1978390895.26</v>
      </c>
      <c r="E5308" s="2">
        <v>1978390895.26</v>
      </c>
      <c r="F5308" s="2">
        <v>1978390895.26</v>
      </c>
    </row>
    <row r="5309" spans="1:6" x14ac:dyDescent="0.25">
      <c r="A5309" s="1">
        <v>45078</v>
      </c>
      <c r="B5309" t="s">
        <v>98</v>
      </c>
      <c r="C5309" t="s">
        <v>1166</v>
      </c>
      <c r="D5309">
        <v>0</v>
      </c>
      <c r="E5309">
        <v>0</v>
      </c>
      <c r="F5309">
        <v>0</v>
      </c>
    </row>
    <row r="5310" spans="1:6" x14ac:dyDescent="0.25">
      <c r="A5310" s="1">
        <v>45078</v>
      </c>
      <c r="B5310" t="s">
        <v>234</v>
      </c>
      <c r="C5310" t="s">
        <v>454</v>
      </c>
      <c r="D5310" s="2">
        <v>3737088</v>
      </c>
      <c r="E5310" s="2">
        <v>12953958.16</v>
      </c>
      <c r="F5310" s="2">
        <v>24685310.649999999</v>
      </c>
    </row>
    <row r="5311" spans="1:6" x14ac:dyDescent="0.25">
      <c r="A5311" s="1">
        <v>45078</v>
      </c>
      <c r="B5311" t="s">
        <v>831</v>
      </c>
      <c r="C5311" t="s">
        <v>95</v>
      </c>
      <c r="D5311">
        <v>0</v>
      </c>
      <c r="E5311">
        <v>0</v>
      </c>
      <c r="F5311">
        <v>0</v>
      </c>
    </row>
    <row r="5312" spans="1:6" x14ac:dyDescent="0.25">
      <c r="A5312" s="1">
        <v>45078</v>
      </c>
      <c r="B5312" t="s">
        <v>46</v>
      </c>
      <c r="C5312" t="s">
        <v>584</v>
      </c>
      <c r="D5312" s="2">
        <v>2565857.04</v>
      </c>
      <c r="E5312" s="2">
        <v>2330841.0699999998</v>
      </c>
      <c r="F5312" s="2">
        <v>1520729.49</v>
      </c>
    </row>
    <row r="5313" spans="1:6" x14ac:dyDescent="0.25">
      <c r="A5313" s="1">
        <v>45078</v>
      </c>
      <c r="B5313" t="s">
        <v>23</v>
      </c>
      <c r="C5313" t="s">
        <v>1015</v>
      </c>
      <c r="D5313" s="2">
        <v>2279449.17</v>
      </c>
      <c r="E5313">
        <v>0</v>
      </c>
      <c r="F5313">
        <v>0</v>
      </c>
    </row>
    <row r="5314" spans="1:6" x14ac:dyDescent="0.25">
      <c r="A5314" s="1">
        <v>45078</v>
      </c>
      <c r="B5314" t="s">
        <v>181</v>
      </c>
      <c r="C5314" t="s">
        <v>363</v>
      </c>
      <c r="D5314">
        <v>0</v>
      </c>
      <c r="E5314">
        <v>0</v>
      </c>
      <c r="F5314">
        <v>0</v>
      </c>
    </row>
    <row r="5315" spans="1:6" x14ac:dyDescent="0.25">
      <c r="A5315" s="1">
        <v>45078</v>
      </c>
      <c r="B5315" t="s">
        <v>120</v>
      </c>
      <c r="C5315" t="s">
        <v>121</v>
      </c>
      <c r="D5315" s="2">
        <v>170157.12</v>
      </c>
      <c r="E5315" s="2">
        <v>9601.14</v>
      </c>
      <c r="F5315" s="2">
        <v>9601.14</v>
      </c>
    </row>
    <row r="5316" spans="1:6" x14ac:dyDescent="0.25">
      <c r="A5316" s="1">
        <v>45078</v>
      </c>
      <c r="B5316" t="s">
        <v>13</v>
      </c>
      <c r="C5316" t="s">
        <v>868</v>
      </c>
      <c r="D5316" s="2">
        <v>2960534.12</v>
      </c>
      <c r="E5316" s="2">
        <v>877846.56</v>
      </c>
      <c r="F5316" s="2">
        <v>810224.34</v>
      </c>
    </row>
    <row r="5317" spans="1:6" x14ac:dyDescent="0.25">
      <c r="A5317" s="1">
        <v>45078</v>
      </c>
      <c r="B5317" t="s">
        <v>23</v>
      </c>
      <c r="C5317" t="s">
        <v>760</v>
      </c>
      <c r="D5317" s="2">
        <v>-4907244.9400000004</v>
      </c>
      <c r="E5317" s="2">
        <v>38534853.560000002</v>
      </c>
      <c r="F5317" s="2">
        <v>38441595.659999996</v>
      </c>
    </row>
    <row r="5318" spans="1:6" x14ac:dyDescent="0.25">
      <c r="A5318" s="1">
        <v>45078</v>
      </c>
      <c r="B5318" t="s">
        <v>23</v>
      </c>
      <c r="C5318" t="s">
        <v>603</v>
      </c>
      <c r="D5318" s="2">
        <v>3437426.76</v>
      </c>
      <c r="E5318" s="2">
        <v>919378.36</v>
      </c>
      <c r="F5318" s="2">
        <v>676687.17</v>
      </c>
    </row>
    <row r="5319" spans="1:6" x14ac:dyDescent="0.25">
      <c r="A5319" s="1">
        <v>45078</v>
      </c>
      <c r="B5319" t="s">
        <v>107</v>
      </c>
      <c r="C5319" t="s">
        <v>509</v>
      </c>
      <c r="D5319">
        <v>0</v>
      </c>
      <c r="E5319">
        <v>0</v>
      </c>
      <c r="F5319">
        <v>0</v>
      </c>
    </row>
    <row r="5320" spans="1:6" x14ac:dyDescent="0.25">
      <c r="A5320" s="1">
        <v>45078</v>
      </c>
      <c r="B5320" t="s">
        <v>11</v>
      </c>
      <c r="C5320" t="s">
        <v>744</v>
      </c>
      <c r="D5320" s="2">
        <v>55244058.5</v>
      </c>
      <c r="E5320" s="2">
        <v>55338661.439999998</v>
      </c>
      <c r="F5320" s="2">
        <v>56344267.140000001</v>
      </c>
    </row>
    <row r="5321" spans="1:6" x14ac:dyDescent="0.25">
      <c r="A5321" s="1">
        <v>45078</v>
      </c>
      <c r="B5321" t="s">
        <v>143</v>
      </c>
      <c r="C5321" t="s">
        <v>351</v>
      </c>
      <c r="D5321" s="2">
        <v>1506471218.9100001</v>
      </c>
      <c r="E5321" s="2">
        <v>1508080415.8399999</v>
      </c>
      <c r="F5321" s="2">
        <v>1508060940.24</v>
      </c>
    </row>
    <row r="5322" spans="1:6" x14ac:dyDescent="0.25">
      <c r="A5322" s="1">
        <v>45078</v>
      </c>
      <c r="B5322" t="s">
        <v>132</v>
      </c>
      <c r="C5322" t="s">
        <v>133</v>
      </c>
      <c r="D5322">
        <v>0</v>
      </c>
      <c r="E5322" s="2">
        <v>108269</v>
      </c>
      <c r="F5322">
        <v>0</v>
      </c>
    </row>
    <row r="5323" spans="1:6" x14ac:dyDescent="0.25">
      <c r="A5323" s="1">
        <v>45078</v>
      </c>
      <c r="B5323" t="s">
        <v>21</v>
      </c>
      <c r="C5323" t="s">
        <v>369</v>
      </c>
      <c r="D5323" s="2">
        <v>934081.12</v>
      </c>
      <c r="E5323" s="2">
        <v>87468.82</v>
      </c>
      <c r="F5323" s="2">
        <v>148876.10999999999</v>
      </c>
    </row>
    <row r="5324" spans="1:6" x14ac:dyDescent="0.25">
      <c r="A5324" s="1">
        <v>45078</v>
      </c>
      <c r="B5324" t="s">
        <v>42</v>
      </c>
      <c r="C5324" t="s">
        <v>174</v>
      </c>
      <c r="D5324" s="2">
        <v>12076819.49</v>
      </c>
      <c r="E5324" s="2">
        <v>12076819.49</v>
      </c>
      <c r="F5324" s="2">
        <v>12076819.49</v>
      </c>
    </row>
    <row r="5325" spans="1:6" x14ac:dyDescent="0.25">
      <c r="A5325" s="1">
        <v>45078</v>
      </c>
      <c r="B5325" t="s">
        <v>15</v>
      </c>
      <c r="C5325" t="s">
        <v>550</v>
      </c>
      <c r="D5325">
        <v>0</v>
      </c>
      <c r="E5325">
        <v>0</v>
      </c>
      <c r="F5325">
        <v>0</v>
      </c>
    </row>
    <row r="5326" spans="1:6" x14ac:dyDescent="0.25">
      <c r="A5326" s="1">
        <v>45078</v>
      </c>
      <c r="B5326" t="s">
        <v>107</v>
      </c>
      <c r="C5326" t="s">
        <v>1286</v>
      </c>
      <c r="D5326" s="2">
        <v>6766941</v>
      </c>
      <c r="E5326">
        <v>0</v>
      </c>
      <c r="F5326">
        <v>0</v>
      </c>
    </row>
    <row r="5327" spans="1:6" x14ac:dyDescent="0.25">
      <c r="A5327" s="1">
        <v>45078</v>
      </c>
      <c r="B5327" t="s">
        <v>105</v>
      </c>
      <c r="C5327" t="s">
        <v>1109</v>
      </c>
      <c r="D5327" s="2">
        <v>299358.09999999998</v>
      </c>
      <c r="E5327">
        <v>0</v>
      </c>
      <c r="F5327">
        <v>0</v>
      </c>
    </row>
    <row r="5328" spans="1:6" x14ac:dyDescent="0.25">
      <c r="A5328" s="1">
        <v>45078</v>
      </c>
      <c r="B5328" t="s">
        <v>159</v>
      </c>
      <c r="C5328" t="s">
        <v>525</v>
      </c>
      <c r="D5328" s="2">
        <v>1199300</v>
      </c>
      <c r="E5328" s="2">
        <v>224507.61</v>
      </c>
      <c r="F5328" s="2">
        <v>226479.45</v>
      </c>
    </row>
    <row r="5329" spans="1:6" x14ac:dyDescent="0.25">
      <c r="A5329" s="1">
        <v>45078</v>
      </c>
      <c r="B5329" t="s">
        <v>48</v>
      </c>
      <c r="C5329" t="s">
        <v>1074</v>
      </c>
      <c r="D5329">
        <v>0</v>
      </c>
      <c r="E5329" s="2">
        <v>4052056.25</v>
      </c>
      <c r="F5329" s="2">
        <v>4052056.25</v>
      </c>
    </row>
    <row r="5330" spans="1:6" x14ac:dyDescent="0.25">
      <c r="A5330" s="1">
        <v>45078</v>
      </c>
      <c r="B5330" t="s">
        <v>21</v>
      </c>
      <c r="C5330" t="s">
        <v>559</v>
      </c>
      <c r="D5330">
        <v>0</v>
      </c>
      <c r="E5330" s="2">
        <v>20870491.16</v>
      </c>
      <c r="F5330" s="2">
        <v>20870491.16</v>
      </c>
    </row>
    <row r="5331" spans="1:6" x14ac:dyDescent="0.25">
      <c r="A5331" s="1">
        <v>45078</v>
      </c>
      <c r="B5331" t="s">
        <v>9</v>
      </c>
      <c r="C5331" t="s">
        <v>363</v>
      </c>
      <c r="D5331" s="2">
        <v>450416.67</v>
      </c>
      <c r="E5331" s="2">
        <v>76228.12</v>
      </c>
      <c r="F5331" s="2">
        <v>72041.009999999995</v>
      </c>
    </row>
    <row r="5332" spans="1:6" x14ac:dyDescent="0.25">
      <c r="A5332" s="1">
        <v>45078</v>
      </c>
      <c r="B5332" t="s">
        <v>21</v>
      </c>
      <c r="C5332" t="s">
        <v>462</v>
      </c>
      <c r="D5332" s="2">
        <v>52309539.170000002</v>
      </c>
      <c r="E5332" s="2">
        <v>257348.18</v>
      </c>
      <c r="F5332" s="2">
        <v>255604.86</v>
      </c>
    </row>
    <row r="5333" spans="1:6" x14ac:dyDescent="0.25">
      <c r="A5333" s="1">
        <v>45078</v>
      </c>
      <c r="B5333" t="s">
        <v>13</v>
      </c>
      <c r="C5333" t="s">
        <v>659</v>
      </c>
      <c r="D5333">
        <v>0</v>
      </c>
      <c r="E5333">
        <v>0</v>
      </c>
      <c r="F5333">
        <v>0</v>
      </c>
    </row>
    <row r="5334" spans="1:6" x14ac:dyDescent="0.25">
      <c r="A5334" s="1">
        <v>45078</v>
      </c>
      <c r="B5334" t="s">
        <v>44</v>
      </c>
      <c r="C5334" t="s">
        <v>846</v>
      </c>
      <c r="D5334" s="2">
        <v>77657.91</v>
      </c>
      <c r="E5334" s="2">
        <v>65306.45</v>
      </c>
      <c r="F5334" s="2">
        <v>72656.17</v>
      </c>
    </row>
    <row r="5335" spans="1:6" x14ac:dyDescent="0.25">
      <c r="A5335" s="1">
        <v>45078</v>
      </c>
      <c r="B5335" t="s">
        <v>159</v>
      </c>
      <c r="C5335" t="s">
        <v>360</v>
      </c>
      <c r="D5335" s="2">
        <v>34213.4</v>
      </c>
      <c r="E5335" s="2">
        <v>83821.929999999993</v>
      </c>
      <c r="F5335" s="2">
        <v>83821.929999999993</v>
      </c>
    </row>
    <row r="5336" spans="1:6" x14ac:dyDescent="0.25">
      <c r="A5336" s="1">
        <v>45078</v>
      </c>
      <c r="B5336" t="s">
        <v>405</v>
      </c>
      <c r="C5336" t="s">
        <v>953</v>
      </c>
      <c r="D5336" s="2">
        <v>6000000000</v>
      </c>
      <c r="E5336">
        <v>0</v>
      </c>
      <c r="F5336">
        <v>0</v>
      </c>
    </row>
    <row r="5337" spans="1:6" x14ac:dyDescent="0.25">
      <c r="A5337" s="1">
        <v>45078</v>
      </c>
      <c r="B5337" t="s">
        <v>23</v>
      </c>
      <c r="C5337" t="s">
        <v>347</v>
      </c>
      <c r="D5337" s="2">
        <v>-1360850.31</v>
      </c>
      <c r="E5337" s="2">
        <v>36429129.280000001</v>
      </c>
      <c r="F5337" s="2">
        <v>36429129.280000001</v>
      </c>
    </row>
    <row r="5338" spans="1:6" x14ac:dyDescent="0.25">
      <c r="A5338" s="1">
        <v>45078</v>
      </c>
      <c r="B5338" t="s">
        <v>23</v>
      </c>
      <c r="C5338" t="s">
        <v>370</v>
      </c>
      <c r="D5338" s="2">
        <v>428658.06</v>
      </c>
      <c r="E5338" s="2">
        <v>218533.34</v>
      </c>
      <c r="F5338" s="2">
        <v>206015.24</v>
      </c>
    </row>
    <row r="5339" spans="1:6" x14ac:dyDescent="0.25">
      <c r="A5339" s="1">
        <v>45078</v>
      </c>
      <c r="B5339" t="s">
        <v>21</v>
      </c>
      <c r="C5339" t="s">
        <v>970</v>
      </c>
      <c r="D5339" s="2">
        <v>25865856.350000001</v>
      </c>
      <c r="E5339" s="2">
        <v>14826309.109999999</v>
      </c>
      <c r="F5339" s="2">
        <v>14826309.109999999</v>
      </c>
    </row>
    <row r="5340" spans="1:6" x14ac:dyDescent="0.25">
      <c r="A5340" s="1">
        <v>45078</v>
      </c>
      <c r="B5340" t="s">
        <v>23</v>
      </c>
      <c r="C5340" t="s">
        <v>281</v>
      </c>
      <c r="D5340" s="2">
        <v>3491400</v>
      </c>
      <c r="E5340">
        <v>0</v>
      </c>
      <c r="F5340">
        <v>0</v>
      </c>
    </row>
    <row r="5341" spans="1:6" x14ac:dyDescent="0.25">
      <c r="A5341" s="1">
        <v>45078</v>
      </c>
      <c r="B5341" t="s">
        <v>383</v>
      </c>
      <c r="C5341" t="s">
        <v>754</v>
      </c>
      <c r="D5341">
        <v>0</v>
      </c>
      <c r="E5341">
        <v>0</v>
      </c>
      <c r="F5341">
        <v>0</v>
      </c>
    </row>
    <row r="5342" spans="1:6" x14ac:dyDescent="0.25">
      <c r="A5342" s="1">
        <v>45078</v>
      </c>
      <c r="B5342" t="s">
        <v>1058</v>
      </c>
      <c r="C5342" t="s">
        <v>1122</v>
      </c>
      <c r="D5342" s="2">
        <v>2396439.34</v>
      </c>
      <c r="E5342" s="2">
        <v>2396439.34</v>
      </c>
      <c r="F5342" s="2">
        <v>2396439.34</v>
      </c>
    </row>
    <row r="5343" spans="1:6" x14ac:dyDescent="0.25">
      <c r="A5343" s="1">
        <v>45078</v>
      </c>
      <c r="B5343" t="s">
        <v>98</v>
      </c>
      <c r="C5343" t="s">
        <v>627</v>
      </c>
      <c r="D5343">
        <v>0</v>
      </c>
      <c r="E5343">
        <v>0</v>
      </c>
      <c r="F5343">
        <v>0</v>
      </c>
    </row>
    <row r="5344" spans="1:6" x14ac:dyDescent="0.25">
      <c r="A5344" s="1">
        <v>45078</v>
      </c>
      <c r="B5344" t="s">
        <v>90</v>
      </c>
      <c r="C5344" t="s">
        <v>1021</v>
      </c>
      <c r="D5344">
        <v>0</v>
      </c>
      <c r="E5344" s="2">
        <v>43367.65</v>
      </c>
      <c r="F5344" s="2">
        <v>24580.86</v>
      </c>
    </row>
    <row r="5345" spans="1:6" x14ac:dyDescent="0.25">
      <c r="A5345" s="1">
        <v>45078</v>
      </c>
      <c r="B5345" t="s">
        <v>278</v>
      </c>
      <c r="C5345" t="s">
        <v>626</v>
      </c>
      <c r="D5345" s="2">
        <v>1500132</v>
      </c>
      <c r="E5345" s="2">
        <v>4128081383.9200001</v>
      </c>
      <c r="F5345" s="2">
        <v>4049133138.79</v>
      </c>
    </row>
    <row r="5346" spans="1:6" x14ac:dyDescent="0.25">
      <c r="A5346" s="1">
        <v>45078</v>
      </c>
      <c r="B5346" t="s">
        <v>11</v>
      </c>
      <c r="C5346" t="s">
        <v>204</v>
      </c>
      <c r="D5346">
        <v>0</v>
      </c>
      <c r="E5346" s="2">
        <v>129242673.27</v>
      </c>
      <c r="F5346" s="2">
        <v>129242673.27</v>
      </c>
    </row>
    <row r="5347" spans="1:6" x14ac:dyDescent="0.25">
      <c r="A5347" s="1">
        <v>45078</v>
      </c>
      <c r="B5347" t="s">
        <v>42</v>
      </c>
      <c r="C5347" t="s">
        <v>110</v>
      </c>
      <c r="D5347" s="2">
        <v>349333802.97000003</v>
      </c>
      <c r="E5347" s="2">
        <v>349745570.98000002</v>
      </c>
      <c r="F5347" s="2">
        <v>349745570.98000002</v>
      </c>
    </row>
    <row r="5348" spans="1:6" x14ac:dyDescent="0.25">
      <c r="A5348" s="1">
        <v>45078</v>
      </c>
      <c r="B5348" t="s">
        <v>50</v>
      </c>
      <c r="C5348" t="s">
        <v>51</v>
      </c>
      <c r="D5348">
        <v>0</v>
      </c>
      <c r="E5348">
        <v>0</v>
      </c>
      <c r="F5348">
        <v>0</v>
      </c>
    </row>
    <row r="5349" spans="1:6" x14ac:dyDescent="0.25">
      <c r="A5349" s="1">
        <v>45078</v>
      </c>
      <c r="B5349" t="s">
        <v>50</v>
      </c>
      <c r="C5349" t="s">
        <v>274</v>
      </c>
      <c r="D5349" s="2">
        <v>20000</v>
      </c>
      <c r="E5349">
        <v>0</v>
      </c>
      <c r="F5349" s="2">
        <v>15133.58</v>
      </c>
    </row>
    <row r="5350" spans="1:6" x14ac:dyDescent="0.25">
      <c r="A5350" s="1">
        <v>45078</v>
      </c>
      <c r="B5350" t="s">
        <v>40</v>
      </c>
      <c r="C5350" t="s">
        <v>459</v>
      </c>
      <c r="D5350" s="2">
        <v>901236728.54999995</v>
      </c>
      <c r="E5350" s="2">
        <v>3536870039.8699999</v>
      </c>
      <c r="F5350" s="2">
        <v>2441023512.6900001</v>
      </c>
    </row>
    <row r="5351" spans="1:6" x14ac:dyDescent="0.25">
      <c r="A5351" s="1">
        <v>45078</v>
      </c>
      <c r="B5351" t="s">
        <v>422</v>
      </c>
      <c r="C5351" t="s">
        <v>473</v>
      </c>
      <c r="D5351" s="2">
        <v>1632164.26</v>
      </c>
      <c r="E5351" s="2">
        <v>1641346.18</v>
      </c>
      <c r="F5351" s="2">
        <v>141346.18</v>
      </c>
    </row>
    <row r="5352" spans="1:6" x14ac:dyDescent="0.25">
      <c r="A5352" s="1">
        <v>45078</v>
      </c>
      <c r="B5352" t="s">
        <v>21</v>
      </c>
      <c r="C5352" t="s">
        <v>451</v>
      </c>
      <c r="D5352" s="2">
        <v>22802804.390000001</v>
      </c>
      <c r="E5352">
        <v>0</v>
      </c>
      <c r="F5352">
        <v>0</v>
      </c>
    </row>
    <row r="5353" spans="1:6" x14ac:dyDescent="0.25">
      <c r="A5353" s="1">
        <v>45078</v>
      </c>
      <c r="B5353" t="s">
        <v>15</v>
      </c>
      <c r="C5353" t="s">
        <v>964</v>
      </c>
      <c r="D5353">
        <v>0</v>
      </c>
      <c r="E5353">
        <v>0</v>
      </c>
      <c r="F5353">
        <v>0</v>
      </c>
    </row>
    <row r="5354" spans="1:6" x14ac:dyDescent="0.25">
      <c r="A5354" s="1">
        <v>45078</v>
      </c>
      <c r="B5354" t="s">
        <v>21</v>
      </c>
      <c r="C5354" t="s">
        <v>994</v>
      </c>
      <c r="D5354" s="2">
        <v>14249889.52</v>
      </c>
      <c r="E5354" s="2">
        <v>240939.4</v>
      </c>
      <c r="F5354" s="2">
        <v>240939.4</v>
      </c>
    </row>
    <row r="5355" spans="1:6" x14ac:dyDescent="0.25">
      <c r="A5355" s="1">
        <v>45078</v>
      </c>
      <c r="B5355" t="s">
        <v>17</v>
      </c>
      <c r="C5355" t="s">
        <v>1034</v>
      </c>
      <c r="D5355">
        <v>0</v>
      </c>
      <c r="E5355">
        <v>0</v>
      </c>
      <c r="F5355">
        <v>0</v>
      </c>
    </row>
    <row r="5356" spans="1:6" x14ac:dyDescent="0.25">
      <c r="A5356" s="1">
        <v>45078</v>
      </c>
      <c r="B5356" t="s">
        <v>90</v>
      </c>
      <c r="C5356" t="s">
        <v>1037</v>
      </c>
      <c r="D5356" s="2">
        <v>657898.80000000005</v>
      </c>
      <c r="E5356" s="2">
        <v>219656.97</v>
      </c>
      <c r="F5356" s="2">
        <v>216519.97</v>
      </c>
    </row>
    <row r="5357" spans="1:6" x14ac:dyDescent="0.25">
      <c r="A5357" s="1">
        <v>45078</v>
      </c>
      <c r="B5357" t="s">
        <v>118</v>
      </c>
      <c r="C5357" t="s">
        <v>172</v>
      </c>
      <c r="D5357" s="2">
        <v>37495</v>
      </c>
      <c r="E5357">
        <v>0</v>
      </c>
      <c r="F5357">
        <v>0</v>
      </c>
    </row>
    <row r="5358" spans="1:6" x14ac:dyDescent="0.25">
      <c r="A5358" s="1">
        <v>45078</v>
      </c>
      <c r="B5358" t="s">
        <v>114</v>
      </c>
      <c r="C5358" t="s">
        <v>136</v>
      </c>
      <c r="D5358">
        <v>0</v>
      </c>
      <c r="E5358" s="2">
        <v>2072905.78</v>
      </c>
      <c r="F5358" s="2">
        <v>2069520.58</v>
      </c>
    </row>
    <row r="5359" spans="1:6" x14ac:dyDescent="0.25">
      <c r="A5359" s="1">
        <v>45078</v>
      </c>
      <c r="B5359" t="s">
        <v>118</v>
      </c>
      <c r="C5359" t="s">
        <v>971</v>
      </c>
      <c r="D5359" s="2">
        <v>1978109.7</v>
      </c>
      <c r="E5359">
        <v>0</v>
      </c>
      <c r="F5359">
        <v>0</v>
      </c>
    </row>
    <row r="5360" spans="1:6" x14ac:dyDescent="0.25">
      <c r="A5360" s="1">
        <v>45078</v>
      </c>
      <c r="B5360" t="s">
        <v>46</v>
      </c>
      <c r="C5360" t="s">
        <v>424</v>
      </c>
      <c r="D5360">
        <v>0</v>
      </c>
      <c r="E5360" s="2">
        <v>46005.09</v>
      </c>
      <c r="F5360" s="2">
        <v>7738.79</v>
      </c>
    </row>
    <row r="5361" spans="1:6" x14ac:dyDescent="0.25">
      <c r="A5361" s="1">
        <v>45078</v>
      </c>
      <c r="B5361" t="s">
        <v>98</v>
      </c>
      <c r="C5361" t="s">
        <v>322</v>
      </c>
      <c r="D5361">
        <v>0</v>
      </c>
      <c r="E5361">
        <v>0</v>
      </c>
      <c r="F5361">
        <v>0</v>
      </c>
    </row>
    <row r="5362" spans="1:6" x14ac:dyDescent="0.25">
      <c r="A5362" s="1">
        <v>45078</v>
      </c>
      <c r="B5362" t="s">
        <v>441</v>
      </c>
      <c r="C5362" t="s">
        <v>914</v>
      </c>
      <c r="D5362">
        <v>0</v>
      </c>
      <c r="E5362">
        <v>0</v>
      </c>
      <c r="F5362">
        <v>0</v>
      </c>
    </row>
    <row r="5363" spans="1:6" x14ac:dyDescent="0.25">
      <c r="A5363" s="1">
        <v>45078</v>
      </c>
      <c r="B5363" t="s">
        <v>13</v>
      </c>
      <c r="C5363" t="s">
        <v>475</v>
      </c>
      <c r="D5363" s="2">
        <v>399000</v>
      </c>
      <c r="E5363" s="2">
        <v>580462.64</v>
      </c>
      <c r="F5363" s="2">
        <v>563232.19999999995</v>
      </c>
    </row>
    <row r="5364" spans="1:6" x14ac:dyDescent="0.25">
      <c r="A5364" s="1">
        <v>45078</v>
      </c>
      <c r="B5364" t="s">
        <v>21</v>
      </c>
      <c r="C5364" t="s">
        <v>595</v>
      </c>
      <c r="D5364">
        <v>0</v>
      </c>
      <c r="E5364">
        <v>0</v>
      </c>
      <c r="F5364">
        <v>0</v>
      </c>
    </row>
    <row r="5365" spans="1:6" x14ac:dyDescent="0.25">
      <c r="A5365" s="1">
        <v>45078</v>
      </c>
      <c r="B5365" t="s">
        <v>337</v>
      </c>
      <c r="C5365" t="s">
        <v>338</v>
      </c>
      <c r="D5365" s="2">
        <v>2428970.13</v>
      </c>
      <c r="E5365" s="2">
        <v>2806182.54</v>
      </c>
      <c r="F5365" s="2">
        <v>3022548.66</v>
      </c>
    </row>
    <row r="5366" spans="1:6" x14ac:dyDescent="0.25">
      <c r="A5366" s="1">
        <v>45078</v>
      </c>
      <c r="B5366" t="s">
        <v>1276</v>
      </c>
      <c r="C5366" t="s">
        <v>1287</v>
      </c>
      <c r="D5366">
        <v>0</v>
      </c>
      <c r="E5366">
        <v>0</v>
      </c>
      <c r="F5366">
        <v>0</v>
      </c>
    </row>
    <row r="5367" spans="1:6" x14ac:dyDescent="0.25">
      <c r="A5367" s="1">
        <v>45078</v>
      </c>
      <c r="B5367" t="s">
        <v>15</v>
      </c>
      <c r="C5367" t="s">
        <v>111</v>
      </c>
      <c r="D5367" s="2">
        <v>383333.34</v>
      </c>
      <c r="E5367">
        <v>0</v>
      </c>
      <c r="F5367">
        <v>0</v>
      </c>
    </row>
    <row r="5368" spans="1:6" x14ac:dyDescent="0.25">
      <c r="A5368" s="1">
        <v>45078</v>
      </c>
      <c r="B5368" t="s">
        <v>398</v>
      </c>
      <c r="C5368" t="s">
        <v>498</v>
      </c>
      <c r="D5368" s="2">
        <v>428595.88</v>
      </c>
      <c r="E5368" s="2">
        <v>405999.9</v>
      </c>
      <c r="F5368" s="2">
        <v>432011</v>
      </c>
    </row>
    <row r="5369" spans="1:6" x14ac:dyDescent="0.25">
      <c r="A5369" s="1">
        <v>45078</v>
      </c>
      <c r="B5369" t="s">
        <v>1044</v>
      </c>
      <c r="C5369" t="s">
        <v>909</v>
      </c>
      <c r="D5369">
        <v>0</v>
      </c>
      <c r="E5369">
        <v>0</v>
      </c>
      <c r="F5369">
        <v>0</v>
      </c>
    </row>
    <row r="5370" spans="1:6" x14ac:dyDescent="0.25">
      <c r="A5370" s="1">
        <v>45078</v>
      </c>
      <c r="B5370" t="s">
        <v>196</v>
      </c>
      <c r="C5370" t="s">
        <v>897</v>
      </c>
      <c r="D5370">
        <v>0</v>
      </c>
      <c r="E5370">
        <v>0</v>
      </c>
      <c r="F5370">
        <v>0</v>
      </c>
    </row>
    <row r="5371" spans="1:6" x14ac:dyDescent="0.25">
      <c r="A5371" s="1">
        <v>45078</v>
      </c>
      <c r="B5371" t="s">
        <v>63</v>
      </c>
      <c r="C5371" t="s">
        <v>224</v>
      </c>
      <c r="D5371" s="2">
        <v>95880</v>
      </c>
      <c r="E5371" s="2">
        <v>795126.6</v>
      </c>
      <c r="F5371" s="2">
        <v>795126.6</v>
      </c>
    </row>
    <row r="5372" spans="1:6" x14ac:dyDescent="0.25">
      <c r="A5372" s="1">
        <v>45078</v>
      </c>
      <c r="B5372" t="s">
        <v>46</v>
      </c>
      <c r="C5372" t="s">
        <v>987</v>
      </c>
      <c r="D5372">
        <v>0</v>
      </c>
      <c r="E5372" s="2">
        <v>44428.45</v>
      </c>
      <c r="F5372" s="2">
        <v>44168.88</v>
      </c>
    </row>
    <row r="5373" spans="1:6" x14ac:dyDescent="0.25">
      <c r="A5373" s="1">
        <v>45078</v>
      </c>
      <c r="B5373" t="s">
        <v>90</v>
      </c>
      <c r="C5373" t="s">
        <v>158</v>
      </c>
      <c r="D5373" s="2">
        <v>135187.03</v>
      </c>
      <c r="E5373" s="2">
        <v>38641.620000000003</v>
      </c>
      <c r="F5373" s="2">
        <v>28712.99</v>
      </c>
    </row>
    <row r="5374" spans="1:6" x14ac:dyDescent="0.25">
      <c r="A5374" s="1">
        <v>45078</v>
      </c>
      <c r="B5374" t="s">
        <v>44</v>
      </c>
      <c r="C5374" t="s">
        <v>579</v>
      </c>
      <c r="D5374" s="2">
        <v>204023.01</v>
      </c>
      <c r="E5374" s="2">
        <v>164995.63</v>
      </c>
      <c r="F5374" s="2">
        <v>188191.61</v>
      </c>
    </row>
    <row r="5375" spans="1:6" x14ac:dyDescent="0.25">
      <c r="A5375" s="1">
        <v>45078</v>
      </c>
      <c r="B5375" t="s">
        <v>726</v>
      </c>
      <c r="C5375" t="s">
        <v>871</v>
      </c>
      <c r="D5375" s="2">
        <v>800944.67</v>
      </c>
      <c r="E5375" s="2">
        <v>838862.1</v>
      </c>
      <c r="F5375" s="2">
        <v>399987.77</v>
      </c>
    </row>
    <row r="5376" spans="1:6" x14ac:dyDescent="0.25">
      <c r="A5376" s="1">
        <v>45078</v>
      </c>
      <c r="B5376" t="s">
        <v>114</v>
      </c>
      <c r="C5376" t="s">
        <v>578</v>
      </c>
      <c r="D5376" s="2">
        <v>3527030.76</v>
      </c>
      <c r="E5376" s="2">
        <v>8904808.6899999995</v>
      </c>
      <c r="F5376" s="2">
        <v>8845894.6099999994</v>
      </c>
    </row>
    <row r="5377" spans="1:6" x14ac:dyDescent="0.25">
      <c r="A5377" s="1">
        <v>45078</v>
      </c>
      <c r="B5377" t="s">
        <v>251</v>
      </c>
      <c r="C5377" t="s">
        <v>808</v>
      </c>
      <c r="D5377" s="2">
        <v>1858873.08</v>
      </c>
      <c r="E5377" s="2">
        <v>151741652.97999999</v>
      </c>
      <c r="F5377" s="2">
        <v>151290184.84</v>
      </c>
    </row>
    <row r="5378" spans="1:6" x14ac:dyDescent="0.25">
      <c r="A5378" s="1">
        <v>45078</v>
      </c>
      <c r="B5378" t="s">
        <v>694</v>
      </c>
      <c r="C5378" t="s">
        <v>658</v>
      </c>
      <c r="D5378">
        <v>0</v>
      </c>
      <c r="E5378">
        <v>0</v>
      </c>
      <c r="F5378">
        <v>0</v>
      </c>
    </row>
    <row r="5379" spans="1:6" x14ac:dyDescent="0.25">
      <c r="A5379" s="1">
        <v>45078</v>
      </c>
      <c r="B5379" t="s">
        <v>213</v>
      </c>
      <c r="C5379" t="s">
        <v>533</v>
      </c>
      <c r="D5379">
        <v>0</v>
      </c>
      <c r="E5379">
        <v>0</v>
      </c>
      <c r="F5379">
        <v>0</v>
      </c>
    </row>
    <row r="5380" spans="1:6" x14ac:dyDescent="0.25">
      <c r="A5380" s="1">
        <v>45078</v>
      </c>
      <c r="B5380" t="s">
        <v>98</v>
      </c>
      <c r="C5380" t="s">
        <v>378</v>
      </c>
      <c r="D5380">
        <v>0</v>
      </c>
      <c r="E5380">
        <v>0</v>
      </c>
      <c r="F5380">
        <v>0</v>
      </c>
    </row>
    <row r="5381" spans="1:6" x14ac:dyDescent="0.25">
      <c r="A5381" s="1">
        <v>45078</v>
      </c>
      <c r="B5381" t="s">
        <v>405</v>
      </c>
      <c r="C5381" t="s">
        <v>1288</v>
      </c>
      <c r="D5381">
        <v>0</v>
      </c>
      <c r="E5381">
        <v>0</v>
      </c>
      <c r="F5381">
        <v>0</v>
      </c>
    </row>
    <row r="5382" spans="1:6" x14ac:dyDescent="0.25">
      <c r="A5382" s="1">
        <v>45078</v>
      </c>
      <c r="B5382" t="s">
        <v>107</v>
      </c>
      <c r="C5382" t="s">
        <v>687</v>
      </c>
      <c r="D5382" s="2">
        <v>33300</v>
      </c>
      <c r="E5382" s="2">
        <v>37885.94</v>
      </c>
      <c r="F5382" s="2">
        <v>31930.9</v>
      </c>
    </row>
    <row r="5383" spans="1:6" x14ac:dyDescent="0.25">
      <c r="A5383" s="1">
        <v>45078</v>
      </c>
      <c r="B5383" t="s">
        <v>143</v>
      </c>
      <c r="C5383" t="s">
        <v>529</v>
      </c>
      <c r="D5383">
        <v>0</v>
      </c>
      <c r="E5383" s="2">
        <v>1184000</v>
      </c>
      <c r="F5383">
        <v>0</v>
      </c>
    </row>
    <row r="5384" spans="1:6" x14ac:dyDescent="0.25">
      <c r="A5384" s="1">
        <v>45078</v>
      </c>
      <c r="B5384" t="s">
        <v>648</v>
      </c>
      <c r="C5384" t="s">
        <v>765</v>
      </c>
      <c r="D5384" s="2">
        <v>594595.75</v>
      </c>
      <c r="E5384" s="2">
        <v>736653.55</v>
      </c>
      <c r="F5384" s="2">
        <v>753997.39</v>
      </c>
    </row>
    <row r="5385" spans="1:6" x14ac:dyDescent="0.25">
      <c r="A5385" s="1">
        <v>45078</v>
      </c>
      <c r="B5385" t="s">
        <v>107</v>
      </c>
      <c r="C5385" t="s">
        <v>499</v>
      </c>
      <c r="D5385">
        <v>0</v>
      </c>
      <c r="E5385">
        <v>0</v>
      </c>
      <c r="F5385">
        <v>0</v>
      </c>
    </row>
    <row r="5386" spans="1:6" x14ac:dyDescent="0.25">
      <c r="A5386" s="1">
        <v>45078</v>
      </c>
      <c r="B5386" t="s">
        <v>17</v>
      </c>
      <c r="C5386" t="s">
        <v>67</v>
      </c>
      <c r="D5386" s="2">
        <v>45700</v>
      </c>
      <c r="E5386">
        <v>0</v>
      </c>
      <c r="F5386" s="2">
        <v>13609071</v>
      </c>
    </row>
    <row r="5387" spans="1:6" x14ac:dyDescent="0.25">
      <c r="A5387" s="1">
        <v>45078</v>
      </c>
      <c r="B5387" t="s">
        <v>7</v>
      </c>
      <c r="C5387" t="s">
        <v>448</v>
      </c>
      <c r="D5387">
        <v>0</v>
      </c>
      <c r="E5387" s="2">
        <v>7114554.9400000004</v>
      </c>
      <c r="F5387" s="2">
        <v>5623004.6699999999</v>
      </c>
    </row>
    <row r="5388" spans="1:6" x14ac:dyDescent="0.25">
      <c r="A5388" s="1">
        <v>45078</v>
      </c>
      <c r="B5388" t="s">
        <v>23</v>
      </c>
      <c r="C5388" t="s">
        <v>1220</v>
      </c>
      <c r="D5388" s="2">
        <v>253271</v>
      </c>
      <c r="E5388">
        <v>0</v>
      </c>
      <c r="F5388">
        <v>0</v>
      </c>
    </row>
    <row r="5389" spans="1:6" x14ac:dyDescent="0.25">
      <c r="A5389" s="1">
        <v>45078</v>
      </c>
      <c r="B5389" t="s">
        <v>63</v>
      </c>
      <c r="C5389" t="s">
        <v>714</v>
      </c>
      <c r="D5389" s="2">
        <v>6801775.0499999998</v>
      </c>
      <c r="E5389" s="2">
        <v>3346084.39</v>
      </c>
      <c r="F5389" s="2">
        <v>2849762.36</v>
      </c>
    </row>
    <row r="5390" spans="1:6" x14ac:dyDescent="0.25">
      <c r="A5390" s="1">
        <v>45078</v>
      </c>
      <c r="B5390" t="s">
        <v>21</v>
      </c>
      <c r="C5390" t="s">
        <v>652</v>
      </c>
      <c r="D5390" s="2">
        <v>49000000</v>
      </c>
      <c r="E5390" s="2">
        <v>16278999.1</v>
      </c>
      <c r="F5390" s="2">
        <v>18064208.260000002</v>
      </c>
    </row>
    <row r="5391" spans="1:6" x14ac:dyDescent="0.25">
      <c r="A5391" s="1">
        <v>45078</v>
      </c>
      <c r="B5391" t="s">
        <v>29</v>
      </c>
      <c r="C5391" t="s">
        <v>798</v>
      </c>
      <c r="D5391" s="2">
        <v>450000</v>
      </c>
      <c r="E5391" s="2">
        <v>80000</v>
      </c>
      <c r="F5391" s="2">
        <v>80000</v>
      </c>
    </row>
    <row r="5392" spans="1:6" x14ac:dyDescent="0.25">
      <c r="A5392" s="1">
        <v>45078</v>
      </c>
      <c r="B5392" t="s">
        <v>21</v>
      </c>
      <c r="C5392" t="s">
        <v>366</v>
      </c>
      <c r="D5392" s="2">
        <v>1238343.1599999999</v>
      </c>
      <c r="E5392" s="2">
        <v>31259</v>
      </c>
      <c r="F5392" s="2">
        <v>47106.6</v>
      </c>
    </row>
    <row r="5393" spans="1:6" x14ac:dyDescent="0.25">
      <c r="A5393" s="1">
        <v>45078</v>
      </c>
      <c r="B5393" t="s">
        <v>48</v>
      </c>
      <c r="C5393" t="s">
        <v>1289</v>
      </c>
      <c r="D5393" s="2">
        <v>2859164</v>
      </c>
      <c r="E5393" s="2">
        <v>788762</v>
      </c>
      <c r="F5393" s="2">
        <v>788762</v>
      </c>
    </row>
    <row r="5394" spans="1:6" x14ac:dyDescent="0.25">
      <c r="A5394" s="1">
        <v>45078</v>
      </c>
      <c r="B5394" t="s">
        <v>13</v>
      </c>
      <c r="C5394" t="s">
        <v>617</v>
      </c>
      <c r="D5394" s="2">
        <v>500000</v>
      </c>
      <c r="E5394" s="2">
        <v>229429.33</v>
      </c>
      <c r="F5394" s="2">
        <v>235138.67</v>
      </c>
    </row>
    <row r="5395" spans="1:6" x14ac:dyDescent="0.25">
      <c r="A5395" s="1">
        <v>45078</v>
      </c>
      <c r="B5395" t="s">
        <v>23</v>
      </c>
      <c r="C5395" t="s">
        <v>715</v>
      </c>
      <c r="D5395" s="2">
        <v>61061.61</v>
      </c>
      <c r="E5395" s="2">
        <v>478894.93</v>
      </c>
      <c r="F5395" s="2">
        <v>706168.62</v>
      </c>
    </row>
    <row r="5396" spans="1:6" x14ac:dyDescent="0.25">
      <c r="A5396" s="1">
        <v>45078</v>
      </c>
      <c r="B5396" t="s">
        <v>398</v>
      </c>
      <c r="C5396" t="s">
        <v>1046</v>
      </c>
      <c r="D5396" s="2">
        <v>6356000</v>
      </c>
      <c r="E5396" s="2">
        <v>3525178.04</v>
      </c>
      <c r="F5396" s="2">
        <v>2525178.04</v>
      </c>
    </row>
    <row r="5397" spans="1:6" x14ac:dyDescent="0.25">
      <c r="A5397" s="1">
        <v>45078</v>
      </c>
      <c r="B5397" t="s">
        <v>159</v>
      </c>
      <c r="C5397" t="s">
        <v>640</v>
      </c>
      <c r="D5397">
        <v>0</v>
      </c>
      <c r="E5397">
        <v>0</v>
      </c>
      <c r="F5397">
        <v>0</v>
      </c>
    </row>
    <row r="5398" spans="1:6" x14ac:dyDescent="0.25">
      <c r="A5398" s="1">
        <v>45078</v>
      </c>
      <c r="B5398" t="s">
        <v>17</v>
      </c>
      <c r="C5398" t="s">
        <v>18</v>
      </c>
      <c r="D5398" s="2">
        <v>22598005.149999999</v>
      </c>
      <c r="E5398" s="2">
        <v>22598005.149999999</v>
      </c>
      <c r="F5398" s="2">
        <v>22598005.149999999</v>
      </c>
    </row>
    <row r="5399" spans="1:6" x14ac:dyDescent="0.25">
      <c r="A5399" s="1">
        <v>45078</v>
      </c>
      <c r="B5399" t="s">
        <v>40</v>
      </c>
      <c r="C5399" t="s">
        <v>528</v>
      </c>
      <c r="D5399" s="2">
        <v>64887.199999999997</v>
      </c>
      <c r="E5399" s="2">
        <v>78156.98</v>
      </c>
      <c r="F5399" s="2">
        <v>106448.47</v>
      </c>
    </row>
    <row r="5400" spans="1:6" x14ac:dyDescent="0.25">
      <c r="A5400" s="1">
        <v>45078</v>
      </c>
      <c r="B5400" t="s">
        <v>40</v>
      </c>
      <c r="C5400" t="s">
        <v>616</v>
      </c>
      <c r="D5400" s="2">
        <v>3160000</v>
      </c>
      <c r="E5400" s="2">
        <v>103485832.25</v>
      </c>
      <c r="F5400" s="2">
        <v>70356016.140000001</v>
      </c>
    </row>
    <row r="5401" spans="1:6" x14ac:dyDescent="0.25">
      <c r="A5401" s="1">
        <v>45078</v>
      </c>
      <c r="B5401" t="s">
        <v>278</v>
      </c>
      <c r="C5401" t="s">
        <v>401</v>
      </c>
      <c r="D5401" s="2">
        <v>58486287.479999997</v>
      </c>
      <c r="E5401" s="2">
        <v>58164909.100000001</v>
      </c>
      <c r="F5401" s="2">
        <v>58521995.590000004</v>
      </c>
    </row>
    <row r="5402" spans="1:6" x14ac:dyDescent="0.25">
      <c r="A5402" s="1">
        <v>45078</v>
      </c>
      <c r="B5402" t="s">
        <v>63</v>
      </c>
      <c r="C5402" t="s">
        <v>142</v>
      </c>
      <c r="D5402" s="2">
        <v>2838250.14</v>
      </c>
      <c r="E5402">
        <v>0</v>
      </c>
      <c r="F5402">
        <v>0</v>
      </c>
    </row>
    <row r="5403" spans="1:6" x14ac:dyDescent="0.25">
      <c r="A5403" s="1">
        <v>45078</v>
      </c>
      <c r="B5403" t="s">
        <v>143</v>
      </c>
      <c r="C5403" t="s">
        <v>413</v>
      </c>
      <c r="D5403">
        <v>0</v>
      </c>
      <c r="E5403">
        <v>0</v>
      </c>
      <c r="F5403">
        <v>0</v>
      </c>
    </row>
    <row r="5404" spans="1:6" x14ac:dyDescent="0.25">
      <c r="A5404" s="1">
        <v>45078</v>
      </c>
      <c r="B5404" t="s">
        <v>185</v>
      </c>
      <c r="C5404" t="s">
        <v>968</v>
      </c>
      <c r="D5404">
        <v>0</v>
      </c>
      <c r="E5404" s="2">
        <v>4400000</v>
      </c>
      <c r="F5404">
        <v>0</v>
      </c>
    </row>
    <row r="5405" spans="1:6" x14ac:dyDescent="0.25">
      <c r="A5405" s="1">
        <v>45078</v>
      </c>
      <c r="B5405" t="s">
        <v>162</v>
      </c>
      <c r="C5405" t="s">
        <v>605</v>
      </c>
      <c r="D5405" s="2">
        <v>34292.54</v>
      </c>
      <c r="E5405" s="2">
        <v>297714.28000000003</v>
      </c>
      <c r="F5405" s="2">
        <v>5241887.24</v>
      </c>
    </row>
    <row r="5406" spans="1:6" x14ac:dyDescent="0.25">
      <c r="A5406" s="1">
        <v>45078</v>
      </c>
      <c r="B5406" t="s">
        <v>11</v>
      </c>
      <c r="C5406" t="s">
        <v>557</v>
      </c>
      <c r="D5406" s="2">
        <v>408157127.76999998</v>
      </c>
      <c r="E5406" s="2">
        <v>908915845.03999996</v>
      </c>
      <c r="F5406" s="2">
        <v>678097866.75</v>
      </c>
    </row>
    <row r="5407" spans="1:6" x14ac:dyDescent="0.25">
      <c r="A5407" s="1">
        <v>45078</v>
      </c>
      <c r="B5407" t="s">
        <v>17</v>
      </c>
      <c r="C5407" t="s">
        <v>877</v>
      </c>
      <c r="D5407" s="2">
        <v>295943.28999999998</v>
      </c>
      <c r="E5407" s="2">
        <v>5943.29</v>
      </c>
      <c r="F5407" s="2">
        <v>5943.29</v>
      </c>
    </row>
    <row r="5408" spans="1:6" x14ac:dyDescent="0.25">
      <c r="A5408" s="1">
        <v>45078</v>
      </c>
      <c r="B5408" t="s">
        <v>40</v>
      </c>
      <c r="C5408" t="s">
        <v>388</v>
      </c>
      <c r="D5408" s="2">
        <v>29843.279999999999</v>
      </c>
      <c r="E5408" s="2">
        <v>91932.73</v>
      </c>
      <c r="F5408" s="2">
        <v>192791.38</v>
      </c>
    </row>
    <row r="5409" spans="1:6" x14ac:dyDescent="0.25">
      <c r="A5409" s="1">
        <v>45078</v>
      </c>
      <c r="B5409" t="s">
        <v>23</v>
      </c>
      <c r="C5409" t="s">
        <v>580</v>
      </c>
      <c r="D5409" s="2">
        <v>7016</v>
      </c>
      <c r="E5409" s="2">
        <v>109642.27</v>
      </c>
      <c r="F5409" s="2">
        <v>83592.81</v>
      </c>
    </row>
    <row r="5410" spans="1:6" x14ac:dyDescent="0.25">
      <c r="A5410" s="1">
        <v>45078</v>
      </c>
      <c r="B5410" t="s">
        <v>98</v>
      </c>
      <c r="C5410" t="s">
        <v>613</v>
      </c>
      <c r="D5410">
        <v>0</v>
      </c>
      <c r="E5410">
        <v>0</v>
      </c>
      <c r="F5410">
        <v>0</v>
      </c>
    </row>
    <row r="5411" spans="1:6" x14ac:dyDescent="0.25">
      <c r="A5411" s="1">
        <v>45078</v>
      </c>
      <c r="B5411" t="s">
        <v>23</v>
      </c>
      <c r="C5411" t="s">
        <v>343</v>
      </c>
      <c r="D5411" s="2">
        <v>-630313011.21000004</v>
      </c>
      <c r="E5411" s="2">
        <v>170439696.12</v>
      </c>
      <c r="F5411" s="2">
        <v>170439696.12</v>
      </c>
    </row>
    <row r="5412" spans="1:6" x14ac:dyDescent="0.25">
      <c r="A5412" s="1">
        <v>45078</v>
      </c>
      <c r="B5412" t="s">
        <v>196</v>
      </c>
      <c r="C5412" t="s">
        <v>563</v>
      </c>
      <c r="D5412">
        <v>0</v>
      </c>
      <c r="E5412">
        <v>0</v>
      </c>
      <c r="F5412">
        <v>0</v>
      </c>
    </row>
    <row r="5413" spans="1:6" x14ac:dyDescent="0.25">
      <c r="A5413" s="1">
        <v>45078</v>
      </c>
      <c r="B5413" t="s">
        <v>23</v>
      </c>
      <c r="C5413" t="s">
        <v>655</v>
      </c>
      <c r="D5413">
        <v>0</v>
      </c>
      <c r="E5413">
        <v>0</v>
      </c>
      <c r="F5413">
        <v>0</v>
      </c>
    </row>
    <row r="5414" spans="1:6" x14ac:dyDescent="0.25">
      <c r="A5414" s="1">
        <v>45078</v>
      </c>
      <c r="B5414" t="s">
        <v>40</v>
      </c>
      <c r="C5414" t="s">
        <v>466</v>
      </c>
      <c r="D5414" s="2">
        <v>1473326</v>
      </c>
      <c r="E5414" s="2">
        <v>1473408</v>
      </c>
      <c r="F5414" s="2">
        <v>176047.18</v>
      </c>
    </row>
    <row r="5415" spans="1:6" x14ac:dyDescent="0.25">
      <c r="A5415" s="1">
        <v>45078</v>
      </c>
      <c r="B5415" t="s">
        <v>23</v>
      </c>
      <c r="C5415" t="s">
        <v>677</v>
      </c>
      <c r="D5415" s="2">
        <v>241371.32</v>
      </c>
      <c r="E5415" s="2">
        <v>37912.39</v>
      </c>
      <c r="F5415" s="2">
        <v>45570.85</v>
      </c>
    </row>
    <row r="5416" spans="1:6" x14ac:dyDescent="0.25">
      <c r="A5416" s="1">
        <v>45078</v>
      </c>
      <c r="B5416" t="s">
        <v>490</v>
      </c>
      <c r="C5416" t="s">
        <v>542</v>
      </c>
      <c r="D5416" s="2">
        <v>843000</v>
      </c>
      <c r="E5416" s="2">
        <v>390088.62</v>
      </c>
      <c r="F5416" s="2">
        <v>550247.19999999995</v>
      </c>
    </row>
    <row r="5417" spans="1:6" x14ac:dyDescent="0.25">
      <c r="A5417" s="1">
        <v>45078</v>
      </c>
      <c r="B5417" t="s">
        <v>107</v>
      </c>
      <c r="C5417" t="s">
        <v>189</v>
      </c>
      <c r="D5417" s="2">
        <v>112505400</v>
      </c>
      <c r="E5417" s="2">
        <v>18953200</v>
      </c>
      <c r="F5417" s="2">
        <v>11461100</v>
      </c>
    </row>
    <row r="5418" spans="1:6" x14ac:dyDescent="0.25">
      <c r="A5418" s="1">
        <v>45078</v>
      </c>
      <c r="B5418" t="s">
        <v>40</v>
      </c>
      <c r="C5418" t="s">
        <v>644</v>
      </c>
      <c r="D5418" s="2">
        <v>65304.75</v>
      </c>
      <c r="E5418">
        <v>0</v>
      </c>
      <c r="F5418" s="2">
        <v>1360.16</v>
      </c>
    </row>
    <row r="5419" spans="1:6" x14ac:dyDescent="0.25">
      <c r="A5419" s="1">
        <v>45078</v>
      </c>
      <c r="B5419" t="s">
        <v>40</v>
      </c>
      <c r="C5419" t="s">
        <v>487</v>
      </c>
      <c r="D5419" s="2">
        <v>768949141.76999998</v>
      </c>
      <c r="E5419" s="2">
        <v>3267941948.6399999</v>
      </c>
      <c r="F5419" s="2">
        <v>2399089192.9299998</v>
      </c>
    </row>
    <row r="5420" spans="1:6" x14ac:dyDescent="0.25">
      <c r="A5420" s="1">
        <v>45078</v>
      </c>
      <c r="B5420" t="s">
        <v>154</v>
      </c>
      <c r="C5420" t="s">
        <v>467</v>
      </c>
      <c r="D5420" s="2">
        <v>242909.52</v>
      </c>
      <c r="E5420" s="2">
        <v>146371.69</v>
      </c>
      <c r="F5420" s="2">
        <v>153861.1</v>
      </c>
    </row>
    <row r="5421" spans="1:6" x14ac:dyDescent="0.25">
      <c r="A5421" s="1">
        <v>45078</v>
      </c>
      <c r="B5421" t="s">
        <v>21</v>
      </c>
      <c r="C5421" t="s">
        <v>184</v>
      </c>
      <c r="D5421">
        <v>0</v>
      </c>
      <c r="E5421">
        <v>0</v>
      </c>
      <c r="F5421">
        <v>0</v>
      </c>
    </row>
    <row r="5422" spans="1:6" x14ac:dyDescent="0.25">
      <c r="A5422" s="1">
        <v>45078</v>
      </c>
      <c r="B5422" t="s">
        <v>752</v>
      </c>
      <c r="C5422" t="s">
        <v>753</v>
      </c>
      <c r="D5422" s="2">
        <v>39716691.75</v>
      </c>
      <c r="E5422" s="2">
        <v>16152339.67</v>
      </c>
      <c r="F5422" s="2">
        <v>17460576.859999999</v>
      </c>
    </row>
    <row r="5423" spans="1:6" x14ac:dyDescent="0.25">
      <c r="A5423" s="1">
        <v>45078</v>
      </c>
      <c r="B5423" t="s">
        <v>296</v>
      </c>
      <c r="C5423" t="s">
        <v>297</v>
      </c>
      <c r="D5423" s="2">
        <v>613391.80000000005</v>
      </c>
      <c r="E5423" s="2">
        <v>2267372.7000000002</v>
      </c>
      <c r="F5423" s="2">
        <v>4101798.88</v>
      </c>
    </row>
    <row r="5424" spans="1:6" x14ac:dyDescent="0.25">
      <c r="A5424" s="1">
        <v>45078</v>
      </c>
      <c r="B5424" t="s">
        <v>40</v>
      </c>
      <c r="C5424" t="s">
        <v>1123</v>
      </c>
      <c r="D5424" s="2">
        <v>5235730.74</v>
      </c>
      <c r="E5424" s="2">
        <v>1824674.96</v>
      </c>
      <c r="F5424" s="2">
        <v>176408.06</v>
      </c>
    </row>
    <row r="5425" spans="1:6" x14ac:dyDescent="0.25">
      <c r="A5425" s="1">
        <v>45078</v>
      </c>
      <c r="B5425" t="s">
        <v>31</v>
      </c>
      <c r="C5425" t="s">
        <v>1038</v>
      </c>
      <c r="D5425">
        <v>0</v>
      </c>
      <c r="E5425" s="2">
        <v>56045.85</v>
      </c>
      <c r="F5425" s="2">
        <v>22140.7</v>
      </c>
    </row>
    <row r="5426" spans="1:6" x14ac:dyDescent="0.25">
      <c r="A5426" s="1">
        <v>45078</v>
      </c>
      <c r="B5426" t="s">
        <v>132</v>
      </c>
      <c r="C5426" t="s">
        <v>469</v>
      </c>
      <c r="D5426" s="2">
        <v>177819420.99000001</v>
      </c>
      <c r="E5426" s="2">
        <v>89254411.239999995</v>
      </c>
      <c r="F5426" s="2">
        <v>96199218.260000005</v>
      </c>
    </row>
    <row r="5427" spans="1:6" x14ac:dyDescent="0.25">
      <c r="A5427" s="1">
        <v>45078</v>
      </c>
      <c r="B5427" t="s">
        <v>25</v>
      </c>
      <c r="C5427" t="s">
        <v>373</v>
      </c>
      <c r="D5427" s="2">
        <v>-35623.1</v>
      </c>
      <c r="E5427" s="2">
        <v>18019.34</v>
      </c>
      <c r="F5427" s="2">
        <v>22168.74</v>
      </c>
    </row>
    <row r="5428" spans="1:6" x14ac:dyDescent="0.25">
      <c r="A5428" s="1">
        <v>45078</v>
      </c>
      <c r="B5428" t="s">
        <v>37</v>
      </c>
      <c r="C5428" t="s">
        <v>743</v>
      </c>
      <c r="D5428" s="2">
        <v>54024.67</v>
      </c>
      <c r="E5428" s="2">
        <v>22075.61</v>
      </c>
      <c r="F5428" s="2">
        <v>18439.990000000002</v>
      </c>
    </row>
    <row r="5429" spans="1:6" x14ac:dyDescent="0.25">
      <c r="A5429" s="1">
        <v>45078</v>
      </c>
      <c r="B5429" t="s">
        <v>46</v>
      </c>
      <c r="C5429" t="s">
        <v>712</v>
      </c>
      <c r="D5429" s="2">
        <v>8754554</v>
      </c>
      <c r="E5429" s="2">
        <v>25501537.789999999</v>
      </c>
      <c r="F5429" s="2">
        <v>1191659.58</v>
      </c>
    </row>
    <row r="5430" spans="1:6" x14ac:dyDescent="0.25">
      <c r="A5430" s="1">
        <v>45078</v>
      </c>
      <c r="B5430" t="s">
        <v>40</v>
      </c>
      <c r="C5430" t="s">
        <v>591</v>
      </c>
      <c r="D5430" s="2">
        <v>1834002.41</v>
      </c>
      <c r="E5430" s="2">
        <v>11043145.92</v>
      </c>
      <c r="F5430" s="2">
        <v>10387351.4</v>
      </c>
    </row>
    <row r="5431" spans="1:6" x14ac:dyDescent="0.25">
      <c r="A5431" s="1">
        <v>45078</v>
      </c>
      <c r="B5431" t="s">
        <v>50</v>
      </c>
      <c r="C5431" t="s">
        <v>530</v>
      </c>
      <c r="D5431" s="2">
        <v>350856.69</v>
      </c>
      <c r="E5431" s="2">
        <v>434338.75</v>
      </c>
      <c r="F5431" s="2">
        <v>448985.5</v>
      </c>
    </row>
    <row r="5432" spans="1:6" x14ac:dyDescent="0.25">
      <c r="A5432" s="1">
        <v>45078</v>
      </c>
      <c r="B5432" t="s">
        <v>27</v>
      </c>
      <c r="C5432" t="s">
        <v>535</v>
      </c>
      <c r="D5432" s="2">
        <v>11994091.210000001</v>
      </c>
      <c r="E5432" s="2">
        <v>12694132.279999999</v>
      </c>
      <c r="F5432" s="2">
        <v>14552276.5</v>
      </c>
    </row>
    <row r="5433" spans="1:6" x14ac:dyDescent="0.25">
      <c r="A5433" s="1">
        <v>45078</v>
      </c>
      <c r="B5433" t="s">
        <v>23</v>
      </c>
      <c r="C5433" t="s">
        <v>1088</v>
      </c>
      <c r="D5433" s="2">
        <v>6000000</v>
      </c>
      <c r="E5433" s="2">
        <v>508115.58</v>
      </c>
      <c r="F5433" s="2">
        <v>511310.55</v>
      </c>
    </row>
    <row r="5434" spans="1:6" x14ac:dyDescent="0.25">
      <c r="A5434" s="1">
        <v>45078</v>
      </c>
      <c r="B5434" t="s">
        <v>46</v>
      </c>
      <c r="C5434" t="s">
        <v>674</v>
      </c>
      <c r="D5434" s="2">
        <v>3441915.19</v>
      </c>
      <c r="E5434" s="2">
        <v>9320675.2300000004</v>
      </c>
      <c r="F5434" s="2">
        <v>19506648.640000001</v>
      </c>
    </row>
    <row r="5435" spans="1:6" x14ac:dyDescent="0.25">
      <c r="A5435" s="1">
        <v>45078</v>
      </c>
      <c r="B5435" t="s">
        <v>23</v>
      </c>
      <c r="C5435" t="s">
        <v>331</v>
      </c>
      <c r="D5435" s="2">
        <v>6158147.8499999996</v>
      </c>
      <c r="E5435" s="2">
        <v>3338524.72</v>
      </c>
      <c r="F5435" s="2">
        <v>3240547.8</v>
      </c>
    </row>
    <row r="5436" spans="1:6" x14ac:dyDescent="0.25">
      <c r="A5436" s="1">
        <v>45078</v>
      </c>
      <c r="B5436" t="s">
        <v>101</v>
      </c>
      <c r="C5436" t="s">
        <v>102</v>
      </c>
      <c r="D5436" s="2">
        <v>245002.42</v>
      </c>
      <c r="E5436" s="2">
        <v>53731.58</v>
      </c>
      <c r="F5436" s="2">
        <v>29687.74</v>
      </c>
    </row>
    <row r="5437" spans="1:6" x14ac:dyDescent="0.25">
      <c r="A5437" s="1">
        <v>45078</v>
      </c>
      <c r="B5437" t="s">
        <v>398</v>
      </c>
      <c r="C5437" t="s">
        <v>399</v>
      </c>
      <c r="D5437">
        <v>0</v>
      </c>
      <c r="E5437" s="2">
        <v>722410.52</v>
      </c>
      <c r="F5437" s="2">
        <v>722410.52</v>
      </c>
    </row>
    <row r="5438" spans="1:6" x14ac:dyDescent="0.25">
      <c r="A5438" s="1">
        <v>45078</v>
      </c>
      <c r="B5438" t="s">
        <v>94</v>
      </c>
      <c r="C5438" t="s">
        <v>95</v>
      </c>
      <c r="D5438">
        <v>0</v>
      </c>
      <c r="E5438">
        <v>0</v>
      </c>
      <c r="F5438">
        <v>0</v>
      </c>
    </row>
    <row r="5439" spans="1:6" x14ac:dyDescent="0.25">
      <c r="A5439" s="1">
        <v>45078</v>
      </c>
      <c r="B5439" t="s">
        <v>196</v>
      </c>
      <c r="C5439" t="s">
        <v>890</v>
      </c>
      <c r="D5439">
        <v>0</v>
      </c>
      <c r="E5439">
        <v>0</v>
      </c>
      <c r="F5439">
        <v>0</v>
      </c>
    </row>
    <row r="5440" spans="1:6" x14ac:dyDescent="0.25">
      <c r="A5440" s="1">
        <v>45078</v>
      </c>
      <c r="B5440" t="s">
        <v>162</v>
      </c>
      <c r="C5440" t="s">
        <v>421</v>
      </c>
      <c r="D5440" s="2">
        <v>2185041.35</v>
      </c>
      <c r="E5440" s="2">
        <v>1745769.58</v>
      </c>
      <c r="F5440" s="2">
        <v>1055960.1599999999</v>
      </c>
    </row>
    <row r="5441" spans="1:6" x14ac:dyDescent="0.25">
      <c r="A5441" s="1">
        <v>45078</v>
      </c>
      <c r="B5441" t="s">
        <v>11</v>
      </c>
      <c r="C5441" t="s">
        <v>59</v>
      </c>
      <c r="D5441">
        <v>0</v>
      </c>
      <c r="E5441" s="2">
        <v>422217637.32999998</v>
      </c>
      <c r="F5441" s="2">
        <v>422217637.32999998</v>
      </c>
    </row>
    <row r="5442" spans="1:6" x14ac:dyDescent="0.25">
      <c r="A5442" s="1">
        <v>45078</v>
      </c>
      <c r="B5442" t="s">
        <v>50</v>
      </c>
      <c r="C5442" t="s">
        <v>767</v>
      </c>
      <c r="D5442" s="2">
        <v>4362354.8</v>
      </c>
      <c r="E5442" s="2">
        <v>196215.05</v>
      </c>
      <c r="F5442" s="2">
        <v>44135.25</v>
      </c>
    </row>
    <row r="5443" spans="1:6" x14ac:dyDescent="0.25">
      <c r="A5443" s="1">
        <v>45078</v>
      </c>
      <c r="B5443" t="s">
        <v>29</v>
      </c>
      <c r="C5443" t="s">
        <v>804</v>
      </c>
      <c r="D5443" s="2">
        <v>2142632.16</v>
      </c>
      <c r="E5443" s="2">
        <v>2804124.59</v>
      </c>
      <c r="F5443" s="2">
        <v>2772903.03</v>
      </c>
    </row>
    <row r="5444" spans="1:6" x14ac:dyDescent="0.25">
      <c r="A5444" s="1">
        <v>45078</v>
      </c>
      <c r="B5444" t="s">
        <v>181</v>
      </c>
      <c r="C5444" t="s">
        <v>881</v>
      </c>
      <c r="D5444">
        <v>0</v>
      </c>
      <c r="E5444">
        <v>0</v>
      </c>
      <c r="F5444">
        <v>0</v>
      </c>
    </row>
    <row r="5445" spans="1:6" x14ac:dyDescent="0.25">
      <c r="A5445" s="1">
        <v>45078</v>
      </c>
      <c r="B5445" t="s">
        <v>44</v>
      </c>
      <c r="C5445" t="s">
        <v>254</v>
      </c>
      <c r="D5445" s="2">
        <v>144858.44</v>
      </c>
      <c r="E5445" s="2">
        <v>145385.51999999999</v>
      </c>
      <c r="F5445" s="2">
        <v>143474.21</v>
      </c>
    </row>
    <row r="5446" spans="1:6" x14ac:dyDescent="0.25">
      <c r="A5446" s="1">
        <v>45078</v>
      </c>
      <c r="B5446" t="s">
        <v>40</v>
      </c>
      <c r="C5446" t="s">
        <v>1031</v>
      </c>
      <c r="D5446">
        <v>0</v>
      </c>
      <c r="E5446" s="2">
        <v>3548.38</v>
      </c>
      <c r="F5446" s="2">
        <v>3548.38</v>
      </c>
    </row>
    <row r="5447" spans="1:6" x14ac:dyDescent="0.25">
      <c r="A5447" s="1">
        <v>45078</v>
      </c>
      <c r="B5447" t="s">
        <v>13</v>
      </c>
      <c r="C5447" t="s">
        <v>791</v>
      </c>
      <c r="D5447" s="2">
        <v>128521710555</v>
      </c>
      <c r="E5447" s="2">
        <v>95696039068.330002</v>
      </c>
      <c r="F5447" s="2">
        <v>95385726745.009995</v>
      </c>
    </row>
    <row r="5448" spans="1:6" x14ac:dyDescent="0.25">
      <c r="A5448" s="1">
        <v>45078</v>
      </c>
      <c r="B5448" t="s">
        <v>23</v>
      </c>
      <c r="C5448" t="s">
        <v>657</v>
      </c>
      <c r="D5448">
        <v>0</v>
      </c>
      <c r="E5448">
        <v>0</v>
      </c>
      <c r="F5448">
        <v>0</v>
      </c>
    </row>
    <row r="5449" spans="1:6" x14ac:dyDescent="0.25">
      <c r="A5449" s="1">
        <v>45078</v>
      </c>
      <c r="B5449" t="s">
        <v>40</v>
      </c>
      <c r="C5449" t="s">
        <v>666</v>
      </c>
      <c r="D5449" s="2">
        <v>50000</v>
      </c>
      <c r="E5449" s="2">
        <v>13279.33</v>
      </c>
      <c r="F5449" s="2">
        <v>13279.33</v>
      </c>
    </row>
    <row r="5450" spans="1:6" x14ac:dyDescent="0.25">
      <c r="A5450" s="1">
        <v>45078</v>
      </c>
      <c r="B5450" t="s">
        <v>55</v>
      </c>
      <c r="C5450" t="s">
        <v>56</v>
      </c>
      <c r="D5450">
        <v>0</v>
      </c>
      <c r="E5450">
        <v>0</v>
      </c>
      <c r="F5450">
        <v>0</v>
      </c>
    </row>
    <row r="5451" spans="1:6" x14ac:dyDescent="0.25">
      <c r="A5451" s="1">
        <v>45078</v>
      </c>
      <c r="B5451" t="s">
        <v>23</v>
      </c>
      <c r="C5451" t="s">
        <v>131</v>
      </c>
      <c r="D5451" s="2">
        <v>102250.86</v>
      </c>
      <c r="E5451" s="2">
        <v>315954.64</v>
      </c>
      <c r="F5451" s="2">
        <v>284087.92</v>
      </c>
    </row>
    <row r="5452" spans="1:6" x14ac:dyDescent="0.25">
      <c r="A5452" s="1">
        <v>45078</v>
      </c>
      <c r="B5452" t="s">
        <v>23</v>
      </c>
      <c r="C5452" t="s">
        <v>203</v>
      </c>
      <c r="D5452">
        <v>0</v>
      </c>
      <c r="E5452">
        <v>0</v>
      </c>
      <c r="F5452">
        <v>0</v>
      </c>
    </row>
    <row r="5453" spans="1:6" x14ac:dyDescent="0.25">
      <c r="A5453" s="1">
        <v>45078</v>
      </c>
      <c r="B5453" t="s">
        <v>17</v>
      </c>
      <c r="C5453" t="s">
        <v>1051</v>
      </c>
      <c r="D5453" s="2">
        <v>500000</v>
      </c>
      <c r="E5453">
        <v>0</v>
      </c>
      <c r="F5453" s="2">
        <v>9600000</v>
      </c>
    </row>
    <row r="5454" spans="1:6" x14ac:dyDescent="0.25">
      <c r="A5454" s="1">
        <v>45078</v>
      </c>
      <c r="B5454" t="s">
        <v>101</v>
      </c>
      <c r="C5454" t="s">
        <v>849</v>
      </c>
      <c r="D5454" s="2">
        <v>1106941.6200000001</v>
      </c>
      <c r="E5454" s="2">
        <v>26047.64</v>
      </c>
      <c r="F5454" s="2">
        <v>26047.64</v>
      </c>
    </row>
    <row r="5455" spans="1:6" x14ac:dyDescent="0.25">
      <c r="A5455" s="1">
        <v>45078</v>
      </c>
      <c r="B5455" t="s">
        <v>187</v>
      </c>
      <c r="C5455" t="s">
        <v>812</v>
      </c>
      <c r="D5455" s="2">
        <v>8277403.4800000004</v>
      </c>
      <c r="E5455" s="2">
        <v>5124715.4400000004</v>
      </c>
      <c r="F5455" s="2">
        <v>4043235.82</v>
      </c>
    </row>
    <row r="5456" spans="1:6" x14ac:dyDescent="0.25">
      <c r="A5456" s="1">
        <v>45078</v>
      </c>
      <c r="B5456" t="s">
        <v>44</v>
      </c>
      <c r="C5456" t="s">
        <v>45</v>
      </c>
      <c r="D5456" s="2">
        <v>16000</v>
      </c>
      <c r="E5456" s="2">
        <v>22424.61</v>
      </c>
      <c r="F5456" s="2">
        <v>22424.61</v>
      </c>
    </row>
    <row r="5457" spans="1:6" x14ac:dyDescent="0.25">
      <c r="A5457" s="1">
        <v>45078</v>
      </c>
      <c r="B5457" t="s">
        <v>21</v>
      </c>
      <c r="C5457" t="s">
        <v>562</v>
      </c>
      <c r="D5457" s="2">
        <v>8146477.2300000004</v>
      </c>
      <c r="E5457" s="2">
        <v>9932015.3200000003</v>
      </c>
      <c r="F5457" s="2">
        <v>10234182.449999999</v>
      </c>
    </row>
    <row r="5458" spans="1:6" x14ac:dyDescent="0.25">
      <c r="A5458" s="1">
        <v>45078</v>
      </c>
      <c r="B5458" t="s">
        <v>40</v>
      </c>
      <c r="C5458" t="s">
        <v>923</v>
      </c>
      <c r="D5458" s="2">
        <v>3600451.17</v>
      </c>
      <c r="E5458" s="2">
        <v>3802539.37</v>
      </c>
      <c r="F5458" s="2">
        <v>3800671.89</v>
      </c>
    </row>
    <row r="5459" spans="1:6" x14ac:dyDescent="0.25">
      <c r="A5459" s="1">
        <v>45078</v>
      </c>
      <c r="B5459" t="s">
        <v>9</v>
      </c>
      <c r="C5459" t="s">
        <v>10</v>
      </c>
      <c r="D5459">
        <v>0</v>
      </c>
      <c r="E5459">
        <v>0</v>
      </c>
      <c r="F5459">
        <v>0</v>
      </c>
    </row>
    <row r="5460" spans="1:6" x14ac:dyDescent="0.25">
      <c r="A5460" s="1">
        <v>45078</v>
      </c>
      <c r="B5460" t="s">
        <v>114</v>
      </c>
      <c r="C5460" t="s">
        <v>764</v>
      </c>
      <c r="D5460" s="2">
        <v>619594.72</v>
      </c>
      <c r="E5460" s="2">
        <v>11464782.74</v>
      </c>
      <c r="F5460" s="2">
        <v>13155860.109999999</v>
      </c>
    </row>
    <row r="5461" spans="1:6" x14ac:dyDescent="0.25">
      <c r="A5461" s="1">
        <v>45078</v>
      </c>
      <c r="B5461" t="s">
        <v>15</v>
      </c>
      <c r="C5461" t="s">
        <v>614</v>
      </c>
      <c r="D5461">
        <v>0</v>
      </c>
      <c r="E5461" s="2">
        <v>3547027.8</v>
      </c>
      <c r="F5461" s="2">
        <v>3538591.8</v>
      </c>
    </row>
    <row r="5462" spans="1:6" x14ac:dyDescent="0.25">
      <c r="A5462" s="1">
        <v>45078</v>
      </c>
      <c r="B5462" t="s">
        <v>114</v>
      </c>
      <c r="C5462" t="s">
        <v>882</v>
      </c>
      <c r="D5462" s="2">
        <v>635249.48</v>
      </c>
      <c r="E5462">
        <v>0</v>
      </c>
      <c r="F5462">
        <v>0</v>
      </c>
    </row>
    <row r="5463" spans="1:6" x14ac:dyDescent="0.25">
      <c r="A5463" s="1">
        <v>45078</v>
      </c>
      <c r="B5463" t="s">
        <v>21</v>
      </c>
      <c r="C5463" t="s">
        <v>757</v>
      </c>
      <c r="D5463">
        <v>0</v>
      </c>
      <c r="E5463" s="2">
        <v>1622418.63</v>
      </c>
      <c r="F5463" s="2">
        <v>1461578.63</v>
      </c>
    </row>
    <row r="5464" spans="1:6" x14ac:dyDescent="0.25">
      <c r="A5464" s="1">
        <v>45078</v>
      </c>
      <c r="B5464" t="s">
        <v>23</v>
      </c>
      <c r="C5464" t="s">
        <v>496</v>
      </c>
      <c r="D5464" s="2">
        <v>7054863.9900000002</v>
      </c>
      <c r="E5464" s="2">
        <v>397556.21</v>
      </c>
      <c r="F5464" s="2">
        <v>1767336.06</v>
      </c>
    </row>
    <row r="5465" spans="1:6" x14ac:dyDescent="0.25">
      <c r="A5465" s="1">
        <v>45078</v>
      </c>
      <c r="B5465" t="s">
        <v>490</v>
      </c>
      <c r="C5465" t="s">
        <v>491</v>
      </c>
      <c r="D5465" s="2">
        <v>27284610.210000001</v>
      </c>
      <c r="E5465" s="2">
        <v>36895664.520000003</v>
      </c>
      <c r="F5465" s="2">
        <v>36895664.520000003</v>
      </c>
    </row>
    <row r="5466" spans="1:6" x14ac:dyDescent="0.25">
      <c r="A5466" s="1">
        <v>45078</v>
      </c>
      <c r="B5466" t="s">
        <v>422</v>
      </c>
      <c r="C5466" t="s">
        <v>1035</v>
      </c>
      <c r="D5466" s="2">
        <v>620000000</v>
      </c>
      <c r="E5466" s="2">
        <v>606785471</v>
      </c>
      <c r="F5466" s="2">
        <v>606785471</v>
      </c>
    </row>
    <row r="5467" spans="1:6" x14ac:dyDescent="0.25">
      <c r="A5467" s="1">
        <v>45078</v>
      </c>
      <c r="B5467" t="s">
        <v>821</v>
      </c>
      <c r="C5467" t="s">
        <v>822</v>
      </c>
      <c r="D5467" s="2">
        <v>136032.32999999999</v>
      </c>
      <c r="E5467" s="2">
        <v>253090.95</v>
      </c>
      <c r="F5467" s="2">
        <v>241658.42</v>
      </c>
    </row>
    <row r="5468" spans="1:6" x14ac:dyDescent="0.25">
      <c r="A5468" s="1">
        <v>45078</v>
      </c>
      <c r="B5468" t="s">
        <v>63</v>
      </c>
      <c r="C5468" t="s">
        <v>1135</v>
      </c>
      <c r="D5468">
        <v>0</v>
      </c>
      <c r="E5468" s="2">
        <v>5562.26</v>
      </c>
      <c r="F5468" s="2">
        <v>5562.26</v>
      </c>
    </row>
    <row r="5469" spans="1:6" x14ac:dyDescent="0.25">
      <c r="A5469" s="1">
        <v>45078</v>
      </c>
      <c r="B5469" t="s">
        <v>42</v>
      </c>
      <c r="C5469" t="s">
        <v>670</v>
      </c>
      <c r="D5469">
        <v>0</v>
      </c>
      <c r="E5469" s="2">
        <v>568126.65</v>
      </c>
      <c r="F5469" s="2">
        <v>613665.34</v>
      </c>
    </row>
    <row r="5470" spans="1:6" x14ac:dyDescent="0.25">
      <c r="A5470" s="1">
        <v>45078</v>
      </c>
      <c r="B5470" t="s">
        <v>31</v>
      </c>
      <c r="C5470" t="s">
        <v>833</v>
      </c>
      <c r="D5470">
        <v>0</v>
      </c>
      <c r="E5470">
        <v>0</v>
      </c>
      <c r="F5470">
        <v>0</v>
      </c>
    </row>
    <row r="5471" spans="1:6" x14ac:dyDescent="0.25">
      <c r="A5471" s="1">
        <v>45078</v>
      </c>
      <c r="B5471" t="s">
        <v>263</v>
      </c>
      <c r="C5471" t="s">
        <v>741</v>
      </c>
      <c r="D5471">
        <v>0</v>
      </c>
      <c r="E5471" s="2">
        <v>210326.72</v>
      </c>
      <c r="F5471" s="2">
        <v>210326.72</v>
      </c>
    </row>
    <row r="5472" spans="1:6" x14ac:dyDescent="0.25">
      <c r="A5472" s="1">
        <v>45078</v>
      </c>
      <c r="B5472" t="s">
        <v>278</v>
      </c>
      <c r="C5472" t="s">
        <v>340</v>
      </c>
      <c r="D5472" s="2">
        <v>-1155000</v>
      </c>
      <c r="E5472" s="2">
        <v>218708.91</v>
      </c>
      <c r="F5472" s="2">
        <v>211288.06</v>
      </c>
    </row>
    <row r="5473" spans="1:6" x14ac:dyDescent="0.25">
      <c r="A5473" s="1">
        <v>45078</v>
      </c>
      <c r="B5473" t="s">
        <v>105</v>
      </c>
      <c r="C5473" t="s">
        <v>922</v>
      </c>
      <c r="D5473" s="2">
        <v>450000</v>
      </c>
      <c r="E5473">
        <v>0</v>
      </c>
      <c r="F5473">
        <v>0</v>
      </c>
    </row>
    <row r="5474" spans="1:6" x14ac:dyDescent="0.25">
      <c r="A5474" s="1">
        <v>45078</v>
      </c>
      <c r="B5474" t="s">
        <v>46</v>
      </c>
      <c r="C5474" t="s">
        <v>333</v>
      </c>
      <c r="D5474" s="2">
        <v>1600000</v>
      </c>
      <c r="E5474" s="2">
        <v>9102.5400000000009</v>
      </c>
      <c r="F5474" s="2">
        <v>9102.5400000000009</v>
      </c>
    </row>
    <row r="5475" spans="1:6" x14ac:dyDescent="0.25">
      <c r="A5475" s="1">
        <v>45078</v>
      </c>
      <c r="B5475" t="s">
        <v>25</v>
      </c>
      <c r="C5475" t="s">
        <v>1039</v>
      </c>
      <c r="D5475" s="2">
        <v>60424.1</v>
      </c>
      <c r="E5475" s="2">
        <v>85423.78</v>
      </c>
      <c r="F5475" s="2">
        <v>92050.240000000005</v>
      </c>
    </row>
    <row r="5476" spans="1:6" x14ac:dyDescent="0.25">
      <c r="A5476" s="1">
        <v>45078</v>
      </c>
      <c r="B5476" t="s">
        <v>7</v>
      </c>
      <c r="C5476" t="s">
        <v>124</v>
      </c>
      <c r="D5476">
        <v>0</v>
      </c>
      <c r="E5476" s="2">
        <v>8591394.6999999993</v>
      </c>
      <c r="F5476" s="2">
        <v>8591394.6999999993</v>
      </c>
    </row>
    <row r="5477" spans="1:6" x14ac:dyDescent="0.25">
      <c r="A5477" s="1">
        <v>45078</v>
      </c>
      <c r="B5477" t="s">
        <v>46</v>
      </c>
      <c r="C5477" t="s">
        <v>618</v>
      </c>
      <c r="D5477" s="2">
        <v>387073325.57999998</v>
      </c>
      <c r="E5477" s="2">
        <v>139081770.84</v>
      </c>
      <c r="F5477" s="2">
        <v>129719689.22</v>
      </c>
    </row>
    <row r="5478" spans="1:6" x14ac:dyDescent="0.25">
      <c r="A5478" s="1">
        <v>45078</v>
      </c>
      <c r="B5478" t="s">
        <v>23</v>
      </c>
      <c r="C5478" t="s">
        <v>575</v>
      </c>
      <c r="D5478" s="2">
        <v>116291049.13</v>
      </c>
      <c r="E5478" s="2">
        <v>30766553.27</v>
      </c>
      <c r="F5478" s="2">
        <v>30651253.27</v>
      </c>
    </row>
    <row r="5479" spans="1:6" x14ac:dyDescent="0.25">
      <c r="A5479" s="1">
        <v>45078</v>
      </c>
      <c r="B5479" t="s">
        <v>23</v>
      </c>
      <c r="C5479" t="s">
        <v>248</v>
      </c>
      <c r="D5479" s="2">
        <v>8731961.6699999999</v>
      </c>
      <c r="E5479" s="2">
        <v>400000</v>
      </c>
      <c r="F5479" s="2">
        <v>588925.18000000005</v>
      </c>
    </row>
    <row r="5480" spans="1:6" x14ac:dyDescent="0.25">
      <c r="A5480" s="1">
        <v>45078</v>
      </c>
      <c r="B5480" t="s">
        <v>42</v>
      </c>
      <c r="C5480" t="s">
        <v>893</v>
      </c>
      <c r="D5480" s="2">
        <v>812081736.91999996</v>
      </c>
      <c r="E5480" s="2">
        <v>485497697.87</v>
      </c>
      <c r="F5480" s="2">
        <v>485497697.87</v>
      </c>
    </row>
    <row r="5481" spans="1:6" x14ac:dyDescent="0.25">
      <c r="A5481" s="1">
        <v>45078</v>
      </c>
      <c r="B5481" t="s">
        <v>23</v>
      </c>
      <c r="C5481" t="s">
        <v>779</v>
      </c>
      <c r="D5481" s="2">
        <v>81917.41</v>
      </c>
      <c r="E5481" s="2">
        <v>124634.47</v>
      </c>
      <c r="F5481" s="2">
        <v>745495.49</v>
      </c>
    </row>
    <row r="5482" spans="1:6" x14ac:dyDescent="0.25">
      <c r="A5482" s="1">
        <v>45078</v>
      </c>
      <c r="B5482" t="s">
        <v>40</v>
      </c>
      <c r="C5482" t="s">
        <v>692</v>
      </c>
      <c r="D5482">
        <v>0</v>
      </c>
      <c r="E5482">
        <v>0</v>
      </c>
      <c r="F5482">
        <v>0</v>
      </c>
    </row>
    <row r="5483" spans="1:6" x14ac:dyDescent="0.25">
      <c r="A5483" s="1">
        <v>45078</v>
      </c>
      <c r="B5483" t="s">
        <v>98</v>
      </c>
      <c r="C5483" t="s">
        <v>956</v>
      </c>
      <c r="D5483">
        <v>0</v>
      </c>
      <c r="E5483">
        <v>0</v>
      </c>
      <c r="F5483">
        <v>0</v>
      </c>
    </row>
    <row r="5484" spans="1:6" x14ac:dyDescent="0.25">
      <c r="A5484" s="1">
        <v>45078</v>
      </c>
      <c r="B5484" t="s">
        <v>27</v>
      </c>
      <c r="C5484" t="s">
        <v>983</v>
      </c>
      <c r="D5484" s="2">
        <v>57530.23</v>
      </c>
      <c r="E5484">
        <v>0</v>
      </c>
      <c r="F5484">
        <v>0</v>
      </c>
    </row>
    <row r="5485" spans="1:6" x14ac:dyDescent="0.25">
      <c r="A5485" s="1">
        <v>45078</v>
      </c>
      <c r="B5485" t="s">
        <v>40</v>
      </c>
      <c r="C5485" t="s">
        <v>457</v>
      </c>
      <c r="D5485" s="2">
        <v>16589101.890000001</v>
      </c>
      <c r="E5485" s="2">
        <v>20658823.940000001</v>
      </c>
      <c r="F5485" s="2">
        <v>16708421.529999999</v>
      </c>
    </row>
    <row r="5486" spans="1:6" x14ac:dyDescent="0.25">
      <c r="A5486" s="1">
        <v>45078</v>
      </c>
      <c r="B5486" t="s">
        <v>21</v>
      </c>
      <c r="C5486" t="s">
        <v>191</v>
      </c>
      <c r="D5486">
        <v>0</v>
      </c>
      <c r="E5486" s="2">
        <v>2033863.86</v>
      </c>
      <c r="F5486" s="2">
        <v>1885213.22</v>
      </c>
    </row>
    <row r="5487" spans="1:6" x14ac:dyDescent="0.25">
      <c r="A5487" s="1">
        <v>45078</v>
      </c>
      <c r="B5487" t="s">
        <v>1290</v>
      </c>
      <c r="C5487" t="s">
        <v>868</v>
      </c>
      <c r="D5487">
        <v>0</v>
      </c>
      <c r="E5487">
        <v>0</v>
      </c>
      <c r="F5487">
        <v>0</v>
      </c>
    </row>
    <row r="5488" spans="1:6" x14ac:dyDescent="0.25">
      <c r="A5488" s="1">
        <v>45078</v>
      </c>
      <c r="B5488" t="s">
        <v>98</v>
      </c>
      <c r="C5488" t="s">
        <v>413</v>
      </c>
      <c r="D5488">
        <v>0</v>
      </c>
      <c r="E5488">
        <v>0</v>
      </c>
      <c r="F5488">
        <v>0</v>
      </c>
    </row>
    <row r="5489" spans="1:6" x14ac:dyDescent="0.25">
      <c r="A5489" s="1">
        <v>45078</v>
      </c>
      <c r="B5489" t="s">
        <v>21</v>
      </c>
      <c r="C5489" t="s">
        <v>790</v>
      </c>
      <c r="D5489" s="2">
        <v>1010310.2</v>
      </c>
      <c r="E5489" s="2">
        <v>11033205.529999999</v>
      </c>
      <c r="F5489" s="2">
        <v>10080724.02</v>
      </c>
    </row>
    <row r="5490" spans="1:6" x14ac:dyDescent="0.25">
      <c r="A5490" s="1">
        <v>45078</v>
      </c>
      <c r="B5490" t="s">
        <v>162</v>
      </c>
      <c r="C5490" t="s">
        <v>376</v>
      </c>
      <c r="D5490">
        <v>0</v>
      </c>
      <c r="E5490">
        <v>0</v>
      </c>
      <c r="F5490">
        <v>0</v>
      </c>
    </row>
    <row r="5491" spans="1:6" x14ac:dyDescent="0.25">
      <c r="A5491" s="1">
        <v>45078</v>
      </c>
      <c r="B5491" t="s">
        <v>40</v>
      </c>
      <c r="C5491" t="s">
        <v>1082</v>
      </c>
      <c r="D5491">
        <v>0</v>
      </c>
      <c r="E5491" s="2">
        <v>67540</v>
      </c>
      <c r="F5491" s="2">
        <v>125540.42</v>
      </c>
    </row>
    <row r="5492" spans="1:6" x14ac:dyDescent="0.25">
      <c r="A5492" s="1">
        <v>45078</v>
      </c>
      <c r="B5492" t="s">
        <v>40</v>
      </c>
      <c r="C5492" t="s">
        <v>450</v>
      </c>
      <c r="D5492" s="2">
        <v>45768.160000000003</v>
      </c>
      <c r="E5492" s="2">
        <v>495128.13</v>
      </c>
      <c r="F5492" s="2">
        <v>519018.77</v>
      </c>
    </row>
    <row r="5493" spans="1:6" x14ac:dyDescent="0.25">
      <c r="A5493" s="1">
        <v>45078</v>
      </c>
      <c r="B5493" t="s">
        <v>162</v>
      </c>
      <c r="C5493" t="s">
        <v>291</v>
      </c>
      <c r="D5493" s="2">
        <v>188129850.33000001</v>
      </c>
      <c r="E5493" s="2">
        <v>174854641.55000001</v>
      </c>
      <c r="F5493" s="2">
        <v>109323253.23999999</v>
      </c>
    </row>
    <row r="5494" spans="1:6" x14ac:dyDescent="0.25">
      <c r="A5494" s="1">
        <v>45078</v>
      </c>
      <c r="B5494" t="s">
        <v>25</v>
      </c>
      <c r="C5494" t="s">
        <v>703</v>
      </c>
      <c r="D5494" s="2">
        <v>264381.49</v>
      </c>
      <c r="E5494" s="2">
        <v>333414.11</v>
      </c>
      <c r="F5494" s="2">
        <v>341610.3</v>
      </c>
    </row>
    <row r="5495" spans="1:6" x14ac:dyDescent="0.25">
      <c r="A5495" s="1">
        <v>45078</v>
      </c>
      <c r="B5495" t="s">
        <v>40</v>
      </c>
      <c r="C5495" t="s">
        <v>604</v>
      </c>
      <c r="D5495">
        <v>0</v>
      </c>
      <c r="E5495" s="2">
        <v>117352336.67</v>
      </c>
      <c r="F5495" s="2">
        <v>84208821.659999996</v>
      </c>
    </row>
    <row r="5496" spans="1:6" x14ac:dyDescent="0.25">
      <c r="A5496" s="1">
        <v>45078</v>
      </c>
      <c r="B5496" t="s">
        <v>40</v>
      </c>
      <c r="C5496" t="s">
        <v>449</v>
      </c>
      <c r="D5496" s="2">
        <v>-447137.72</v>
      </c>
      <c r="E5496" s="2">
        <v>796886.75</v>
      </c>
      <c r="F5496" s="2">
        <v>722316.37</v>
      </c>
    </row>
    <row r="5497" spans="1:6" x14ac:dyDescent="0.25">
      <c r="A5497" s="1">
        <v>45078</v>
      </c>
      <c r="B5497" t="s">
        <v>40</v>
      </c>
      <c r="C5497" t="s">
        <v>606</v>
      </c>
      <c r="D5497" s="2">
        <v>77450936.849999994</v>
      </c>
      <c r="E5497" s="2">
        <v>20900387.260000002</v>
      </c>
      <c r="F5497" s="2">
        <v>24912803.789999999</v>
      </c>
    </row>
    <row r="5498" spans="1:6" x14ac:dyDescent="0.25">
      <c r="A5498" s="1">
        <v>45078</v>
      </c>
      <c r="B5498" t="s">
        <v>17</v>
      </c>
      <c r="C5498" t="s">
        <v>327</v>
      </c>
      <c r="D5498" s="2">
        <v>100000</v>
      </c>
      <c r="E5498" s="2">
        <v>34716.86</v>
      </c>
      <c r="F5498" s="2">
        <v>34716.86</v>
      </c>
    </row>
    <row r="5499" spans="1:6" x14ac:dyDescent="0.25">
      <c r="A5499" s="1">
        <v>45078</v>
      </c>
      <c r="B5499" t="s">
        <v>159</v>
      </c>
      <c r="C5499" t="s">
        <v>160</v>
      </c>
      <c r="D5499" s="2">
        <v>675250.93</v>
      </c>
      <c r="E5499" s="2">
        <v>675250.93</v>
      </c>
      <c r="F5499" s="2">
        <v>675250.93</v>
      </c>
    </row>
    <row r="5500" spans="1:6" x14ac:dyDescent="0.25">
      <c r="A5500" s="1">
        <v>45078</v>
      </c>
      <c r="B5500" t="s">
        <v>398</v>
      </c>
      <c r="C5500" t="s">
        <v>826</v>
      </c>
      <c r="D5500" s="2">
        <v>5137556.13</v>
      </c>
      <c r="E5500" s="2">
        <v>680242.98</v>
      </c>
      <c r="F5500" s="2">
        <v>641851.24</v>
      </c>
    </row>
    <row r="5501" spans="1:6" x14ac:dyDescent="0.25">
      <c r="A5501" s="1">
        <v>45078</v>
      </c>
      <c r="B5501" t="s">
        <v>101</v>
      </c>
      <c r="C5501" t="s">
        <v>203</v>
      </c>
      <c r="D5501" s="2">
        <v>148052916</v>
      </c>
      <c r="E5501">
        <v>0</v>
      </c>
      <c r="F5501">
        <v>0</v>
      </c>
    </row>
    <row r="5502" spans="1:6" x14ac:dyDescent="0.25">
      <c r="A5502" s="1">
        <v>45078</v>
      </c>
      <c r="B5502" t="s">
        <v>288</v>
      </c>
      <c r="C5502" t="s">
        <v>390</v>
      </c>
      <c r="D5502" s="2">
        <v>100000</v>
      </c>
      <c r="E5502" s="2">
        <v>106956.33</v>
      </c>
      <c r="F5502" s="2">
        <v>106956.33</v>
      </c>
    </row>
    <row r="5503" spans="1:6" x14ac:dyDescent="0.25">
      <c r="A5503" s="1">
        <v>45078</v>
      </c>
      <c r="B5503" t="s">
        <v>9</v>
      </c>
      <c r="C5503" t="s">
        <v>667</v>
      </c>
      <c r="D5503" s="2">
        <v>71372.81</v>
      </c>
      <c r="E5503" s="2">
        <v>46084.5</v>
      </c>
      <c r="F5503" s="2">
        <v>57069.5</v>
      </c>
    </row>
    <row r="5504" spans="1:6" x14ac:dyDescent="0.25">
      <c r="A5504" s="1">
        <v>45078</v>
      </c>
      <c r="B5504" t="s">
        <v>37</v>
      </c>
      <c r="C5504" t="s">
        <v>784</v>
      </c>
      <c r="D5504" s="2">
        <v>301836.23</v>
      </c>
      <c r="E5504" s="2">
        <v>800128.11</v>
      </c>
      <c r="F5504" s="2">
        <v>834261.99</v>
      </c>
    </row>
    <row r="5505" spans="1:6" x14ac:dyDescent="0.25">
      <c r="A5505" s="1">
        <v>45078</v>
      </c>
      <c r="B5505" t="s">
        <v>79</v>
      </c>
      <c r="C5505" t="s">
        <v>80</v>
      </c>
      <c r="D5505">
        <v>0</v>
      </c>
      <c r="E5505">
        <v>0</v>
      </c>
      <c r="F5505">
        <v>0</v>
      </c>
    </row>
    <row r="5506" spans="1:6" x14ac:dyDescent="0.25">
      <c r="A5506" s="1">
        <v>45078</v>
      </c>
      <c r="B5506" t="s">
        <v>92</v>
      </c>
      <c r="C5506" t="s">
        <v>465</v>
      </c>
      <c r="D5506" s="2">
        <v>195664.1</v>
      </c>
      <c r="E5506" s="2">
        <v>147996.5</v>
      </c>
      <c r="F5506" s="2">
        <v>147996.5</v>
      </c>
    </row>
    <row r="5507" spans="1:6" x14ac:dyDescent="0.25">
      <c r="A5507" s="1">
        <v>45078</v>
      </c>
      <c r="B5507" t="s">
        <v>55</v>
      </c>
      <c r="C5507" t="s">
        <v>1244</v>
      </c>
      <c r="D5507">
        <v>0</v>
      </c>
      <c r="E5507">
        <v>0</v>
      </c>
      <c r="F5507">
        <v>0</v>
      </c>
    </row>
    <row r="5508" spans="1:6" x14ac:dyDescent="0.25">
      <c r="A5508" s="1">
        <v>45078</v>
      </c>
      <c r="B5508" t="s">
        <v>48</v>
      </c>
      <c r="C5508" t="s">
        <v>1104</v>
      </c>
      <c r="D5508" s="2">
        <v>-2171707.46</v>
      </c>
      <c r="E5508">
        <v>0</v>
      </c>
      <c r="F5508">
        <v>0</v>
      </c>
    </row>
    <row r="5509" spans="1:6" x14ac:dyDescent="0.25">
      <c r="A5509" s="1">
        <v>45078</v>
      </c>
      <c r="B5509" t="s">
        <v>19</v>
      </c>
      <c r="C5509" t="s">
        <v>156</v>
      </c>
      <c r="D5509" s="2">
        <v>45000</v>
      </c>
      <c r="E5509" s="2">
        <v>64168.86</v>
      </c>
      <c r="F5509" s="2">
        <v>45370.79</v>
      </c>
    </row>
    <row r="5510" spans="1:6" x14ac:dyDescent="0.25">
      <c r="A5510" s="1">
        <v>45078</v>
      </c>
      <c r="B5510" t="s">
        <v>162</v>
      </c>
      <c r="C5510" t="s">
        <v>178</v>
      </c>
      <c r="D5510" s="2">
        <v>109974431.02</v>
      </c>
      <c r="E5510" s="2">
        <v>109801874.88</v>
      </c>
      <c r="F5510" s="2">
        <v>109801874.88</v>
      </c>
    </row>
    <row r="5511" spans="1:6" x14ac:dyDescent="0.25">
      <c r="A5511" s="1">
        <v>45078</v>
      </c>
      <c r="B5511" t="s">
        <v>23</v>
      </c>
      <c r="C5511" t="s">
        <v>776</v>
      </c>
      <c r="D5511" s="2">
        <v>54406170.43</v>
      </c>
      <c r="E5511" s="2">
        <v>11322132.23</v>
      </c>
      <c r="F5511" s="2">
        <v>7994263.9299999997</v>
      </c>
    </row>
    <row r="5512" spans="1:6" x14ac:dyDescent="0.25">
      <c r="A5512" s="1">
        <v>45078</v>
      </c>
      <c r="B5512" t="s">
        <v>23</v>
      </c>
      <c r="C5512" t="s">
        <v>761</v>
      </c>
      <c r="D5512" s="2">
        <v>124455564.34</v>
      </c>
      <c r="E5512" s="2">
        <v>77872111.510000005</v>
      </c>
      <c r="F5512" s="2">
        <v>107071974.06</v>
      </c>
    </row>
    <row r="5513" spans="1:6" x14ac:dyDescent="0.25">
      <c r="A5513" s="1">
        <v>45078</v>
      </c>
      <c r="B5513" t="s">
        <v>118</v>
      </c>
      <c r="C5513" t="s">
        <v>419</v>
      </c>
      <c r="D5513" s="2">
        <v>5080261.68</v>
      </c>
      <c r="E5513" s="2">
        <v>122764.81</v>
      </c>
      <c r="F5513" s="2">
        <v>109866.68</v>
      </c>
    </row>
    <row r="5514" spans="1:6" x14ac:dyDescent="0.25">
      <c r="A5514" s="1">
        <v>45078</v>
      </c>
      <c r="B5514" t="s">
        <v>40</v>
      </c>
      <c r="C5514" t="s">
        <v>1141</v>
      </c>
      <c r="D5514">
        <v>0</v>
      </c>
      <c r="E5514">
        <v>0</v>
      </c>
      <c r="F5514">
        <v>0</v>
      </c>
    </row>
    <row r="5515" spans="1:6" x14ac:dyDescent="0.25">
      <c r="A5515" s="1">
        <v>45078</v>
      </c>
      <c r="B5515" t="s">
        <v>282</v>
      </c>
      <c r="C5515" t="s">
        <v>392</v>
      </c>
      <c r="D5515">
        <v>0</v>
      </c>
      <c r="E5515" s="2">
        <v>2796682.63</v>
      </c>
      <c r="F5515" s="2">
        <v>2796682.63</v>
      </c>
    </row>
    <row r="5516" spans="1:6" x14ac:dyDescent="0.25">
      <c r="A5516" s="1">
        <v>45078</v>
      </c>
      <c r="B5516" t="s">
        <v>21</v>
      </c>
      <c r="C5516" t="s">
        <v>173</v>
      </c>
      <c r="D5516">
        <v>0</v>
      </c>
      <c r="E5516" s="2">
        <v>106806.88</v>
      </c>
      <c r="F5516" s="2">
        <v>113757.73</v>
      </c>
    </row>
    <row r="5517" spans="1:6" x14ac:dyDescent="0.25">
      <c r="A5517" s="1">
        <v>45078</v>
      </c>
      <c r="B5517" t="s">
        <v>9</v>
      </c>
      <c r="C5517" t="s">
        <v>663</v>
      </c>
      <c r="D5517" s="2">
        <v>9942359.1500000004</v>
      </c>
      <c r="E5517" s="2">
        <v>7034203.3399999999</v>
      </c>
      <c r="F5517" s="2">
        <v>6986264.4800000004</v>
      </c>
    </row>
    <row r="5518" spans="1:6" x14ac:dyDescent="0.25">
      <c r="A5518" s="1">
        <v>45078</v>
      </c>
      <c r="B5518" t="s">
        <v>263</v>
      </c>
      <c r="C5518" t="s">
        <v>745</v>
      </c>
      <c r="D5518" s="2">
        <v>36638455.329999998</v>
      </c>
      <c r="E5518" s="2">
        <v>5068830.62</v>
      </c>
      <c r="F5518" s="2">
        <v>1481379.46</v>
      </c>
    </row>
    <row r="5519" spans="1:6" x14ac:dyDescent="0.25">
      <c r="A5519" s="1">
        <v>45078</v>
      </c>
      <c r="B5519" t="s">
        <v>105</v>
      </c>
      <c r="C5519" t="s">
        <v>106</v>
      </c>
      <c r="D5519" s="2">
        <v>83303538.239999995</v>
      </c>
      <c r="E5519" s="2">
        <v>1000000</v>
      </c>
      <c r="F5519" s="2">
        <v>1000000</v>
      </c>
    </row>
    <row r="5520" spans="1:6" x14ac:dyDescent="0.25">
      <c r="A5520" s="1">
        <v>45078</v>
      </c>
      <c r="B5520" t="s">
        <v>48</v>
      </c>
      <c r="C5520" t="s">
        <v>1291</v>
      </c>
      <c r="D5520" s="2">
        <v>250000</v>
      </c>
      <c r="E5520" s="2">
        <v>232012.85</v>
      </c>
      <c r="F5520" s="2">
        <v>232012.85</v>
      </c>
    </row>
    <row r="5521" spans="1:6" x14ac:dyDescent="0.25">
      <c r="A5521" s="1">
        <v>45078</v>
      </c>
      <c r="B5521" t="s">
        <v>490</v>
      </c>
      <c r="C5521" t="s">
        <v>1009</v>
      </c>
      <c r="D5521">
        <v>0</v>
      </c>
      <c r="E5521">
        <v>0</v>
      </c>
      <c r="F5521">
        <v>0</v>
      </c>
    </row>
    <row r="5522" spans="1:6" x14ac:dyDescent="0.25">
      <c r="A5522" s="1">
        <v>45078</v>
      </c>
      <c r="B5522" t="s">
        <v>114</v>
      </c>
      <c r="C5522" t="s">
        <v>628</v>
      </c>
      <c r="D5522" s="2">
        <v>26500567.649999999</v>
      </c>
      <c r="E5522" s="2">
        <v>4501670.37</v>
      </c>
      <c r="F5522" s="2">
        <v>3867830.26</v>
      </c>
    </row>
    <row r="5523" spans="1:6" x14ac:dyDescent="0.25">
      <c r="A5523" s="1">
        <v>45078</v>
      </c>
      <c r="B5523" t="s">
        <v>35</v>
      </c>
      <c r="C5523" t="s">
        <v>293</v>
      </c>
      <c r="D5523" s="2">
        <v>22328049.870000001</v>
      </c>
      <c r="E5523" s="2">
        <v>1414631.55</v>
      </c>
      <c r="F5523" s="2">
        <v>1272553.69</v>
      </c>
    </row>
    <row r="5524" spans="1:6" x14ac:dyDescent="0.25">
      <c r="A5524" s="1">
        <v>45078</v>
      </c>
      <c r="B5524" t="s">
        <v>25</v>
      </c>
      <c r="C5524" t="s">
        <v>138</v>
      </c>
      <c r="D5524" s="2">
        <v>74272.399999999994</v>
      </c>
      <c r="E5524" s="2">
        <v>72562.73</v>
      </c>
      <c r="F5524" s="2">
        <v>79685.899999999994</v>
      </c>
    </row>
    <row r="5525" spans="1:6" x14ac:dyDescent="0.25">
      <c r="A5525" s="1">
        <v>45078</v>
      </c>
      <c r="B5525" t="s">
        <v>75</v>
      </c>
      <c r="C5525" t="s">
        <v>76</v>
      </c>
      <c r="D5525" s="2">
        <v>4588950.33</v>
      </c>
      <c r="E5525" s="2">
        <v>3991.6</v>
      </c>
      <c r="F5525" s="2">
        <v>3991.6</v>
      </c>
    </row>
    <row r="5526" spans="1:6" x14ac:dyDescent="0.25">
      <c r="A5526" s="1">
        <v>45078</v>
      </c>
      <c r="B5526" t="s">
        <v>23</v>
      </c>
      <c r="C5526" t="s">
        <v>633</v>
      </c>
      <c r="D5526" s="2">
        <v>43324520.82</v>
      </c>
      <c r="E5526" s="2">
        <v>880702.39</v>
      </c>
      <c r="F5526" s="2">
        <v>362799.1</v>
      </c>
    </row>
    <row r="5527" spans="1:6" x14ac:dyDescent="0.25">
      <c r="A5527" s="1">
        <v>45078</v>
      </c>
      <c r="B5527" t="s">
        <v>726</v>
      </c>
      <c r="C5527" t="s">
        <v>727</v>
      </c>
      <c r="D5527" s="2">
        <v>796644.82</v>
      </c>
      <c r="E5527" s="2">
        <v>1042245.28</v>
      </c>
      <c r="F5527" s="2">
        <v>1535732.25</v>
      </c>
    </row>
    <row r="5528" spans="1:6" x14ac:dyDescent="0.25">
      <c r="A5528" s="1">
        <v>45078</v>
      </c>
      <c r="B5528" t="s">
        <v>196</v>
      </c>
      <c r="C5528" t="s">
        <v>499</v>
      </c>
      <c r="D5528">
        <v>0</v>
      </c>
      <c r="E5528">
        <v>0</v>
      </c>
      <c r="F5528">
        <v>0</v>
      </c>
    </row>
    <row r="5529" spans="1:6" x14ac:dyDescent="0.25">
      <c r="A5529" s="1">
        <v>45078</v>
      </c>
      <c r="B5529" t="s">
        <v>118</v>
      </c>
      <c r="C5529" t="s">
        <v>569</v>
      </c>
      <c r="D5529">
        <v>0</v>
      </c>
      <c r="E5529">
        <v>0</v>
      </c>
      <c r="F5529" s="2">
        <v>17601.5</v>
      </c>
    </row>
    <row r="5530" spans="1:6" x14ac:dyDescent="0.25">
      <c r="A5530" s="1">
        <v>45078</v>
      </c>
      <c r="B5530" t="s">
        <v>21</v>
      </c>
      <c r="C5530" t="s">
        <v>470</v>
      </c>
      <c r="D5530" s="2">
        <v>1011186831.1</v>
      </c>
      <c r="E5530" s="2">
        <v>668868090.51999998</v>
      </c>
      <c r="F5530" s="2">
        <v>665026473.63</v>
      </c>
    </row>
    <row r="5531" spans="1:6" x14ac:dyDescent="0.25">
      <c r="A5531" s="1">
        <v>45078</v>
      </c>
      <c r="B5531" t="s">
        <v>27</v>
      </c>
      <c r="C5531" t="s">
        <v>788</v>
      </c>
      <c r="D5531" s="2">
        <v>169591.32</v>
      </c>
      <c r="E5531" s="2">
        <v>31161.18</v>
      </c>
      <c r="F5531" s="2">
        <v>25870.41</v>
      </c>
    </row>
    <row r="5532" spans="1:6" x14ac:dyDescent="0.25">
      <c r="A5532" s="1">
        <v>45078</v>
      </c>
      <c r="B5532" t="s">
        <v>40</v>
      </c>
      <c r="C5532" t="s">
        <v>440</v>
      </c>
      <c r="D5532" s="2">
        <v>294922.65999999997</v>
      </c>
      <c r="E5532" s="2">
        <v>730007.77</v>
      </c>
      <c r="F5532" s="2">
        <v>708412.5</v>
      </c>
    </row>
    <row r="5533" spans="1:6" x14ac:dyDescent="0.25">
      <c r="A5533" s="1">
        <v>45078</v>
      </c>
      <c r="B5533" t="s">
        <v>29</v>
      </c>
      <c r="C5533" t="s">
        <v>73</v>
      </c>
      <c r="D5533" s="2">
        <v>300000</v>
      </c>
      <c r="E5533" s="2">
        <v>109639732</v>
      </c>
      <c r="F5533" s="2">
        <v>109639732</v>
      </c>
    </row>
    <row r="5534" spans="1:6" x14ac:dyDescent="0.25">
      <c r="A5534" s="1">
        <v>45078</v>
      </c>
      <c r="B5534" t="s">
        <v>44</v>
      </c>
      <c r="C5534" t="s">
        <v>1115</v>
      </c>
      <c r="D5534" s="2">
        <v>129306.08</v>
      </c>
      <c r="E5534" s="2">
        <v>61426.97</v>
      </c>
      <c r="F5534" s="2">
        <v>65809.509999999995</v>
      </c>
    </row>
    <row r="5535" spans="1:6" x14ac:dyDescent="0.25">
      <c r="A5535" s="1">
        <v>45078</v>
      </c>
      <c r="B5535" t="s">
        <v>306</v>
      </c>
      <c r="C5535" t="s">
        <v>702</v>
      </c>
      <c r="D5535" s="2">
        <v>2431068.66</v>
      </c>
      <c r="E5535" s="2">
        <v>322789.3</v>
      </c>
      <c r="F5535" s="2">
        <v>383499.56</v>
      </c>
    </row>
    <row r="5536" spans="1:6" x14ac:dyDescent="0.25">
      <c r="A5536" s="1">
        <v>45078</v>
      </c>
      <c r="B5536" t="s">
        <v>40</v>
      </c>
      <c r="C5536" t="s">
        <v>1292</v>
      </c>
      <c r="D5536">
        <v>0</v>
      </c>
      <c r="E5536">
        <v>0</v>
      </c>
      <c r="F5536">
        <v>0</v>
      </c>
    </row>
    <row r="5537" spans="1:6" x14ac:dyDescent="0.25">
      <c r="A5537" s="1">
        <v>45078</v>
      </c>
      <c r="B5537" t="s">
        <v>355</v>
      </c>
      <c r="C5537" t="s">
        <v>417</v>
      </c>
      <c r="D5537" s="2">
        <v>2548470.54</v>
      </c>
      <c r="E5537">
        <v>0</v>
      </c>
      <c r="F5537">
        <v>0</v>
      </c>
    </row>
    <row r="5538" spans="1:6" x14ac:dyDescent="0.25">
      <c r="A5538" s="1">
        <v>45078</v>
      </c>
      <c r="B5538" t="s">
        <v>44</v>
      </c>
      <c r="C5538" t="s">
        <v>828</v>
      </c>
      <c r="D5538" s="2">
        <v>1817603.23</v>
      </c>
      <c r="E5538" s="2">
        <v>878114.35</v>
      </c>
      <c r="F5538" s="2">
        <v>917187.63</v>
      </c>
    </row>
    <row r="5539" spans="1:6" x14ac:dyDescent="0.25">
      <c r="A5539" s="1">
        <v>45078</v>
      </c>
      <c r="B5539" t="s">
        <v>50</v>
      </c>
      <c r="C5539" t="s">
        <v>287</v>
      </c>
      <c r="D5539" s="2">
        <v>60000</v>
      </c>
      <c r="E5539" s="2">
        <v>17550.72</v>
      </c>
      <c r="F5539" s="2">
        <v>32472.12</v>
      </c>
    </row>
    <row r="5540" spans="1:6" x14ac:dyDescent="0.25">
      <c r="A5540" s="1">
        <v>45078</v>
      </c>
      <c r="B5540" t="s">
        <v>98</v>
      </c>
      <c r="C5540" t="s">
        <v>469</v>
      </c>
      <c r="D5540">
        <v>0</v>
      </c>
      <c r="E5540">
        <v>0</v>
      </c>
      <c r="F5540">
        <v>0</v>
      </c>
    </row>
    <row r="5541" spans="1:6" x14ac:dyDescent="0.25">
      <c r="A5541" s="1">
        <v>45078</v>
      </c>
      <c r="B5541" t="s">
        <v>27</v>
      </c>
      <c r="C5541" t="s">
        <v>713</v>
      </c>
      <c r="D5541">
        <v>0</v>
      </c>
      <c r="E5541">
        <v>0</v>
      </c>
      <c r="F5541">
        <v>0</v>
      </c>
    </row>
    <row r="5542" spans="1:6" x14ac:dyDescent="0.25">
      <c r="A5542" s="1">
        <v>45078</v>
      </c>
      <c r="B5542" t="s">
        <v>27</v>
      </c>
      <c r="C5542" t="s">
        <v>902</v>
      </c>
      <c r="D5542" s="2">
        <v>11386630.119999999</v>
      </c>
      <c r="E5542" s="2">
        <v>4187187.7</v>
      </c>
      <c r="F5542" s="2">
        <v>4166474.12</v>
      </c>
    </row>
    <row r="5543" spans="1:6" x14ac:dyDescent="0.25">
      <c r="A5543" s="1">
        <v>45078</v>
      </c>
      <c r="B5543" t="s">
        <v>23</v>
      </c>
      <c r="C5543" t="s">
        <v>365</v>
      </c>
      <c r="D5543" s="2">
        <v>1857507.27</v>
      </c>
      <c r="E5543" s="2">
        <v>994813.3</v>
      </c>
      <c r="F5543" s="2">
        <v>897746.69</v>
      </c>
    </row>
    <row r="5544" spans="1:6" x14ac:dyDescent="0.25">
      <c r="A5544" s="1">
        <v>45078</v>
      </c>
      <c r="B5544" t="s">
        <v>118</v>
      </c>
      <c r="C5544" t="s">
        <v>511</v>
      </c>
      <c r="D5544" s="2">
        <v>134608.76999999999</v>
      </c>
      <c r="E5544" s="2">
        <v>92800.08</v>
      </c>
      <c r="F5544" s="2">
        <v>105079.89</v>
      </c>
    </row>
    <row r="5545" spans="1:6" x14ac:dyDescent="0.25">
      <c r="A5545" s="1">
        <v>45078</v>
      </c>
      <c r="B5545" t="s">
        <v>306</v>
      </c>
      <c r="C5545" t="s">
        <v>814</v>
      </c>
      <c r="D5545" s="2">
        <v>2671008.42</v>
      </c>
      <c r="E5545" s="2">
        <v>679986.23</v>
      </c>
      <c r="F5545" s="2">
        <v>506961.87</v>
      </c>
    </row>
    <row r="5546" spans="1:6" x14ac:dyDescent="0.25">
      <c r="A5546" s="1">
        <v>45078</v>
      </c>
      <c r="B5546" t="s">
        <v>251</v>
      </c>
      <c r="C5546" t="s">
        <v>1016</v>
      </c>
      <c r="D5546">
        <v>0</v>
      </c>
      <c r="E5546">
        <v>0</v>
      </c>
      <c r="F5546">
        <v>0</v>
      </c>
    </row>
    <row r="5547" spans="1:6" x14ac:dyDescent="0.25">
      <c r="A5547" s="1">
        <v>45078</v>
      </c>
      <c r="B5547" t="s">
        <v>35</v>
      </c>
      <c r="C5547" t="s">
        <v>632</v>
      </c>
      <c r="D5547" s="2">
        <v>273163.83</v>
      </c>
      <c r="E5547" s="2">
        <v>261109.44</v>
      </c>
      <c r="F5547" s="2">
        <v>257589.99</v>
      </c>
    </row>
    <row r="5548" spans="1:6" x14ac:dyDescent="0.25">
      <c r="A5548" s="1">
        <v>45078</v>
      </c>
      <c r="B5548" t="s">
        <v>17</v>
      </c>
      <c r="C5548" t="s">
        <v>350</v>
      </c>
      <c r="D5548" s="2">
        <v>27246645.390000001</v>
      </c>
      <c r="E5548" s="2">
        <v>14250616.369999999</v>
      </c>
      <c r="F5548" s="2">
        <v>100044669.63</v>
      </c>
    </row>
    <row r="5549" spans="1:6" x14ac:dyDescent="0.25">
      <c r="A5549" s="1">
        <v>45078</v>
      </c>
      <c r="B5549" t="s">
        <v>37</v>
      </c>
      <c r="C5549" t="s">
        <v>349</v>
      </c>
      <c r="D5549" s="2">
        <v>500000</v>
      </c>
      <c r="E5549" s="2">
        <v>5843120.2400000002</v>
      </c>
      <c r="F5549" s="2">
        <v>5843120.2400000002</v>
      </c>
    </row>
    <row r="5550" spans="1:6" x14ac:dyDescent="0.25">
      <c r="A5550" s="1">
        <v>45078</v>
      </c>
      <c r="B5550" t="s">
        <v>234</v>
      </c>
      <c r="C5550" t="s">
        <v>646</v>
      </c>
      <c r="D5550" s="2">
        <v>1779218.12</v>
      </c>
      <c r="E5550" s="2">
        <v>3036438</v>
      </c>
      <c r="F5550" s="2">
        <v>3041704.68</v>
      </c>
    </row>
    <row r="5551" spans="1:6" x14ac:dyDescent="0.25">
      <c r="A5551" s="1">
        <v>45078</v>
      </c>
      <c r="B5551" t="s">
        <v>726</v>
      </c>
      <c r="C5551" t="s">
        <v>789</v>
      </c>
      <c r="D5551" s="2">
        <v>3654890.15</v>
      </c>
      <c r="E5551" s="2">
        <v>3188982.44</v>
      </c>
      <c r="F5551" s="2">
        <v>3182278.95</v>
      </c>
    </row>
    <row r="5552" spans="1:6" x14ac:dyDescent="0.25">
      <c r="A5552" s="1">
        <v>45078</v>
      </c>
      <c r="B5552" t="s">
        <v>50</v>
      </c>
      <c r="C5552" t="s">
        <v>596</v>
      </c>
      <c r="D5552" s="2">
        <v>320100</v>
      </c>
      <c r="E5552" s="2">
        <v>207484.68</v>
      </c>
      <c r="F5552" s="2">
        <v>207484.68</v>
      </c>
    </row>
    <row r="5553" spans="1:6" x14ac:dyDescent="0.25">
      <c r="A5553" s="1">
        <v>45078</v>
      </c>
      <c r="B5553" t="s">
        <v>17</v>
      </c>
      <c r="C5553" t="s">
        <v>477</v>
      </c>
      <c r="D5553">
        <v>0</v>
      </c>
      <c r="E5553">
        <v>0</v>
      </c>
      <c r="F5553">
        <v>0</v>
      </c>
    </row>
    <row r="5554" spans="1:6" x14ac:dyDescent="0.25">
      <c r="A5554" s="1">
        <v>45078</v>
      </c>
      <c r="B5554" t="s">
        <v>23</v>
      </c>
      <c r="C5554" t="s">
        <v>439</v>
      </c>
      <c r="D5554" s="2">
        <v>86858.65</v>
      </c>
      <c r="E5554" s="2">
        <v>43163.91</v>
      </c>
      <c r="F5554" s="2">
        <v>34416.03</v>
      </c>
    </row>
    <row r="5555" spans="1:6" x14ac:dyDescent="0.25">
      <c r="A5555" s="1">
        <v>45078</v>
      </c>
      <c r="B5555" t="s">
        <v>21</v>
      </c>
      <c r="C5555" t="s">
        <v>497</v>
      </c>
      <c r="D5555">
        <v>0</v>
      </c>
      <c r="E5555" s="2">
        <v>758648.78</v>
      </c>
      <c r="F5555" s="2">
        <v>758648.78</v>
      </c>
    </row>
    <row r="5556" spans="1:6" x14ac:dyDescent="0.25">
      <c r="A5556" s="1">
        <v>45078</v>
      </c>
      <c r="B5556" t="s">
        <v>114</v>
      </c>
      <c r="C5556" t="s">
        <v>690</v>
      </c>
      <c r="D5556" s="2">
        <v>2148103.29</v>
      </c>
      <c r="E5556" s="2">
        <v>23338975.510000002</v>
      </c>
      <c r="F5556" s="2">
        <v>20507405.77</v>
      </c>
    </row>
    <row r="5557" spans="1:6" x14ac:dyDescent="0.25">
      <c r="A5557" s="1">
        <v>45078</v>
      </c>
      <c r="B5557" t="s">
        <v>37</v>
      </c>
      <c r="C5557" t="s">
        <v>384</v>
      </c>
      <c r="D5557" s="2">
        <v>752080.89</v>
      </c>
      <c r="E5557" s="2">
        <v>515318.2</v>
      </c>
      <c r="F5557" s="2">
        <v>466646.83</v>
      </c>
    </row>
    <row r="5558" spans="1:6" x14ac:dyDescent="0.25">
      <c r="A5558" s="1">
        <v>45078</v>
      </c>
      <c r="B5558" t="s">
        <v>40</v>
      </c>
      <c r="C5558" t="s">
        <v>555</v>
      </c>
      <c r="D5558" s="2">
        <v>-138944989.56999999</v>
      </c>
      <c r="E5558" s="2">
        <v>1144605.69</v>
      </c>
      <c r="F5558" s="2">
        <v>1144605.69</v>
      </c>
    </row>
    <row r="5559" spans="1:6" x14ac:dyDescent="0.25">
      <c r="A5559" s="1">
        <v>45078</v>
      </c>
      <c r="B5559" t="s">
        <v>773</v>
      </c>
      <c r="C5559" t="s">
        <v>774</v>
      </c>
      <c r="D5559" s="2">
        <v>89659487.219999999</v>
      </c>
      <c r="E5559" s="2">
        <v>80741915.370000005</v>
      </c>
      <c r="F5559" s="2">
        <v>80696913.200000003</v>
      </c>
    </row>
    <row r="5560" spans="1:6" x14ac:dyDescent="0.25">
      <c r="A5560" s="1">
        <v>45078</v>
      </c>
      <c r="B5560" t="s">
        <v>29</v>
      </c>
      <c r="C5560" t="s">
        <v>30</v>
      </c>
      <c r="D5560" s="2">
        <v>141845.24</v>
      </c>
      <c r="E5560">
        <v>0</v>
      </c>
      <c r="F5560">
        <v>0</v>
      </c>
    </row>
    <row r="5561" spans="1:6" x14ac:dyDescent="0.25">
      <c r="A5561" s="1">
        <v>45078</v>
      </c>
      <c r="B5561" t="s">
        <v>23</v>
      </c>
      <c r="C5561" t="s">
        <v>874</v>
      </c>
      <c r="D5561" s="2">
        <v>1261786.1299999999</v>
      </c>
      <c r="E5561" s="2">
        <v>917687.65</v>
      </c>
      <c r="F5561" s="2">
        <v>820708.41</v>
      </c>
    </row>
    <row r="5562" spans="1:6" x14ac:dyDescent="0.25">
      <c r="A5562" s="1">
        <v>45078</v>
      </c>
      <c r="B5562" t="s">
        <v>23</v>
      </c>
      <c r="C5562" t="s">
        <v>611</v>
      </c>
      <c r="D5562" s="2">
        <v>-10975432.9</v>
      </c>
      <c r="E5562" s="2">
        <v>3943951.63</v>
      </c>
      <c r="F5562" s="2">
        <v>4053782.82</v>
      </c>
    </row>
    <row r="5563" spans="1:6" x14ac:dyDescent="0.25">
      <c r="A5563" s="1">
        <v>45078</v>
      </c>
      <c r="B5563" t="s">
        <v>46</v>
      </c>
      <c r="C5563" t="s">
        <v>232</v>
      </c>
      <c r="D5563" s="2">
        <v>7549310.9900000002</v>
      </c>
      <c r="E5563" s="2">
        <v>7450508.6399999997</v>
      </c>
      <c r="F5563" s="2">
        <v>59240.52</v>
      </c>
    </row>
    <row r="5564" spans="1:6" x14ac:dyDescent="0.25">
      <c r="A5564" s="1">
        <v>45078</v>
      </c>
      <c r="B5564" t="s">
        <v>23</v>
      </c>
      <c r="C5564" t="s">
        <v>436</v>
      </c>
      <c r="D5564" s="2">
        <v>4073150.13</v>
      </c>
      <c r="E5564" s="2">
        <v>268239.46000000002</v>
      </c>
      <c r="F5564" s="2">
        <v>394914.63</v>
      </c>
    </row>
    <row r="5565" spans="1:6" x14ac:dyDescent="0.25">
      <c r="A5565" s="1">
        <v>45078</v>
      </c>
      <c r="B5565" t="s">
        <v>15</v>
      </c>
      <c r="C5565" t="s">
        <v>796</v>
      </c>
      <c r="D5565" s="2">
        <v>13974712.060000001</v>
      </c>
      <c r="E5565" s="2">
        <v>5111600.5599999996</v>
      </c>
      <c r="F5565" s="2">
        <v>5034968.22</v>
      </c>
    </row>
    <row r="5566" spans="1:6" x14ac:dyDescent="0.25">
      <c r="A5566" s="1">
        <v>45078</v>
      </c>
      <c r="B5566" t="s">
        <v>105</v>
      </c>
      <c r="C5566" t="s">
        <v>645</v>
      </c>
      <c r="D5566" s="2">
        <v>183043061.55000001</v>
      </c>
      <c r="E5566">
        <v>0</v>
      </c>
      <c r="F5566">
        <v>0</v>
      </c>
    </row>
    <row r="5567" spans="1:6" x14ac:dyDescent="0.25">
      <c r="A5567" s="1">
        <v>45078</v>
      </c>
      <c r="B5567" t="s">
        <v>31</v>
      </c>
      <c r="C5567" t="s">
        <v>668</v>
      </c>
      <c r="D5567">
        <v>0</v>
      </c>
      <c r="E5567">
        <v>0</v>
      </c>
      <c r="F5567">
        <v>0</v>
      </c>
    </row>
    <row r="5568" spans="1:6" x14ac:dyDescent="0.25">
      <c r="A5568" s="1">
        <v>45078</v>
      </c>
      <c r="B5568" t="s">
        <v>40</v>
      </c>
      <c r="C5568" t="s">
        <v>1069</v>
      </c>
      <c r="D5568">
        <v>0</v>
      </c>
      <c r="E5568" s="2">
        <v>37834756.270000003</v>
      </c>
      <c r="F5568" s="2">
        <v>37834756.270000003</v>
      </c>
    </row>
    <row r="5569" spans="1:6" x14ac:dyDescent="0.25">
      <c r="A5569" s="1">
        <v>45078</v>
      </c>
      <c r="B5569" t="s">
        <v>50</v>
      </c>
      <c r="C5569" t="s">
        <v>574</v>
      </c>
      <c r="D5569" s="2">
        <v>2831238.13</v>
      </c>
      <c r="E5569" s="2">
        <v>4577076.0999999996</v>
      </c>
      <c r="F5569" s="2">
        <v>4774678.17</v>
      </c>
    </row>
    <row r="5570" spans="1:6" x14ac:dyDescent="0.25">
      <c r="A5570" s="1">
        <v>45078</v>
      </c>
      <c r="B5570" t="s">
        <v>23</v>
      </c>
      <c r="C5570" t="s">
        <v>610</v>
      </c>
      <c r="D5570" s="2">
        <v>1046604.99</v>
      </c>
      <c r="E5570" s="2">
        <v>29272533.890000001</v>
      </c>
      <c r="F5570" s="2">
        <v>29878140.09</v>
      </c>
    </row>
    <row r="5571" spans="1:6" x14ac:dyDescent="0.25">
      <c r="A5571" s="1">
        <v>45078</v>
      </c>
      <c r="B5571" t="s">
        <v>40</v>
      </c>
      <c r="C5571" t="s">
        <v>825</v>
      </c>
      <c r="D5571" s="2">
        <v>31369507.91</v>
      </c>
      <c r="E5571" s="2">
        <v>25694852.629999999</v>
      </c>
      <c r="F5571" s="2">
        <v>26170877.649999999</v>
      </c>
    </row>
    <row r="5572" spans="1:6" x14ac:dyDescent="0.25">
      <c r="A5572" s="1">
        <v>45078</v>
      </c>
      <c r="B5572" t="s">
        <v>490</v>
      </c>
      <c r="C5572" t="s">
        <v>512</v>
      </c>
      <c r="D5572" s="2">
        <v>20842494.02</v>
      </c>
      <c r="E5572" s="2">
        <v>9854438.5299999993</v>
      </c>
      <c r="F5572" s="2">
        <v>9212976.1999999993</v>
      </c>
    </row>
    <row r="5573" spans="1:6" x14ac:dyDescent="0.25">
      <c r="A5573" s="1">
        <v>45078</v>
      </c>
      <c r="B5573" t="s">
        <v>154</v>
      </c>
      <c r="C5573" t="s">
        <v>785</v>
      </c>
      <c r="D5573">
        <v>0</v>
      </c>
      <c r="E5573" s="2">
        <v>13270716.529999999</v>
      </c>
      <c r="F5573" s="2">
        <v>13331063.08</v>
      </c>
    </row>
    <row r="5574" spans="1:6" x14ac:dyDescent="0.25">
      <c r="A5574" s="1">
        <v>45078</v>
      </c>
      <c r="B5574" t="s">
        <v>11</v>
      </c>
      <c r="C5574" t="s">
        <v>696</v>
      </c>
      <c r="D5574" s="2">
        <v>19536735.829999998</v>
      </c>
      <c r="E5574" s="2">
        <v>19610632.870000001</v>
      </c>
      <c r="F5574" s="2">
        <v>19316609.829999998</v>
      </c>
    </row>
    <row r="5575" spans="1:6" x14ac:dyDescent="0.25">
      <c r="A5575" s="1">
        <v>45078</v>
      </c>
      <c r="B5575" t="s">
        <v>476</v>
      </c>
      <c r="C5575" t="s">
        <v>477</v>
      </c>
      <c r="D5575">
        <v>0</v>
      </c>
      <c r="E5575">
        <v>0</v>
      </c>
      <c r="F5575">
        <v>0</v>
      </c>
    </row>
    <row r="5576" spans="1:6" x14ac:dyDescent="0.25">
      <c r="A5576" s="1">
        <v>45078</v>
      </c>
      <c r="B5576" t="s">
        <v>40</v>
      </c>
      <c r="C5576" t="s">
        <v>686</v>
      </c>
      <c r="D5576" s="2">
        <v>11410295.4</v>
      </c>
      <c r="E5576" s="2">
        <v>8580029.9800000004</v>
      </c>
      <c r="F5576" s="2">
        <v>8381602.7599999998</v>
      </c>
    </row>
    <row r="5577" spans="1:6" x14ac:dyDescent="0.25">
      <c r="A5577" s="1">
        <v>45078</v>
      </c>
      <c r="B5577" t="s">
        <v>50</v>
      </c>
      <c r="C5577" t="s">
        <v>977</v>
      </c>
      <c r="D5577" s="2">
        <v>78965006.620000005</v>
      </c>
      <c r="E5577">
        <v>0</v>
      </c>
      <c r="F5577" s="2">
        <v>11349660.390000001</v>
      </c>
    </row>
    <row r="5578" spans="1:6" x14ac:dyDescent="0.25">
      <c r="A5578" s="1">
        <v>45078</v>
      </c>
      <c r="B5578" t="s">
        <v>37</v>
      </c>
      <c r="C5578" t="s">
        <v>685</v>
      </c>
      <c r="D5578" s="2">
        <v>1659359.34</v>
      </c>
      <c r="E5578" s="2">
        <v>16880.099999999999</v>
      </c>
      <c r="F5578" s="2">
        <v>16123.24</v>
      </c>
    </row>
    <row r="5579" spans="1:6" x14ac:dyDescent="0.25">
      <c r="A5579" s="1">
        <v>45078</v>
      </c>
      <c r="B5579" t="s">
        <v>23</v>
      </c>
      <c r="C5579" t="s">
        <v>482</v>
      </c>
      <c r="D5579" s="2">
        <v>13377062.779999999</v>
      </c>
      <c r="E5579" s="2">
        <v>43788.89</v>
      </c>
      <c r="F5579" s="2">
        <v>41998.57</v>
      </c>
    </row>
    <row r="5580" spans="1:6" x14ac:dyDescent="0.25">
      <c r="A5580" s="1">
        <v>45078</v>
      </c>
      <c r="B5580" t="s">
        <v>46</v>
      </c>
      <c r="C5580" t="s">
        <v>590</v>
      </c>
      <c r="D5580" s="2">
        <v>1661050.51</v>
      </c>
      <c r="E5580" s="2">
        <v>114432.38</v>
      </c>
      <c r="F5580" s="2">
        <v>116100.54</v>
      </c>
    </row>
    <row r="5581" spans="1:6" x14ac:dyDescent="0.25">
      <c r="A5581" s="1">
        <v>45078</v>
      </c>
      <c r="B5581" t="s">
        <v>46</v>
      </c>
      <c r="C5581" t="s">
        <v>86</v>
      </c>
      <c r="D5581" s="2">
        <v>458910.25</v>
      </c>
      <c r="E5581" s="2">
        <v>344052.44</v>
      </c>
      <c r="F5581" s="2">
        <v>259927.36</v>
      </c>
    </row>
    <row r="5582" spans="1:6" x14ac:dyDescent="0.25">
      <c r="A5582" s="1">
        <v>45078</v>
      </c>
      <c r="B5582" t="s">
        <v>619</v>
      </c>
      <c r="C5582" t="s">
        <v>823</v>
      </c>
      <c r="D5582" s="2">
        <v>2366016.09</v>
      </c>
      <c r="E5582" s="2">
        <v>1155800.1200000001</v>
      </c>
      <c r="F5582" s="2">
        <v>1093889.76</v>
      </c>
    </row>
    <row r="5583" spans="1:6" x14ac:dyDescent="0.25">
      <c r="A5583" s="1">
        <v>45078</v>
      </c>
      <c r="B5583" t="s">
        <v>37</v>
      </c>
      <c r="C5583" t="s">
        <v>624</v>
      </c>
      <c r="D5583" s="2">
        <v>-160221.98000000001</v>
      </c>
      <c r="E5583" s="2">
        <v>4359363.63</v>
      </c>
      <c r="F5583" s="2">
        <v>1876005.34</v>
      </c>
    </row>
    <row r="5584" spans="1:6" x14ac:dyDescent="0.25">
      <c r="A5584" s="1">
        <v>45078</v>
      </c>
      <c r="B5584" t="s">
        <v>37</v>
      </c>
      <c r="C5584" t="s">
        <v>134</v>
      </c>
      <c r="D5584">
        <v>0</v>
      </c>
      <c r="E5584">
        <v>0</v>
      </c>
      <c r="F5584">
        <v>0</v>
      </c>
    </row>
    <row r="5585" spans="1:6" x14ac:dyDescent="0.25">
      <c r="A5585" s="1">
        <v>45078</v>
      </c>
      <c r="B5585" t="s">
        <v>118</v>
      </c>
      <c r="C5585" t="s">
        <v>754</v>
      </c>
      <c r="D5585">
        <v>0</v>
      </c>
      <c r="E5585">
        <v>0</v>
      </c>
      <c r="F5585">
        <v>0</v>
      </c>
    </row>
    <row r="5586" spans="1:6" x14ac:dyDescent="0.25">
      <c r="A5586" s="1">
        <v>45078</v>
      </c>
      <c r="B5586" t="s">
        <v>23</v>
      </c>
      <c r="C5586" t="s">
        <v>675</v>
      </c>
      <c r="D5586" s="2">
        <v>11607955.279999999</v>
      </c>
      <c r="E5586" s="2">
        <v>1308821.74</v>
      </c>
      <c r="F5586" s="2">
        <v>1282974.08</v>
      </c>
    </row>
    <row r="5587" spans="1:6" x14ac:dyDescent="0.25">
      <c r="A5587" s="1">
        <v>45078</v>
      </c>
      <c r="B5587" t="s">
        <v>306</v>
      </c>
      <c r="C5587" t="s">
        <v>403</v>
      </c>
      <c r="D5587" s="2">
        <v>-574625.6</v>
      </c>
      <c r="E5587" s="2">
        <v>1829792.47</v>
      </c>
      <c r="F5587" s="2">
        <v>1829476.41</v>
      </c>
    </row>
    <row r="5588" spans="1:6" x14ac:dyDescent="0.25">
      <c r="A5588" s="1">
        <v>45078</v>
      </c>
      <c r="B5588" t="s">
        <v>37</v>
      </c>
      <c r="C5588" t="s">
        <v>271</v>
      </c>
      <c r="D5588" s="2">
        <v>51400</v>
      </c>
      <c r="E5588" s="2">
        <v>61006.84</v>
      </c>
      <c r="F5588" s="2">
        <v>60119.11</v>
      </c>
    </row>
    <row r="5589" spans="1:6" x14ac:dyDescent="0.25">
      <c r="A5589" s="1">
        <v>45078</v>
      </c>
      <c r="B5589" t="s">
        <v>422</v>
      </c>
      <c r="C5589" t="s">
        <v>678</v>
      </c>
      <c r="D5589" s="2">
        <v>22441845.300000001</v>
      </c>
      <c r="E5589">
        <v>0</v>
      </c>
      <c r="F5589">
        <v>0</v>
      </c>
    </row>
    <row r="5590" spans="1:6" x14ac:dyDescent="0.25">
      <c r="A5590" s="1">
        <v>45078</v>
      </c>
      <c r="B5590" t="s">
        <v>162</v>
      </c>
      <c r="C5590" t="s">
        <v>335</v>
      </c>
      <c r="D5590" s="2">
        <v>44728489.75</v>
      </c>
      <c r="E5590" s="2">
        <v>28722012.34</v>
      </c>
      <c r="F5590" s="2">
        <v>33616379.969999999</v>
      </c>
    </row>
    <row r="5591" spans="1:6" x14ac:dyDescent="0.25">
      <c r="A5591" s="1">
        <v>45078</v>
      </c>
      <c r="B5591" t="s">
        <v>23</v>
      </c>
      <c r="C5591" t="s">
        <v>698</v>
      </c>
      <c r="D5591" s="2">
        <v>513664.69</v>
      </c>
      <c r="E5591" s="2">
        <v>193391.32</v>
      </c>
      <c r="F5591" s="2">
        <v>342585.13</v>
      </c>
    </row>
    <row r="5592" spans="1:6" x14ac:dyDescent="0.25">
      <c r="A5592" s="1">
        <v>45078</v>
      </c>
      <c r="B5592" t="s">
        <v>545</v>
      </c>
      <c r="C5592" t="s">
        <v>738</v>
      </c>
      <c r="D5592" s="2">
        <v>1893569.97</v>
      </c>
      <c r="E5592" s="2">
        <v>990488.9</v>
      </c>
      <c r="F5592" s="2">
        <v>991868.9</v>
      </c>
    </row>
    <row r="5593" spans="1:6" x14ac:dyDescent="0.25">
      <c r="A5593" s="1">
        <v>45078</v>
      </c>
      <c r="B5593" t="s">
        <v>37</v>
      </c>
      <c r="C5593" t="s">
        <v>492</v>
      </c>
      <c r="D5593" s="2">
        <v>8195560.96</v>
      </c>
      <c r="E5593" s="2">
        <v>687132.53</v>
      </c>
      <c r="F5593" s="2">
        <v>665757.77</v>
      </c>
    </row>
    <row r="5594" spans="1:6" x14ac:dyDescent="0.25">
      <c r="A5594" s="1">
        <v>45078</v>
      </c>
      <c r="B5594" t="s">
        <v>251</v>
      </c>
      <c r="C5594" t="s">
        <v>725</v>
      </c>
      <c r="D5594" s="2">
        <v>29785773.27</v>
      </c>
      <c r="E5594" s="2">
        <v>39494961.030000001</v>
      </c>
      <c r="F5594" s="2">
        <v>39494961.030000001</v>
      </c>
    </row>
    <row r="5595" spans="1:6" x14ac:dyDescent="0.25">
      <c r="A5595" s="1">
        <v>45078</v>
      </c>
      <c r="B5595" t="s">
        <v>185</v>
      </c>
      <c r="C5595" t="s">
        <v>304</v>
      </c>
      <c r="D5595" s="2">
        <v>104185859.58</v>
      </c>
      <c r="E5595" s="2">
        <v>157063915.78999999</v>
      </c>
      <c r="F5595" s="2">
        <v>136193902.28</v>
      </c>
    </row>
    <row r="5596" spans="1:6" x14ac:dyDescent="0.25">
      <c r="A5596" s="1">
        <v>45078</v>
      </c>
      <c r="B5596" t="s">
        <v>44</v>
      </c>
      <c r="C5596" t="s">
        <v>684</v>
      </c>
      <c r="D5596" s="2">
        <v>161913</v>
      </c>
      <c r="E5596" s="2">
        <v>313666.34999999998</v>
      </c>
      <c r="F5596" s="2">
        <v>327289.21000000002</v>
      </c>
    </row>
    <row r="5597" spans="1:6" x14ac:dyDescent="0.25">
      <c r="A5597" s="1">
        <v>45078</v>
      </c>
      <c r="B5597" t="s">
        <v>288</v>
      </c>
      <c r="C5597" t="s">
        <v>289</v>
      </c>
      <c r="D5597" s="2">
        <v>14799.68</v>
      </c>
      <c r="E5597">
        <v>0</v>
      </c>
      <c r="F5597">
        <v>0</v>
      </c>
    </row>
    <row r="5598" spans="1:6" x14ac:dyDescent="0.25">
      <c r="A5598" s="1">
        <v>45078</v>
      </c>
      <c r="B5598" t="s">
        <v>23</v>
      </c>
      <c r="C5598" t="s">
        <v>905</v>
      </c>
      <c r="D5598" s="2">
        <v>144795.69</v>
      </c>
      <c r="E5598" s="2">
        <v>301282.88</v>
      </c>
      <c r="F5598" s="2">
        <v>320557.7</v>
      </c>
    </row>
    <row r="5599" spans="1:6" x14ac:dyDescent="0.25">
      <c r="A5599" s="1">
        <v>45078</v>
      </c>
      <c r="B5599" t="s">
        <v>23</v>
      </c>
      <c r="C5599" t="s">
        <v>637</v>
      </c>
      <c r="D5599" s="2">
        <v>2403148.66</v>
      </c>
      <c r="E5599" s="2">
        <v>2359489.13</v>
      </c>
      <c r="F5599" s="2">
        <v>2604756.2599999998</v>
      </c>
    </row>
    <row r="5600" spans="1:6" x14ac:dyDescent="0.25">
      <c r="A5600" s="1">
        <v>45078</v>
      </c>
      <c r="B5600" t="s">
        <v>25</v>
      </c>
      <c r="C5600" t="s">
        <v>865</v>
      </c>
      <c r="D5600" s="2">
        <v>1956898.31</v>
      </c>
      <c r="E5600" s="2">
        <v>1955764.92</v>
      </c>
      <c r="F5600" s="2">
        <v>766482.32</v>
      </c>
    </row>
    <row r="5601" spans="1:6" x14ac:dyDescent="0.25">
      <c r="A5601" s="1">
        <v>45078</v>
      </c>
      <c r="B5601" t="s">
        <v>9</v>
      </c>
      <c r="C5601" t="s">
        <v>182</v>
      </c>
      <c r="D5601">
        <v>0</v>
      </c>
      <c r="E5601">
        <v>0</v>
      </c>
      <c r="F5601">
        <v>0</v>
      </c>
    </row>
    <row r="5602" spans="1:6" x14ac:dyDescent="0.25">
      <c r="A5602" s="1">
        <v>45078</v>
      </c>
      <c r="B5602" t="s">
        <v>9</v>
      </c>
      <c r="C5602" t="s">
        <v>598</v>
      </c>
      <c r="D5602" s="2">
        <v>1880053.71</v>
      </c>
      <c r="E5602" s="2">
        <v>753912.91</v>
      </c>
      <c r="F5602" s="2">
        <v>725312.6</v>
      </c>
    </row>
    <row r="5603" spans="1:6" x14ac:dyDescent="0.25">
      <c r="A5603" s="1">
        <v>45078</v>
      </c>
      <c r="B5603" t="s">
        <v>726</v>
      </c>
      <c r="C5603" t="s">
        <v>763</v>
      </c>
      <c r="D5603" s="2">
        <v>2174053.54</v>
      </c>
      <c r="E5603" s="2">
        <v>1103093.95</v>
      </c>
      <c r="F5603" s="2">
        <v>1163133.1399999999</v>
      </c>
    </row>
    <row r="5604" spans="1:6" x14ac:dyDescent="0.25">
      <c r="A5604" s="1">
        <v>45078</v>
      </c>
      <c r="B5604" t="s">
        <v>40</v>
      </c>
      <c r="C5604" t="s">
        <v>718</v>
      </c>
      <c r="D5604" s="2">
        <v>34249607.439999998</v>
      </c>
      <c r="E5604" s="2">
        <v>3744845.58</v>
      </c>
      <c r="F5604" s="2">
        <v>7506668.2199999997</v>
      </c>
    </row>
    <row r="5605" spans="1:6" x14ac:dyDescent="0.25">
      <c r="A5605" s="1">
        <v>45078</v>
      </c>
      <c r="B5605" t="s">
        <v>37</v>
      </c>
      <c r="C5605" t="s">
        <v>809</v>
      </c>
      <c r="D5605" s="2">
        <v>1472486.63</v>
      </c>
      <c r="E5605" s="2">
        <v>553454.31000000006</v>
      </c>
      <c r="F5605" s="2">
        <v>464212.59</v>
      </c>
    </row>
    <row r="5606" spans="1:6" x14ac:dyDescent="0.25">
      <c r="A5606" s="1">
        <v>45078</v>
      </c>
      <c r="B5606" t="s">
        <v>101</v>
      </c>
      <c r="C5606" t="s">
        <v>780</v>
      </c>
      <c r="D5606" s="2">
        <v>254378.81</v>
      </c>
      <c r="E5606" s="2">
        <v>2609184.4300000002</v>
      </c>
      <c r="F5606" s="2">
        <v>2672539.7000000002</v>
      </c>
    </row>
    <row r="5607" spans="1:6" x14ac:dyDescent="0.25">
      <c r="A5607" s="1">
        <v>45078</v>
      </c>
      <c r="B5607" t="s">
        <v>50</v>
      </c>
      <c r="C5607" t="s">
        <v>425</v>
      </c>
      <c r="D5607">
        <v>0</v>
      </c>
      <c r="E5607">
        <v>0</v>
      </c>
      <c r="F5607">
        <v>0</v>
      </c>
    </row>
    <row r="5608" spans="1:6" x14ac:dyDescent="0.25">
      <c r="A5608" s="1">
        <v>45078</v>
      </c>
      <c r="B5608" t="s">
        <v>17</v>
      </c>
      <c r="C5608" t="s">
        <v>145</v>
      </c>
      <c r="D5608" s="2">
        <v>10034.620000000001</v>
      </c>
      <c r="E5608" s="2">
        <v>3385.18</v>
      </c>
      <c r="F5608" s="2">
        <v>946718.27</v>
      </c>
    </row>
    <row r="5609" spans="1:6" x14ac:dyDescent="0.25">
      <c r="A5609" s="1">
        <v>45078</v>
      </c>
      <c r="B5609" t="s">
        <v>518</v>
      </c>
      <c r="C5609" t="s">
        <v>519</v>
      </c>
      <c r="D5609" s="2">
        <v>250674.41</v>
      </c>
      <c r="E5609" s="2">
        <v>130767.53</v>
      </c>
      <c r="F5609" s="2">
        <v>103931.57</v>
      </c>
    </row>
    <row r="5610" spans="1:6" x14ac:dyDescent="0.25">
      <c r="A5610" s="1">
        <v>45078</v>
      </c>
      <c r="B5610" t="s">
        <v>37</v>
      </c>
      <c r="C5610" t="s">
        <v>840</v>
      </c>
      <c r="D5610" s="2">
        <v>293822652.31</v>
      </c>
      <c r="E5610" s="2">
        <v>702462.52</v>
      </c>
      <c r="F5610" s="2">
        <v>702462.52</v>
      </c>
    </row>
    <row r="5611" spans="1:6" x14ac:dyDescent="0.25">
      <c r="A5611" s="1">
        <v>45078</v>
      </c>
      <c r="B5611" t="s">
        <v>422</v>
      </c>
      <c r="C5611" t="s">
        <v>920</v>
      </c>
      <c r="D5611" s="2">
        <v>5121784.6500000004</v>
      </c>
      <c r="E5611" s="2">
        <v>81915.8</v>
      </c>
      <c r="F5611" s="2">
        <v>81915.8</v>
      </c>
    </row>
    <row r="5612" spans="1:6" x14ac:dyDescent="0.25">
      <c r="A5612" s="1">
        <v>45078</v>
      </c>
      <c r="B5612" t="s">
        <v>383</v>
      </c>
      <c r="C5612" t="s">
        <v>1197</v>
      </c>
      <c r="D5612">
        <v>0</v>
      </c>
      <c r="E5612">
        <v>0</v>
      </c>
      <c r="F5612">
        <v>0</v>
      </c>
    </row>
    <row r="5613" spans="1:6" x14ac:dyDescent="0.25">
      <c r="A5613" s="1">
        <v>45078</v>
      </c>
      <c r="B5613" t="s">
        <v>92</v>
      </c>
      <c r="C5613" t="s">
        <v>819</v>
      </c>
      <c r="D5613" s="2">
        <v>690185.12</v>
      </c>
      <c r="E5613" s="2">
        <v>593387.65</v>
      </c>
      <c r="F5613" s="2">
        <v>606990.17000000004</v>
      </c>
    </row>
    <row r="5614" spans="1:6" x14ac:dyDescent="0.25">
      <c r="A5614" s="1">
        <v>45078</v>
      </c>
      <c r="B5614" t="s">
        <v>68</v>
      </c>
      <c r="C5614" t="s">
        <v>810</v>
      </c>
      <c r="D5614" s="2">
        <v>1436629.47</v>
      </c>
      <c r="E5614" s="2">
        <v>1940323.96</v>
      </c>
      <c r="F5614" s="2">
        <v>1943865.5</v>
      </c>
    </row>
    <row r="5615" spans="1:6" x14ac:dyDescent="0.25">
      <c r="A5615" s="1">
        <v>45078</v>
      </c>
      <c r="B5615" t="s">
        <v>9</v>
      </c>
      <c r="C5615" t="s">
        <v>881</v>
      </c>
      <c r="D5615" s="2">
        <v>18399601.379999999</v>
      </c>
      <c r="E5615" s="2">
        <v>490616.37</v>
      </c>
      <c r="F5615" s="2">
        <v>952283.72</v>
      </c>
    </row>
    <row r="5616" spans="1:6" x14ac:dyDescent="0.25">
      <c r="A5616" s="1">
        <v>45078</v>
      </c>
      <c r="B5616" t="s">
        <v>816</v>
      </c>
      <c r="C5616" t="s">
        <v>870</v>
      </c>
      <c r="D5616" s="2">
        <v>6182725.0700000003</v>
      </c>
      <c r="E5616" s="2">
        <v>5757507.8600000003</v>
      </c>
      <c r="F5616" s="2">
        <v>5826596.2199999997</v>
      </c>
    </row>
    <row r="5617" spans="1:6" x14ac:dyDescent="0.25">
      <c r="A5617" s="1">
        <v>45078</v>
      </c>
      <c r="B5617" t="s">
        <v>53</v>
      </c>
      <c r="C5617" t="s">
        <v>219</v>
      </c>
      <c r="D5617">
        <v>0</v>
      </c>
      <c r="E5617" s="2">
        <v>580892078.26999998</v>
      </c>
      <c r="F5617" s="2">
        <v>580892078.26999998</v>
      </c>
    </row>
    <row r="5618" spans="1:6" x14ac:dyDescent="0.25">
      <c r="A5618" s="1">
        <v>45078</v>
      </c>
      <c r="B5618" t="s">
        <v>101</v>
      </c>
      <c r="C5618" t="s">
        <v>861</v>
      </c>
      <c r="D5618" s="2">
        <v>27785337.850000001</v>
      </c>
      <c r="E5618" s="2">
        <v>29492291.77</v>
      </c>
      <c r="F5618" s="2">
        <v>29743240.609999999</v>
      </c>
    </row>
    <row r="5619" spans="1:6" x14ac:dyDescent="0.25">
      <c r="A5619" s="1">
        <v>45078</v>
      </c>
      <c r="B5619" t="s">
        <v>53</v>
      </c>
      <c r="C5619" t="s">
        <v>54</v>
      </c>
      <c r="D5619">
        <v>0</v>
      </c>
      <c r="E5619" s="2">
        <v>387261385.55000001</v>
      </c>
      <c r="F5619" s="2">
        <v>387261385.55000001</v>
      </c>
    </row>
    <row r="5620" spans="1:6" x14ac:dyDescent="0.25">
      <c r="A5620" s="1">
        <v>45078</v>
      </c>
      <c r="B5620" t="s">
        <v>44</v>
      </c>
      <c r="C5620" t="s">
        <v>228</v>
      </c>
      <c r="D5620" s="2">
        <v>38667</v>
      </c>
      <c r="E5620" s="2">
        <v>134529.45000000001</v>
      </c>
      <c r="F5620" s="2">
        <v>106382.21</v>
      </c>
    </row>
    <row r="5621" spans="1:6" x14ac:dyDescent="0.25">
      <c r="A5621" s="1">
        <v>45078</v>
      </c>
      <c r="B5621" t="s">
        <v>48</v>
      </c>
      <c r="C5621" t="s">
        <v>818</v>
      </c>
      <c r="D5621" s="2">
        <v>545734.64</v>
      </c>
      <c r="E5621" s="2">
        <v>790595.38</v>
      </c>
      <c r="F5621" s="2">
        <v>851467.62</v>
      </c>
    </row>
    <row r="5622" spans="1:6" x14ac:dyDescent="0.25">
      <c r="A5622" s="1">
        <v>45078</v>
      </c>
      <c r="B5622" t="s">
        <v>545</v>
      </c>
      <c r="C5622" t="s">
        <v>908</v>
      </c>
      <c r="D5622" s="2">
        <v>742359.46</v>
      </c>
      <c r="E5622" s="2">
        <v>641049.56999999995</v>
      </c>
      <c r="F5622" s="2">
        <v>321874.37</v>
      </c>
    </row>
    <row r="5623" spans="1:6" x14ac:dyDescent="0.25">
      <c r="A5623" s="1">
        <v>45078</v>
      </c>
      <c r="B5623" t="s">
        <v>107</v>
      </c>
      <c r="C5623" t="s">
        <v>921</v>
      </c>
      <c r="D5623" s="2">
        <v>288525650.83999997</v>
      </c>
      <c r="E5623" s="2">
        <v>69063132.239999995</v>
      </c>
      <c r="F5623" s="2">
        <v>69614087.879999995</v>
      </c>
    </row>
    <row r="5624" spans="1:6" x14ac:dyDescent="0.25">
      <c r="A5624" s="1">
        <v>45078</v>
      </c>
      <c r="B5624" t="s">
        <v>107</v>
      </c>
      <c r="C5624" t="s">
        <v>197</v>
      </c>
      <c r="D5624" s="2">
        <v>38020679.920000002</v>
      </c>
      <c r="E5624" s="2">
        <v>25947450.030000001</v>
      </c>
      <c r="F5624" s="2">
        <v>24880338.050000001</v>
      </c>
    </row>
    <row r="5625" spans="1:6" x14ac:dyDescent="0.25">
      <c r="A5625" s="1">
        <v>45078</v>
      </c>
      <c r="B5625" t="s">
        <v>50</v>
      </c>
      <c r="C5625" t="s">
        <v>625</v>
      </c>
      <c r="D5625" s="2">
        <v>-470515.7</v>
      </c>
      <c r="E5625" s="2">
        <v>1035080.13</v>
      </c>
      <c r="F5625" s="2">
        <v>496463.29</v>
      </c>
    </row>
    <row r="5626" spans="1:6" x14ac:dyDescent="0.25">
      <c r="A5626" s="1">
        <v>45078</v>
      </c>
      <c r="B5626" t="s">
        <v>132</v>
      </c>
      <c r="C5626" t="s">
        <v>543</v>
      </c>
      <c r="D5626" s="2">
        <v>4940026840.6599998</v>
      </c>
      <c r="E5626" s="2">
        <v>4967767986.8299999</v>
      </c>
      <c r="F5626" s="2">
        <v>4991624341.2600002</v>
      </c>
    </row>
    <row r="5627" spans="1:6" x14ac:dyDescent="0.25">
      <c r="A5627" s="1">
        <v>45078</v>
      </c>
      <c r="B5627" t="s">
        <v>37</v>
      </c>
      <c r="C5627" t="s">
        <v>851</v>
      </c>
      <c r="D5627" s="2">
        <v>2283628.3199999998</v>
      </c>
      <c r="E5627" s="2">
        <v>3826550.83</v>
      </c>
      <c r="F5627" s="2">
        <v>5601986.6100000003</v>
      </c>
    </row>
    <row r="5628" spans="1:6" x14ac:dyDescent="0.25">
      <c r="A5628" s="1">
        <v>45078</v>
      </c>
      <c r="B5628" t="s">
        <v>37</v>
      </c>
      <c r="C5628" t="s">
        <v>647</v>
      </c>
      <c r="D5628" s="2">
        <v>162321.78</v>
      </c>
      <c r="E5628" s="2">
        <v>16921.5</v>
      </c>
      <c r="F5628" s="2">
        <v>16961.5</v>
      </c>
    </row>
    <row r="5629" spans="1:6" x14ac:dyDescent="0.25">
      <c r="A5629" s="1">
        <v>45078</v>
      </c>
      <c r="B5629" t="s">
        <v>114</v>
      </c>
      <c r="C5629" t="s">
        <v>547</v>
      </c>
      <c r="D5629" s="2">
        <v>3001016.92</v>
      </c>
      <c r="E5629" s="2">
        <v>115841</v>
      </c>
      <c r="F5629" s="2">
        <v>38259.120000000003</v>
      </c>
    </row>
    <row r="5630" spans="1:6" x14ac:dyDescent="0.25">
      <c r="A5630" s="1">
        <v>45078</v>
      </c>
      <c r="B5630" t="s">
        <v>25</v>
      </c>
      <c r="C5630" t="s">
        <v>257</v>
      </c>
      <c r="D5630" s="2">
        <v>11628.86</v>
      </c>
      <c r="E5630" s="2">
        <v>28740.25</v>
      </c>
      <c r="F5630" s="2">
        <v>25233.62</v>
      </c>
    </row>
    <row r="5631" spans="1:6" x14ac:dyDescent="0.25">
      <c r="A5631" s="1">
        <v>45078</v>
      </c>
      <c r="B5631" t="s">
        <v>288</v>
      </c>
      <c r="C5631" t="s">
        <v>660</v>
      </c>
      <c r="D5631">
        <v>-469.45</v>
      </c>
      <c r="E5631">
        <v>-469.45</v>
      </c>
      <c r="F5631">
        <v>-469.45</v>
      </c>
    </row>
    <row r="5632" spans="1:6" x14ac:dyDescent="0.25">
      <c r="A5632" s="1">
        <v>45078</v>
      </c>
      <c r="B5632" t="s">
        <v>476</v>
      </c>
      <c r="C5632" t="s">
        <v>853</v>
      </c>
      <c r="D5632" s="2">
        <v>11913253.119999999</v>
      </c>
      <c r="E5632" s="2">
        <v>9300471.4000000004</v>
      </c>
      <c r="F5632" s="2">
        <v>8348396.5300000003</v>
      </c>
    </row>
    <row r="5633" spans="1:6" x14ac:dyDescent="0.25">
      <c r="A5633" s="1">
        <v>45078</v>
      </c>
      <c r="B5633" t="s">
        <v>50</v>
      </c>
      <c r="C5633" t="s">
        <v>689</v>
      </c>
      <c r="D5633" s="2">
        <v>-19442.88</v>
      </c>
      <c r="E5633" s="2">
        <v>140398.17000000001</v>
      </c>
      <c r="F5633" s="2">
        <v>125052.06</v>
      </c>
    </row>
    <row r="5634" spans="1:6" x14ac:dyDescent="0.25">
      <c r="A5634" s="1">
        <v>45078</v>
      </c>
      <c r="B5634" t="s">
        <v>490</v>
      </c>
      <c r="C5634" t="s">
        <v>875</v>
      </c>
      <c r="D5634" s="2">
        <v>3420694.11</v>
      </c>
      <c r="E5634" s="2">
        <v>3934729.51</v>
      </c>
      <c r="F5634" s="2">
        <v>4288445.8499999996</v>
      </c>
    </row>
    <row r="5635" spans="1:6" x14ac:dyDescent="0.25">
      <c r="A5635" s="1">
        <v>45078</v>
      </c>
      <c r="B5635" t="s">
        <v>92</v>
      </c>
      <c r="C5635" t="s">
        <v>860</v>
      </c>
      <c r="D5635" s="2">
        <v>2039983.76</v>
      </c>
      <c r="E5635" s="2">
        <v>3539230.86</v>
      </c>
      <c r="F5635" s="2">
        <v>3490010.77</v>
      </c>
    </row>
    <row r="5636" spans="1:6" x14ac:dyDescent="0.25">
      <c r="A5636" s="1">
        <v>45078</v>
      </c>
      <c r="B5636" t="s">
        <v>40</v>
      </c>
      <c r="C5636" t="s">
        <v>888</v>
      </c>
      <c r="D5636" s="2">
        <v>39217725.310000002</v>
      </c>
      <c r="E5636" s="2">
        <v>7149031.5499999998</v>
      </c>
      <c r="F5636" s="2">
        <v>7176513.1500000004</v>
      </c>
    </row>
    <row r="5637" spans="1:6" x14ac:dyDescent="0.25">
      <c r="A5637" s="1">
        <v>45078</v>
      </c>
      <c r="B5637" t="s">
        <v>92</v>
      </c>
      <c r="C5637" t="s">
        <v>903</v>
      </c>
      <c r="D5637" s="2">
        <v>954747.14</v>
      </c>
      <c r="E5637" s="2">
        <v>959321.25</v>
      </c>
      <c r="F5637" s="2">
        <v>927094.54</v>
      </c>
    </row>
    <row r="5638" spans="1:6" x14ac:dyDescent="0.25">
      <c r="A5638" s="1">
        <v>45078</v>
      </c>
      <c r="B5638" t="s">
        <v>288</v>
      </c>
      <c r="C5638" t="s">
        <v>480</v>
      </c>
      <c r="D5638">
        <v>0</v>
      </c>
      <c r="E5638" s="2">
        <v>17934.3</v>
      </c>
      <c r="F5638">
        <v>0</v>
      </c>
    </row>
    <row r="5639" spans="1:6" x14ac:dyDescent="0.25">
      <c r="A5639" s="1">
        <v>45078</v>
      </c>
      <c r="B5639" t="s">
        <v>23</v>
      </c>
      <c r="C5639" t="s">
        <v>901</v>
      </c>
      <c r="D5639" s="2">
        <v>16823139.809999999</v>
      </c>
      <c r="E5639" s="2">
        <v>6418053.0999999996</v>
      </c>
      <c r="F5639" s="2">
        <v>5858315.46</v>
      </c>
    </row>
    <row r="5640" spans="1:6" x14ac:dyDescent="0.25">
      <c r="A5640" s="1">
        <v>45078</v>
      </c>
      <c r="B5640" t="s">
        <v>398</v>
      </c>
      <c r="C5640" t="s">
        <v>1032</v>
      </c>
      <c r="D5640">
        <v>0</v>
      </c>
      <c r="E5640">
        <v>0</v>
      </c>
      <c r="F5640">
        <v>0</v>
      </c>
    </row>
    <row r="5641" spans="1:6" x14ac:dyDescent="0.25">
      <c r="A5641" s="1">
        <v>45078</v>
      </c>
      <c r="B5641" t="s">
        <v>206</v>
      </c>
      <c r="C5641" t="s">
        <v>878</v>
      </c>
      <c r="D5641" s="2">
        <v>6095599.1100000003</v>
      </c>
      <c r="E5641" s="2">
        <v>4944326.38</v>
      </c>
      <c r="F5641" s="2">
        <v>5049209.2</v>
      </c>
    </row>
    <row r="5642" spans="1:6" x14ac:dyDescent="0.25">
      <c r="A5642" s="1">
        <v>45078</v>
      </c>
      <c r="B5642" t="s">
        <v>185</v>
      </c>
      <c r="C5642" t="s">
        <v>478</v>
      </c>
      <c r="D5642" s="2">
        <v>1243182194.71</v>
      </c>
      <c r="E5642" s="2">
        <v>708772023.22000003</v>
      </c>
      <c r="F5642" s="2">
        <v>808198440.11000001</v>
      </c>
    </row>
    <row r="5643" spans="1:6" x14ac:dyDescent="0.25">
      <c r="A5643" s="1">
        <v>45078</v>
      </c>
      <c r="B5643" t="s">
        <v>37</v>
      </c>
      <c r="C5643" t="s">
        <v>676</v>
      </c>
      <c r="D5643" s="2">
        <v>299610.67</v>
      </c>
      <c r="E5643" s="2">
        <v>859396.85</v>
      </c>
      <c r="F5643" s="2">
        <v>825155.58</v>
      </c>
    </row>
    <row r="5644" spans="1:6" x14ac:dyDescent="0.25">
      <c r="A5644" s="1">
        <v>45078</v>
      </c>
      <c r="B5644" t="s">
        <v>98</v>
      </c>
      <c r="C5644" t="s">
        <v>996</v>
      </c>
      <c r="D5644">
        <v>0</v>
      </c>
      <c r="E5644">
        <v>0</v>
      </c>
      <c r="F5644">
        <v>0</v>
      </c>
    </row>
    <row r="5645" spans="1:6" x14ac:dyDescent="0.25">
      <c r="A5645" s="1">
        <v>45078</v>
      </c>
      <c r="B5645" t="s">
        <v>42</v>
      </c>
      <c r="C5645" t="s">
        <v>736</v>
      </c>
      <c r="D5645" s="2">
        <v>581780.22</v>
      </c>
      <c r="E5645" s="2">
        <v>47271064.590000004</v>
      </c>
      <c r="F5645" s="2">
        <v>47413330.859999999</v>
      </c>
    </row>
    <row r="5646" spans="1:6" x14ac:dyDescent="0.25">
      <c r="A5646" s="1">
        <v>45078</v>
      </c>
      <c r="B5646" t="s">
        <v>619</v>
      </c>
      <c r="C5646" t="s">
        <v>165</v>
      </c>
      <c r="D5646" s="2">
        <v>3841.92</v>
      </c>
      <c r="E5646" s="2">
        <v>41825.550000000003</v>
      </c>
      <c r="F5646" s="2">
        <v>39805.949999999997</v>
      </c>
    </row>
    <row r="5647" spans="1:6" x14ac:dyDescent="0.25">
      <c r="A5647" s="1">
        <v>45078</v>
      </c>
      <c r="B5647" t="s">
        <v>23</v>
      </c>
      <c r="C5647" t="s">
        <v>864</v>
      </c>
      <c r="D5647" s="2">
        <v>2465969.5</v>
      </c>
      <c r="E5647" s="2">
        <v>2637230.2799999998</v>
      </c>
      <c r="F5647" s="2">
        <v>2951550.35</v>
      </c>
    </row>
    <row r="5648" spans="1:6" x14ac:dyDescent="0.25">
      <c r="A5648" s="1">
        <v>45078</v>
      </c>
      <c r="B5648" t="s">
        <v>23</v>
      </c>
      <c r="C5648" t="s">
        <v>198</v>
      </c>
      <c r="D5648" s="2">
        <v>23314391.920000002</v>
      </c>
      <c r="E5648" s="2">
        <v>11396876.76</v>
      </c>
      <c r="F5648" s="2">
        <v>1005522.32</v>
      </c>
    </row>
    <row r="5649" spans="1:6" x14ac:dyDescent="0.25">
      <c r="A5649" s="1">
        <v>45078</v>
      </c>
      <c r="B5649" t="s">
        <v>44</v>
      </c>
      <c r="C5649" t="s">
        <v>1157</v>
      </c>
      <c r="D5649" s="2">
        <v>9164771.8599999994</v>
      </c>
      <c r="E5649" s="2">
        <v>8726525.6899999995</v>
      </c>
      <c r="F5649" s="2">
        <v>6199110.0099999998</v>
      </c>
    </row>
    <row r="5650" spans="1:6" x14ac:dyDescent="0.25">
      <c r="A5650" s="1">
        <v>45078</v>
      </c>
      <c r="B5650" t="s">
        <v>118</v>
      </c>
      <c r="C5650" t="s">
        <v>885</v>
      </c>
      <c r="D5650" s="2">
        <v>211232351.31999999</v>
      </c>
      <c r="E5650" s="2">
        <v>16124621.91</v>
      </c>
      <c r="F5650" s="2">
        <v>10950902.67</v>
      </c>
    </row>
    <row r="5651" spans="1:6" x14ac:dyDescent="0.25">
      <c r="A5651" s="1">
        <v>45078</v>
      </c>
      <c r="B5651" t="s">
        <v>21</v>
      </c>
      <c r="C5651" t="s">
        <v>650</v>
      </c>
      <c r="D5651">
        <v>0</v>
      </c>
      <c r="E5651" s="2">
        <v>6039758.4900000002</v>
      </c>
      <c r="F5651" s="2">
        <v>2786748.06</v>
      </c>
    </row>
    <row r="5652" spans="1:6" x14ac:dyDescent="0.25">
      <c r="A5652" s="1">
        <v>45078</v>
      </c>
      <c r="B5652" t="s">
        <v>842</v>
      </c>
      <c r="C5652" t="s">
        <v>843</v>
      </c>
      <c r="D5652" s="2">
        <v>1574505.74</v>
      </c>
      <c r="E5652" s="2">
        <v>8249164.29</v>
      </c>
      <c r="F5652" s="2">
        <v>8761472.3200000003</v>
      </c>
    </row>
    <row r="5653" spans="1:6" x14ac:dyDescent="0.25">
      <c r="A5653" s="1">
        <v>45078</v>
      </c>
      <c r="B5653" t="s">
        <v>143</v>
      </c>
      <c r="C5653" t="s">
        <v>858</v>
      </c>
      <c r="D5653" s="2">
        <v>75056.570000000007</v>
      </c>
      <c r="E5653" s="2">
        <v>112879273.68000001</v>
      </c>
      <c r="F5653" s="2">
        <v>115698032.51000001</v>
      </c>
    </row>
    <row r="5654" spans="1:6" x14ac:dyDescent="0.25">
      <c r="A5654" s="1">
        <v>45078</v>
      </c>
      <c r="B5654" t="s">
        <v>48</v>
      </c>
      <c r="C5654" t="s">
        <v>472</v>
      </c>
      <c r="D5654" s="2">
        <v>1604675.46</v>
      </c>
      <c r="E5654" s="2">
        <v>1193711.1200000001</v>
      </c>
      <c r="F5654" s="2">
        <v>1634350.01</v>
      </c>
    </row>
    <row r="5655" spans="1:6" x14ac:dyDescent="0.25">
      <c r="A5655" s="1">
        <v>45078</v>
      </c>
      <c r="B5655" t="s">
        <v>107</v>
      </c>
      <c r="C5655" t="s">
        <v>262</v>
      </c>
      <c r="D5655" s="2">
        <v>18945428.18</v>
      </c>
      <c r="E5655" s="2">
        <v>3865707.91</v>
      </c>
      <c r="F5655" s="2">
        <v>2131940.42</v>
      </c>
    </row>
    <row r="5656" spans="1:6" x14ac:dyDescent="0.25">
      <c r="A5656" s="1">
        <v>45078</v>
      </c>
      <c r="B5656" t="s">
        <v>9</v>
      </c>
      <c r="C5656" t="s">
        <v>130</v>
      </c>
      <c r="D5656">
        <v>0</v>
      </c>
      <c r="E5656">
        <v>0</v>
      </c>
      <c r="F5656">
        <v>0</v>
      </c>
    </row>
    <row r="5657" spans="1:6" x14ac:dyDescent="0.25">
      <c r="A5657" s="1">
        <v>45078</v>
      </c>
      <c r="B5657" t="s">
        <v>216</v>
      </c>
      <c r="C5657" t="s">
        <v>638</v>
      </c>
      <c r="D5657" s="2">
        <v>26370169.140000001</v>
      </c>
      <c r="E5657" s="2">
        <v>1487530.3</v>
      </c>
      <c r="F5657" s="2">
        <v>793288.08</v>
      </c>
    </row>
    <row r="5658" spans="1:6" x14ac:dyDescent="0.25">
      <c r="A5658" s="1">
        <v>45078</v>
      </c>
      <c r="B5658" t="s">
        <v>23</v>
      </c>
      <c r="C5658" t="s">
        <v>800</v>
      </c>
      <c r="D5658" s="2">
        <v>3261683.92</v>
      </c>
      <c r="E5658" s="2">
        <v>1212617.19</v>
      </c>
      <c r="F5658" s="2">
        <v>1179097.24</v>
      </c>
    </row>
    <row r="5659" spans="1:6" x14ac:dyDescent="0.25">
      <c r="A5659" s="1">
        <v>45078</v>
      </c>
      <c r="B5659" t="s">
        <v>15</v>
      </c>
      <c r="C5659" t="s">
        <v>697</v>
      </c>
      <c r="D5659" s="2">
        <v>38623866.600000001</v>
      </c>
      <c r="E5659" s="2">
        <v>38376458.18</v>
      </c>
      <c r="F5659" s="2">
        <v>43399832.020000003</v>
      </c>
    </row>
    <row r="5660" spans="1:6" x14ac:dyDescent="0.25">
      <c r="A5660" s="1">
        <v>45078</v>
      </c>
      <c r="B5660" t="s">
        <v>263</v>
      </c>
      <c r="C5660" t="s">
        <v>824</v>
      </c>
      <c r="D5660" s="2">
        <v>7113570.2199999997</v>
      </c>
      <c r="E5660" s="2">
        <v>10183292.640000001</v>
      </c>
      <c r="F5660" s="2">
        <v>9287144.1199999992</v>
      </c>
    </row>
    <row r="5661" spans="1:6" x14ac:dyDescent="0.25">
      <c r="A5661" s="1">
        <v>45078</v>
      </c>
      <c r="B5661" t="s">
        <v>118</v>
      </c>
      <c r="C5661" t="s">
        <v>742</v>
      </c>
      <c r="D5661" s="2">
        <v>89395.36</v>
      </c>
      <c r="E5661" s="2">
        <v>615736.5</v>
      </c>
      <c r="F5661" s="2">
        <v>1072419.1499999999</v>
      </c>
    </row>
    <row r="5662" spans="1:6" x14ac:dyDescent="0.25">
      <c r="A5662" s="1">
        <v>45078</v>
      </c>
      <c r="B5662" t="s">
        <v>23</v>
      </c>
      <c r="C5662" t="s">
        <v>1020</v>
      </c>
      <c r="D5662" s="2">
        <v>312455.14</v>
      </c>
      <c r="E5662" s="2">
        <v>798640.92</v>
      </c>
      <c r="F5662" s="2">
        <v>745404.91</v>
      </c>
    </row>
    <row r="5663" spans="1:6" x14ac:dyDescent="0.25">
      <c r="A5663" s="1">
        <v>45078</v>
      </c>
      <c r="B5663" t="s">
        <v>50</v>
      </c>
      <c r="C5663" t="s">
        <v>793</v>
      </c>
      <c r="D5663" s="2">
        <v>5424645.4699999997</v>
      </c>
      <c r="E5663" s="2">
        <v>3687420.44</v>
      </c>
      <c r="F5663" s="2">
        <v>3730564.14</v>
      </c>
    </row>
    <row r="5664" spans="1:6" x14ac:dyDescent="0.25">
      <c r="A5664" s="1">
        <v>45078</v>
      </c>
      <c r="B5664" t="s">
        <v>619</v>
      </c>
      <c r="C5664" t="s">
        <v>848</v>
      </c>
      <c r="D5664" s="2">
        <v>1244539.98</v>
      </c>
      <c r="E5664" s="2">
        <v>779708.46</v>
      </c>
      <c r="F5664" s="2">
        <v>818162.98</v>
      </c>
    </row>
    <row r="5665" spans="1:6" x14ac:dyDescent="0.25">
      <c r="A5665" s="1">
        <v>45078</v>
      </c>
      <c r="B5665" t="s">
        <v>23</v>
      </c>
      <c r="C5665" t="s">
        <v>886</v>
      </c>
      <c r="D5665" s="2">
        <v>9400324.2300000004</v>
      </c>
      <c r="E5665" s="2">
        <v>8332576.6399999997</v>
      </c>
      <c r="F5665" s="2">
        <v>7744100.6299999999</v>
      </c>
    </row>
    <row r="5666" spans="1:6" x14ac:dyDescent="0.25">
      <c r="A5666" s="1">
        <v>45078</v>
      </c>
      <c r="B5666" t="s">
        <v>216</v>
      </c>
      <c r="C5666" t="s">
        <v>781</v>
      </c>
      <c r="D5666">
        <v>0</v>
      </c>
      <c r="E5666" s="2">
        <v>16382.84</v>
      </c>
      <c r="F5666">
        <v>0</v>
      </c>
    </row>
    <row r="5667" spans="1:6" x14ac:dyDescent="0.25">
      <c r="A5667" s="1">
        <v>45078</v>
      </c>
      <c r="B5667" t="s">
        <v>769</v>
      </c>
      <c r="C5667" t="s">
        <v>770</v>
      </c>
      <c r="D5667" s="2">
        <v>9065079.3100000005</v>
      </c>
      <c r="E5667" s="2">
        <v>33017685.07</v>
      </c>
      <c r="F5667" s="2">
        <v>32545586.850000001</v>
      </c>
    </row>
    <row r="5668" spans="1:6" x14ac:dyDescent="0.25">
      <c r="A5668" s="1">
        <v>45078</v>
      </c>
      <c r="B5668" t="s">
        <v>50</v>
      </c>
      <c r="C5668" t="s">
        <v>222</v>
      </c>
      <c r="D5668">
        <v>0</v>
      </c>
      <c r="E5668" s="2">
        <v>2538999.04</v>
      </c>
      <c r="F5668" s="2">
        <v>2538999.04</v>
      </c>
    </row>
    <row r="5669" spans="1:6" x14ac:dyDescent="0.25">
      <c r="A5669" s="1">
        <v>45078</v>
      </c>
      <c r="B5669" t="s">
        <v>344</v>
      </c>
      <c r="C5669" t="s">
        <v>1148</v>
      </c>
      <c r="D5669" s="2">
        <v>-20358.330000000002</v>
      </c>
      <c r="E5669">
        <v>0</v>
      </c>
      <c r="F5669">
        <v>0</v>
      </c>
    </row>
    <row r="5670" spans="1:6" x14ac:dyDescent="0.25">
      <c r="A5670" s="1">
        <v>45078</v>
      </c>
      <c r="B5670" t="s">
        <v>816</v>
      </c>
      <c r="C5670" t="s">
        <v>817</v>
      </c>
      <c r="D5670" s="2">
        <v>208668028.68000001</v>
      </c>
      <c r="E5670" s="2">
        <v>86898510.989999995</v>
      </c>
      <c r="F5670" s="2">
        <v>85264690.730000004</v>
      </c>
    </row>
    <row r="5671" spans="1:6" x14ac:dyDescent="0.25">
      <c r="A5671" s="1">
        <v>45078</v>
      </c>
      <c r="B5671" t="s">
        <v>545</v>
      </c>
      <c r="C5671" t="s">
        <v>362</v>
      </c>
      <c r="D5671" s="2">
        <v>6274310.3700000001</v>
      </c>
      <c r="E5671" s="2">
        <v>12714911.039999999</v>
      </c>
      <c r="F5671" s="2">
        <v>10853514.369999999</v>
      </c>
    </row>
    <row r="5672" spans="1:6" x14ac:dyDescent="0.25">
      <c r="A5672" s="1">
        <v>45078</v>
      </c>
      <c r="B5672" t="s">
        <v>17</v>
      </c>
      <c r="C5672" t="s">
        <v>1025</v>
      </c>
      <c r="D5672">
        <v>0</v>
      </c>
      <c r="E5672">
        <v>0</v>
      </c>
      <c r="F5672">
        <v>0</v>
      </c>
    </row>
    <row r="5673" spans="1:6" x14ac:dyDescent="0.25">
      <c r="A5673" s="1">
        <v>45078</v>
      </c>
      <c r="B5673" t="s">
        <v>40</v>
      </c>
      <c r="C5673" t="s">
        <v>907</v>
      </c>
      <c r="D5673" s="2">
        <v>1114076.3500000001</v>
      </c>
      <c r="E5673" s="2">
        <v>1099490.32</v>
      </c>
      <c r="F5673" s="2">
        <v>1019448.48</v>
      </c>
    </row>
    <row r="5674" spans="1:6" x14ac:dyDescent="0.25">
      <c r="A5674" s="1">
        <v>45078</v>
      </c>
      <c r="B5674" t="s">
        <v>272</v>
      </c>
      <c r="C5674" t="s">
        <v>544</v>
      </c>
      <c r="D5674" s="2">
        <v>9124639.8399999999</v>
      </c>
      <c r="E5674" s="2">
        <v>7286829.2599999998</v>
      </c>
      <c r="F5674" s="2">
        <v>6734088.1100000003</v>
      </c>
    </row>
    <row r="5675" spans="1:6" x14ac:dyDescent="0.25">
      <c r="A5675" s="1">
        <v>45078</v>
      </c>
      <c r="B5675" t="s">
        <v>114</v>
      </c>
      <c r="C5675" t="s">
        <v>829</v>
      </c>
      <c r="D5675" s="2">
        <v>56500065.189999998</v>
      </c>
      <c r="E5675" s="2">
        <v>24614988.129999999</v>
      </c>
      <c r="F5675" s="2">
        <v>21335176.940000001</v>
      </c>
    </row>
    <row r="5676" spans="1:6" x14ac:dyDescent="0.25">
      <c r="A5676" s="1">
        <v>45078</v>
      </c>
      <c r="B5676" t="s">
        <v>42</v>
      </c>
      <c r="C5676" t="s">
        <v>719</v>
      </c>
      <c r="D5676">
        <v>0</v>
      </c>
      <c r="E5676" s="2">
        <v>11171801.029999999</v>
      </c>
      <c r="F5676" s="2">
        <v>9743757.6400000006</v>
      </c>
    </row>
    <row r="5677" spans="1:6" x14ac:dyDescent="0.25">
      <c r="A5677" s="1">
        <v>45078</v>
      </c>
      <c r="B5677" t="s">
        <v>114</v>
      </c>
      <c r="C5677" t="s">
        <v>597</v>
      </c>
      <c r="D5677" s="2">
        <v>4091722.64</v>
      </c>
      <c r="E5677" s="2">
        <v>2443956.04</v>
      </c>
      <c r="F5677" s="2">
        <v>2460724.89</v>
      </c>
    </row>
    <row r="5678" spans="1:6" x14ac:dyDescent="0.25">
      <c r="A5678" s="1">
        <v>45078</v>
      </c>
      <c r="B5678" t="s">
        <v>251</v>
      </c>
      <c r="C5678" t="s">
        <v>750</v>
      </c>
      <c r="D5678" s="2">
        <v>15782316.33</v>
      </c>
      <c r="E5678" s="2">
        <v>14662249.99</v>
      </c>
      <c r="F5678" s="2">
        <v>16386885.92</v>
      </c>
    </row>
    <row r="5679" spans="1:6" x14ac:dyDescent="0.25">
      <c r="A5679" s="1">
        <v>45078</v>
      </c>
      <c r="B5679" t="s">
        <v>37</v>
      </c>
      <c r="C5679" t="s">
        <v>561</v>
      </c>
      <c r="D5679" s="2">
        <v>678146.24</v>
      </c>
      <c r="E5679" s="2">
        <v>429554.53</v>
      </c>
      <c r="F5679" s="2">
        <v>306939.40000000002</v>
      </c>
    </row>
    <row r="5680" spans="1:6" x14ac:dyDescent="0.25">
      <c r="A5680" s="1">
        <v>45078</v>
      </c>
      <c r="B5680" t="s">
        <v>114</v>
      </c>
      <c r="C5680" t="s">
        <v>913</v>
      </c>
      <c r="D5680" s="2">
        <v>76813439.930000007</v>
      </c>
      <c r="E5680" s="2">
        <v>26191926.460000001</v>
      </c>
      <c r="F5680" s="2">
        <v>23114330.100000001</v>
      </c>
    </row>
    <row r="5681" spans="1:6" x14ac:dyDescent="0.25">
      <c r="A5681" s="1">
        <v>45078</v>
      </c>
      <c r="B5681" t="s">
        <v>23</v>
      </c>
      <c r="C5681" t="s">
        <v>896</v>
      </c>
      <c r="D5681" s="2">
        <v>27959926.239999998</v>
      </c>
      <c r="E5681" s="2">
        <v>7342706</v>
      </c>
      <c r="F5681" s="2">
        <v>8685196.9900000002</v>
      </c>
    </row>
    <row r="5682" spans="1:6" x14ac:dyDescent="0.25">
      <c r="A5682" s="1">
        <v>45078</v>
      </c>
      <c r="B5682" t="s">
        <v>143</v>
      </c>
      <c r="C5682" t="s">
        <v>507</v>
      </c>
      <c r="D5682" s="2">
        <v>688868400</v>
      </c>
      <c r="E5682" s="2">
        <v>688868400</v>
      </c>
      <c r="F5682" s="2">
        <v>688868400</v>
      </c>
    </row>
    <row r="5683" spans="1:6" x14ac:dyDescent="0.25">
      <c r="A5683" s="1">
        <v>45078</v>
      </c>
      <c r="B5683" t="s">
        <v>40</v>
      </c>
      <c r="C5683" t="s">
        <v>850</v>
      </c>
      <c r="D5683" s="2">
        <v>5390499.9900000002</v>
      </c>
      <c r="E5683" s="2">
        <v>2342973.02</v>
      </c>
      <c r="F5683" s="2">
        <v>2249607.8199999998</v>
      </c>
    </row>
    <row r="5684" spans="1:6" x14ac:dyDescent="0.25">
      <c r="A5684" s="1">
        <v>45078</v>
      </c>
      <c r="B5684" t="s">
        <v>65</v>
      </c>
      <c r="C5684" t="s">
        <v>201</v>
      </c>
      <c r="D5684" s="2">
        <v>98201.65</v>
      </c>
      <c r="E5684" s="2">
        <v>350585.9</v>
      </c>
      <c r="F5684" s="2">
        <v>359619.39</v>
      </c>
    </row>
    <row r="5685" spans="1:6" x14ac:dyDescent="0.25">
      <c r="A5685" s="1">
        <v>45078</v>
      </c>
      <c r="B5685" t="s">
        <v>15</v>
      </c>
      <c r="C5685" t="s">
        <v>1255</v>
      </c>
      <c r="D5685" s="2">
        <v>17256801.550000001</v>
      </c>
      <c r="E5685" s="2">
        <v>1742400</v>
      </c>
      <c r="F5685">
        <v>0</v>
      </c>
    </row>
    <row r="5686" spans="1:6" x14ac:dyDescent="0.25">
      <c r="A5686" s="1">
        <v>45078</v>
      </c>
      <c r="B5686" t="s">
        <v>40</v>
      </c>
      <c r="C5686" t="s">
        <v>129</v>
      </c>
      <c r="D5686" s="2">
        <v>2389478.2000000002</v>
      </c>
      <c r="E5686">
        <v>0</v>
      </c>
      <c r="F5686" s="2">
        <v>1470736.95</v>
      </c>
    </row>
    <row r="5687" spans="1:6" x14ac:dyDescent="0.25">
      <c r="A5687" s="1">
        <v>45078</v>
      </c>
      <c r="B5687" t="s">
        <v>25</v>
      </c>
      <c r="C5687" t="s">
        <v>319</v>
      </c>
      <c r="D5687" s="2">
        <v>68060.850000000006</v>
      </c>
      <c r="E5687" s="2">
        <v>250587.2</v>
      </c>
      <c r="F5687" s="2">
        <v>198925.2</v>
      </c>
    </row>
    <row r="5688" spans="1:6" x14ac:dyDescent="0.25">
      <c r="A5688" s="1">
        <v>45078</v>
      </c>
      <c r="B5688" t="s">
        <v>21</v>
      </c>
      <c r="C5688" t="s">
        <v>276</v>
      </c>
      <c r="D5688" s="2">
        <v>13930183.880000001</v>
      </c>
      <c r="E5688">
        <v>0</v>
      </c>
      <c r="F5688">
        <v>0</v>
      </c>
    </row>
    <row r="5689" spans="1:6" x14ac:dyDescent="0.25">
      <c r="A5689" s="1">
        <v>45078</v>
      </c>
      <c r="B5689" t="s">
        <v>278</v>
      </c>
      <c r="C5689" t="s">
        <v>688</v>
      </c>
      <c r="D5689" s="2">
        <v>400000</v>
      </c>
      <c r="E5689" s="2">
        <v>3292629672.3800001</v>
      </c>
      <c r="F5689" s="2">
        <v>3258510454.5999999</v>
      </c>
    </row>
    <row r="5690" spans="1:6" x14ac:dyDescent="0.25">
      <c r="A5690" s="1">
        <v>45078</v>
      </c>
      <c r="B5690" t="s">
        <v>15</v>
      </c>
      <c r="C5690" t="s">
        <v>205</v>
      </c>
      <c r="D5690" s="2">
        <v>54432485.82</v>
      </c>
      <c r="E5690" s="2">
        <v>33544128.559999999</v>
      </c>
      <c r="F5690" s="2">
        <v>16360734.93</v>
      </c>
    </row>
    <row r="5691" spans="1:6" x14ac:dyDescent="0.25">
      <c r="A5691" s="1">
        <v>45078</v>
      </c>
      <c r="B5691" t="s">
        <v>107</v>
      </c>
      <c r="C5691" t="s">
        <v>912</v>
      </c>
      <c r="D5691" s="2">
        <v>77310583.659999996</v>
      </c>
      <c r="E5691" s="2">
        <v>100742058.06999999</v>
      </c>
      <c r="F5691" s="2">
        <v>104256787.86</v>
      </c>
    </row>
    <row r="5692" spans="1:6" x14ac:dyDescent="0.25">
      <c r="A5692" s="1">
        <v>45078</v>
      </c>
      <c r="B5692" t="s">
        <v>40</v>
      </c>
      <c r="C5692" t="s">
        <v>898</v>
      </c>
      <c r="D5692" s="2">
        <v>26763459.199999999</v>
      </c>
      <c r="E5692" s="2">
        <v>36163674.020000003</v>
      </c>
      <c r="F5692" s="2">
        <v>36010932.32</v>
      </c>
    </row>
    <row r="5693" spans="1:6" x14ac:dyDescent="0.25">
      <c r="A5693" s="1">
        <v>45078</v>
      </c>
      <c r="B5693" t="s">
        <v>107</v>
      </c>
      <c r="C5693" t="s">
        <v>501</v>
      </c>
      <c r="D5693" s="2">
        <v>45582513.289999999</v>
      </c>
      <c r="E5693" s="2">
        <v>268780020.44</v>
      </c>
      <c r="F5693" s="2">
        <v>270591792.02999997</v>
      </c>
    </row>
    <row r="5694" spans="1:6" x14ac:dyDescent="0.25">
      <c r="A5694" s="1">
        <v>45078</v>
      </c>
      <c r="B5694" t="s">
        <v>23</v>
      </c>
      <c r="C5694" t="s">
        <v>665</v>
      </c>
      <c r="D5694" s="2">
        <v>208482.71</v>
      </c>
      <c r="E5694" s="2">
        <v>419399.6</v>
      </c>
      <c r="F5694" s="2">
        <v>416557.55</v>
      </c>
    </row>
    <row r="5695" spans="1:6" x14ac:dyDescent="0.25">
      <c r="A5695" s="1">
        <v>45078</v>
      </c>
      <c r="B5695" t="s">
        <v>107</v>
      </c>
      <c r="C5695" t="s">
        <v>615</v>
      </c>
      <c r="D5695" s="2">
        <v>54404276.649999999</v>
      </c>
      <c r="E5695" s="2">
        <v>31227131.07</v>
      </c>
      <c r="F5695" s="2">
        <v>19580183.739999998</v>
      </c>
    </row>
    <row r="5696" spans="1:6" x14ac:dyDescent="0.25">
      <c r="A5696" s="1">
        <v>45078</v>
      </c>
      <c r="B5696" t="s">
        <v>23</v>
      </c>
      <c r="C5696" t="s">
        <v>418</v>
      </c>
      <c r="D5696" s="2">
        <v>1241851.3</v>
      </c>
      <c r="E5696" s="2">
        <v>-1483100.21</v>
      </c>
      <c r="F5696" s="2">
        <v>-1483100.21</v>
      </c>
    </row>
    <row r="5697" spans="1:6" x14ac:dyDescent="0.25">
      <c r="A5697" s="1">
        <v>45078</v>
      </c>
      <c r="B5697" t="s">
        <v>159</v>
      </c>
      <c r="C5697" t="s">
        <v>34</v>
      </c>
      <c r="D5697" s="2">
        <v>106317362</v>
      </c>
      <c r="E5697">
        <v>513.35</v>
      </c>
      <c r="F5697">
        <v>513.35</v>
      </c>
    </row>
    <row r="5698" spans="1:6" x14ac:dyDescent="0.25">
      <c r="A5698" s="1">
        <v>45078</v>
      </c>
      <c r="B5698" t="s">
        <v>31</v>
      </c>
      <c r="C5698" t="s">
        <v>464</v>
      </c>
      <c r="D5698" s="2">
        <v>55284964.32</v>
      </c>
      <c r="E5698" s="2">
        <v>111622.07</v>
      </c>
      <c r="F5698" s="2">
        <v>111622.07</v>
      </c>
    </row>
    <row r="5699" spans="1:6" x14ac:dyDescent="0.25">
      <c r="A5699" s="1">
        <v>45078</v>
      </c>
      <c r="B5699" t="s">
        <v>490</v>
      </c>
      <c r="C5699" t="s">
        <v>880</v>
      </c>
      <c r="D5699" s="2">
        <v>11340488.560000001</v>
      </c>
      <c r="E5699" s="2">
        <v>3334180.11</v>
      </c>
      <c r="F5699" s="2">
        <v>3946034.34</v>
      </c>
    </row>
    <row r="5700" spans="1:6" x14ac:dyDescent="0.25">
      <c r="A5700" s="1">
        <v>45078</v>
      </c>
      <c r="B5700" t="s">
        <v>619</v>
      </c>
      <c r="C5700" t="s">
        <v>917</v>
      </c>
      <c r="D5700" s="2">
        <v>20261074.469999999</v>
      </c>
      <c r="E5700" s="2">
        <v>8493155.1400000006</v>
      </c>
      <c r="F5700" s="2">
        <v>10204836.210000001</v>
      </c>
    </row>
    <row r="5701" spans="1:6" x14ac:dyDescent="0.25">
      <c r="A5701" s="1">
        <v>45078</v>
      </c>
      <c r="B5701" t="s">
        <v>11</v>
      </c>
      <c r="C5701" t="s">
        <v>566</v>
      </c>
      <c r="D5701" s="2">
        <v>331950081.02999997</v>
      </c>
      <c r="E5701" s="2">
        <v>292160300.82999998</v>
      </c>
      <c r="F5701" s="2">
        <v>253023994.86000001</v>
      </c>
    </row>
    <row r="5702" spans="1:6" x14ac:dyDescent="0.25">
      <c r="A5702" s="1">
        <v>45078</v>
      </c>
      <c r="B5702" t="s">
        <v>107</v>
      </c>
      <c r="C5702" t="s">
        <v>897</v>
      </c>
      <c r="D5702" s="2">
        <v>329588201.13999999</v>
      </c>
      <c r="E5702" s="2">
        <v>358796376.69</v>
      </c>
      <c r="F5702" s="2">
        <v>363018869.85000002</v>
      </c>
    </row>
    <row r="5703" spans="1:6" x14ac:dyDescent="0.25">
      <c r="A5703" s="1">
        <v>45078</v>
      </c>
      <c r="B5703" t="s">
        <v>101</v>
      </c>
      <c r="C5703" t="s">
        <v>786</v>
      </c>
      <c r="D5703" s="2">
        <v>1205233.99</v>
      </c>
      <c r="E5703" s="2">
        <v>3048349.05</v>
      </c>
      <c r="F5703" s="2">
        <v>2767523.11</v>
      </c>
    </row>
    <row r="5704" spans="1:6" x14ac:dyDescent="0.25">
      <c r="A5704" s="1">
        <v>45078</v>
      </c>
      <c r="B5704" t="s">
        <v>23</v>
      </c>
      <c r="C5704" t="s">
        <v>845</v>
      </c>
      <c r="D5704" s="2">
        <v>214192.09</v>
      </c>
      <c r="E5704" s="2">
        <v>620280.74</v>
      </c>
      <c r="F5704" s="2">
        <v>554378.23999999999</v>
      </c>
    </row>
    <row r="5705" spans="1:6" x14ac:dyDescent="0.25">
      <c r="A5705" s="1">
        <v>45078</v>
      </c>
      <c r="B5705" t="s">
        <v>490</v>
      </c>
      <c r="C5705" t="s">
        <v>267</v>
      </c>
      <c r="D5705" s="2">
        <v>503956009.32999998</v>
      </c>
      <c r="E5705" s="2">
        <v>550324662.70000005</v>
      </c>
      <c r="F5705" s="2">
        <v>550208133.14999998</v>
      </c>
    </row>
    <row r="5706" spans="1:6" x14ac:dyDescent="0.25">
      <c r="A5706" s="1">
        <v>45078</v>
      </c>
      <c r="B5706" t="s">
        <v>107</v>
      </c>
      <c r="C5706" t="s">
        <v>108</v>
      </c>
      <c r="D5706">
        <v>0</v>
      </c>
      <c r="E5706" s="2">
        <v>40352575.850000001</v>
      </c>
      <c r="F5706" s="2">
        <v>40352575.850000001</v>
      </c>
    </row>
    <row r="5707" spans="1:6" x14ac:dyDescent="0.25">
      <c r="A5707" s="1">
        <v>45078</v>
      </c>
      <c r="B5707" t="s">
        <v>23</v>
      </c>
      <c r="C5707" t="s">
        <v>869</v>
      </c>
      <c r="D5707" s="2">
        <v>20956020.829999998</v>
      </c>
      <c r="E5707" s="2">
        <v>3259794.63</v>
      </c>
      <c r="F5707" s="2">
        <v>2603405.42</v>
      </c>
    </row>
    <row r="5708" spans="1:6" x14ac:dyDescent="0.25">
      <c r="A5708" s="1">
        <v>45078</v>
      </c>
      <c r="B5708" t="s">
        <v>40</v>
      </c>
      <c r="C5708" t="s">
        <v>801</v>
      </c>
      <c r="D5708" s="2">
        <v>3187338.39</v>
      </c>
      <c r="E5708" s="2">
        <v>3184059.19</v>
      </c>
      <c r="F5708" s="2">
        <v>3003300.14</v>
      </c>
    </row>
    <row r="5709" spans="1:6" x14ac:dyDescent="0.25">
      <c r="A5709" s="1">
        <v>45078</v>
      </c>
      <c r="B5709" t="s">
        <v>23</v>
      </c>
      <c r="C5709" t="s">
        <v>708</v>
      </c>
      <c r="D5709" s="2">
        <v>667680.30000000005</v>
      </c>
      <c r="E5709" s="2">
        <v>292371.56</v>
      </c>
      <c r="F5709" s="2">
        <v>364850.71</v>
      </c>
    </row>
    <row r="5710" spans="1:6" x14ac:dyDescent="0.25">
      <c r="A5710" s="1">
        <v>45078</v>
      </c>
      <c r="B5710" t="s">
        <v>40</v>
      </c>
      <c r="C5710" t="s">
        <v>729</v>
      </c>
      <c r="D5710" s="2">
        <v>20016950.469999999</v>
      </c>
      <c r="E5710" s="2">
        <v>38396447.359999999</v>
      </c>
      <c r="F5710" s="2">
        <v>57344955.119999997</v>
      </c>
    </row>
    <row r="5711" spans="1:6" x14ac:dyDescent="0.25">
      <c r="A5711" s="1">
        <v>45078</v>
      </c>
      <c r="B5711" t="s">
        <v>648</v>
      </c>
      <c r="C5711" t="s">
        <v>914</v>
      </c>
      <c r="D5711" s="2">
        <v>90594669.879999995</v>
      </c>
      <c r="E5711" s="2">
        <v>48431192.700000003</v>
      </c>
      <c r="F5711" s="2">
        <v>45479343.600000001</v>
      </c>
    </row>
    <row r="5712" spans="1:6" x14ac:dyDescent="0.25">
      <c r="A5712" s="1">
        <v>45078</v>
      </c>
      <c r="B5712" t="s">
        <v>92</v>
      </c>
      <c r="C5712" t="s">
        <v>909</v>
      </c>
      <c r="D5712" s="2">
        <v>-111533.3</v>
      </c>
      <c r="E5712" s="2">
        <v>50184715.689999998</v>
      </c>
      <c r="F5712" s="2">
        <v>48523299.240000002</v>
      </c>
    </row>
    <row r="5713" spans="1:6" x14ac:dyDescent="0.25">
      <c r="A5713" s="1">
        <v>45078</v>
      </c>
      <c r="B5713" t="s">
        <v>107</v>
      </c>
      <c r="C5713" t="s">
        <v>890</v>
      </c>
      <c r="D5713" s="2">
        <v>58411623.210000001</v>
      </c>
      <c r="E5713" s="2">
        <v>44872723.5</v>
      </c>
      <c r="F5713" s="2">
        <v>55250055.219999999</v>
      </c>
    </row>
    <row r="5714" spans="1:6" x14ac:dyDescent="0.25">
      <c r="A5714" s="1">
        <v>45078</v>
      </c>
      <c r="B5714" t="s">
        <v>23</v>
      </c>
      <c r="C5714" t="s">
        <v>681</v>
      </c>
      <c r="D5714" s="2">
        <v>-3676792.09</v>
      </c>
      <c r="E5714" s="2">
        <v>1965532.85</v>
      </c>
      <c r="F5714" s="2">
        <v>1951174.64</v>
      </c>
    </row>
    <row r="5715" spans="1:6" x14ac:dyDescent="0.25">
      <c r="A5715" s="1">
        <v>45078</v>
      </c>
      <c r="B5715" t="s">
        <v>25</v>
      </c>
      <c r="C5715" t="s">
        <v>724</v>
      </c>
      <c r="D5715" s="2">
        <v>12384141.470000001</v>
      </c>
      <c r="E5715" s="2">
        <v>697990.81</v>
      </c>
      <c r="F5715" s="2">
        <v>342844.62</v>
      </c>
    </row>
    <row r="5716" spans="1:6" x14ac:dyDescent="0.25">
      <c r="A5716" s="1">
        <v>45078</v>
      </c>
      <c r="B5716" t="s">
        <v>92</v>
      </c>
      <c r="C5716" t="s">
        <v>1130</v>
      </c>
      <c r="D5716">
        <v>-628.16999999999996</v>
      </c>
      <c r="E5716">
        <v>-560.14</v>
      </c>
      <c r="F5716">
        <v>-560.14</v>
      </c>
    </row>
    <row r="5717" spans="1:6" x14ac:dyDescent="0.25">
      <c r="A5717" s="1">
        <v>45078</v>
      </c>
      <c r="B5717" t="s">
        <v>101</v>
      </c>
      <c r="C5717" t="s">
        <v>827</v>
      </c>
      <c r="D5717" s="2">
        <v>1051914.47</v>
      </c>
      <c r="E5717" s="2">
        <v>12079.88</v>
      </c>
      <c r="F5717" s="2">
        <v>11727.3</v>
      </c>
    </row>
    <row r="5718" spans="1:6" x14ac:dyDescent="0.25">
      <c r="A5718" s="1">
        <v>45078</v>
      </c>
      <c r="B5718" t="s">
        <v>40</v>
      </c>
      <c r="C5718" t="s">
        <v>919</v>
      </c>
      <c r="D5718" s="2">
        <v>1527966600.3399999</v>
      </c>
      <c r="E5718" s="2">
        <v>8907336895.1399994</v>
      </c>
      <c r="F5718" s="2">
        <v>5890783456.1000004</v>
      </c>
    </row>
    <row r="5719" spans="1:6" x14ac:dyDescent="0.25">
      <c r="A5719" s="1">
        <v>45078</v>
      </c>
      <c r="B5719" t="s">
        <v>101</v>
      </c>
      <c r="C5719" t="s">
        <v>1205</v>
      </c>
      <c r="D5719" s="2">
        <v>5264391.71</v>
      </c>
      <c r="E5719" s="2">
        <v>25375394.420000002</v>
      </c>
      <c r="F5719" s="2">
        <v>26004466.219999999</v>
      </c>
    </row>
    <row r="5720" spans="1:6" x14ac:dyDescent="0.25">
      <c r="A5720" s="1">
        <v>45078</v>
      </c>
      <c r="B5720" t="s">
        <v>216</v>
      </c>
      <c r="C5720" t="s">
        <v>756</v>
      </c>
      <c r="D5720" s="2">
        <v>5346048.6100000003</v>
      </c>
      <c r="E5720" s="2">
        <v>2403386.14</v>
      </c>
      <c r="F5720" s="2">
        <v>1784279.16</v>
      </c>
    </row>
    <row r="5721" spans="1:6" x14ac:dyDescent="0.25">
      <c r="A5721" s="1">
        <v>45078</v>
      </c>
      <c r="B5721" t="s">
        <v>42</v>
      </c>
      <c r="C5721" t="s">
        <v>894</v>
      </c>
      <c r="D5721" s="2">
        <v>3702359.66</v>
      </c>
      <c r="E5721" s="2">
        <v>92700872.670000002</v>
      </c>
      <c r="F5721" s="2">
        <v>91929713.920000002</v>
      </c>
    </row>
    <row r="5722" spans="1:6" x14ac:dyDescent="0.25">
      <c r="A5722" s="1">
        <v>45078</v>
      </c>
      <c r="B5722" t="s">
        <v>23</v>
      </c>
      <c r="C5722" t="s">
        <v>759</v>
      </c>
      <c r="D5722" s="2">
        <v>1188964.49</v>
      </c>
      <c r="E5722" s="2">
        <v>518773.3</v>
      </c>
      <c r="F5722" s="2">
        <v>266012</v>
      </c>
    </row>
    <row r="5723" spans="1:6" x14ac:dyDescent="0.25">
      <c r="A5723" s="1">
        <v>45078</v>
      </c>
      <c r="B5723" t="s">
        <v>40</v>
      </c>
      <c r="C5723" t="s">
        <v>78</v>
      </c>
      <c r="D5723" s="2">
        <v>5681414.8399999999</v>
      </c>
      <c r="E5723" s="2">
        <v>4071251.13</v>
      </c>
      <c r="F5723" s="2">
        <v>4166452.47</v>
      </c>
    </row>
    <row r="5724" spans="1:6" x14ac:dyDescent="0.25">
      <c r="A5724" s="1">
        <v>45078</v>
      </c>
      <c r="B5724" t="s">
        <v>23</v>
      </c>
      <c r="C5724" t="s">
        <v>879</v>
      </c>
      <c r="D5724" s="2">
        <v>416665.47</v>
      </c>
      <c r="E5724" s="2">
        <v>355732.96</v>
      </c>
      <c r="F5724" s="2">
        <v>355214.68</v>
      </c>
    </row>
    <row r="5725" spans="1:6" x14ac:dyDescent="0.25">
      <c r="A5725" s="1">
        <v>45078</v>
      </c>
      <c r="B5725" t="s">
        <v>23</v>
      </c>
      <c r="C5725" t="s">
        <v>867</v>
      </c>
      <c r="D5725" s="2">
        <v>9628260.7699999996</v>
      </c>
      <c r="E5725" s="2">
        <v>5380059.8099999996</v>
      </c>
      <c r="F5725" s="2">
        <v>5151945.63</v>
      </c>
    </row>
    <row r="5726" spans="1:6" x14ac:dyDescent="0.25">
      <c r="A5726" s="1">
        <v>45078</v>
      </c>
      <c r="B5726" t="s">
        <v>422</v>
      </c>
      <c r="C5726" t="s">
        <v>671</v>
      </c>
      <c r="D5726" s="2">
        <v>427904.3</v>
      </c>
      <c r="E5726" s="2">
        <v>2522942.5499999998</v>
      </c>
      <c r="F5726" s="2">
        <v>406595.58</v>
      </c>
    </row>
    <row r="5727" spans="1:6" x14ac:dyDescent="0.25">
      <c r="A5727" s="1">
        <v>45078</v>
      </c>
      <c r="B5727" t="s">
        <v>23</v>
      </c>
      <c r="C5727" t="s">
        <v>889</v>
      </c>
      <c r="D5727" s="2">
        <v>1279743.58</v>
      </c>
      <c r="E5727" s="2">
        <v>2857360.58</v>
      </c>
      <c r="F5727" s="2">
        <v>1921086.4</v>
      </c>
    </row>
    <row r="5728" spans="1:6" x14ac:dyDescent="0.25">
      <c r="A5728" s="1">
        <v>45078</v>
      </c>
      <c r="B5728" t="s">
        <v>92</v>
      </c>
      <c r="C5728" t="s">
        <v>701</v>
      </c>
      <c r="D5728" s="2">
        <v>6092303.8399999999</v>
      </c>
      <c r="E5728" s="2">
        <v>5245805.2300000004</v>
      </c>
      <c r="F5728" s="2">
        <v>5175291.2300000004</v>
      </c>
    </row>
    <row r="5729" spans="1:6" x14ac:dyDescent="0.25">
      <c r="A5729" s="1">
        <v>45078</v>
      </c>
      <c r="B5729" t="s">
        <v>272</v>
      </c>
      <c r="C5729" t="s">
        <v>593</v>
      </c>
      <c r="D5729" s="2">
        <v>1788910.83</v>
      </c>
      <c r="E5729" s="2">
        <v>1386058.2</v>
      </c>
      <c r="F5729" s="2">
        <v>1508655.48</v>
      </c>
    </row>
    <row r="5730" spans="1:6" x14ac:dyDescent="0.25">
      <c r="A5730" s="1">
        <v>45078</v>
      </c>
      <c r="B5730" t="s">
        <v>13</v>
      </c>
      <c r="C5730" t="s">
        <v>14</v>
      </c>
      <c r="D5730">
        <v>0</v>
      </c>
      <c r="E5730" s="2">
        <v>13821757.880000001</v>
      </c>
      <c r="F5730" s="2">
        <v>26756705.870000001</v>
      </c>
    </row>
    <row r="5731" spans="1:6" x14ac:dyDescent="0.25">
      <c r="A5731" s="1">
        <v>45078</v>
      </c>
      <c r="B5731" t="s">
        <v>40</v>
      </c>
      <c r="C5731" t="s">
        <v>766</v>
      </c>
      <c r="D5731" s="2">
        <v>21816300.969999999</v>
      </c>
      <c r="E5731" s="2">
        <v>7510282.75</v>
      </c>
      <c r="F5731" s="2">
        <v>7537114.7800000003</v>
      </c>
    </row>
    <row r="5732" spans="1:6" x14ac:dyDescent="0.25">
      <c r="A5732" s="1">
        <v>45078</v>
      </c>
      <c r="B5732" t="s">
        <v>40</v>
      </c>
      <c r="C5732" t="s">
        <v>777</v>
      </c>
      <c r="D5732">
        <v>0</v>
      </c>
      <c r="E5732" s="2">
        <v>33583897.359999999</v>
      </c>
      <c r="F5732" s="2">
        <v>37322820.549999997</v>
      </c>
    </row>
    <row r="5733" spans="1:6" x14ac:dyDescent="0.25">
      <c r="A5733" s="1">
        <v>45078</v>
      </c>
      <c r="B5733" t="s">
        <v>40</v>
      </c>
      <c r="C5733" t="s">
        <v>910</v>
      </c>
      <c r="D5733" s="2">
        <v>3348216759.3200002</v>
      </c>
      <c r="E5733" s="2">
        <v>9896407319.6299992</v>
      </c>
      <c r="F5733" s="2">
        <v>7449779623.9099998</v>
      </c>
    </row>
    <row r="5734" spans="1:6" x14ac:dyDescent="0.25">
      <c r="A5734" s="1">
        <v>45078</v>
      </c>
      <c r="B5734" t="s">
        <v>17</v>
      </c>
      <c r="C5734" t="s">
        <v>799</v>
      </c>
      <c r="D5734" s="2">
        <v>553445.57999999996</v>
      </c>
      <c r="E5734" s="2">
        <v>697537.88</v>
      </c>
      <c r="F5734" s="2">
        <v>755725.47</v>
      </c>
    </row>
    <row r="5735" spans="1:6" x14ac:dyDescent="0.25">
      <c r="A5735" s="1">
        <v>45078</v>
      </c>
      <c r="B5735" t="s">
        <v>196</v>
      </c>
      <c r="C5735" t="s">
        <v>468</v>
      </c>
      <c r="D5735">
        <v>0</v>
      </c>
      <c r="E5735">
        <v>0</v>
      </c>
      <c r="F5735">
        <v>0</v>
      </c>
    </row>
    <row r="5736" spans="1:6" x14ac:dyDescent="0.25">
      <c r="A5736" s="1">
        <v>45078</v>
      </c>
      <c r="B5736" t="s">
        <v>40</v>
      </c>
      <c r="C5736" t="s">
        <v>836</v>
      </c>
      <c r="D5736" s="2">
        <v>9785551.8499999996</v>
      </c>
      <c r="E5736" s="2">
        <v>2558042.39</v>
      </c>
      <c r="F5736" s="2">
        <v>2754259.5</v>
      </c>
    </row>
    <row r="5737" spans="1:6" x14ac:dyDescent="0.25">
      <c r="A5737" s="1">
        <v>45078</v>
      </c>
      <c r="B5737" t="s">
        <v>40</v>
      </c>
      <c r="C5737" t="s">
        <v>772</v>
      </c>
      <c r="D5737" s="2">
        <v>537265.43999999994</v>
      </c>
      <c r="E5737" s="2">
        <v>1946264.56</v>
      </c>
      <c r="F5737" s="2">
        <v>2799550.98</v>
      </c>
    </row>
    <row r="5738" spans="1:6" x14ac:dyDescent="0.25">
      <c r="A5738" s="1">
        <v>45078</v>
      </c>
      <c r="B5738" t="s">
        <v>46</v>
      </c>
      <c r="C5738" t="s">
        <v>852</v>
      </c>
      <c r="D5738" s="2">
        <v>275330</v>
      </c>
      <c r="E5738" s="2">
        <v>90096.43</v>
      </c>
      <c r="F5738" s="2">
        <v>98783.3</v>
      </c>
    </row>
    <row r="5739" spans="1:6" x14ac:dyDescent="0.25">
      <c r="A5739" s="1">
        <v>45078</v>
      </c>
      <c r="B5739" t="s">
        <v>216</v>
      </c>
      <c r="C5739" t="s">
        <v>887</v>
      </c>
      <c r="D5739" s="2">
        <v>5004703.5599999996</v>
      </c>
      <c r="E5739" s="2">
        <v>2939401.4</v>
      </c>
      <c r="F5739" s="2">
        <v>2875464.76</v>
      </c>
    </row>
    <row r="5740" spans="1:6" x14ac:dyDescent="0.25">
      <c r="A5740" s="1">
        <v>45078</v>
      </c>
      <c r="B5740" t="s">
        <v>40</v>
      </c>
      <c r="C5740" t="s">
        <v>749</v>
      </c>
      <c r="D5740" s="2">
        <v>329529874.61000001</v>
      </c>
      <c r="E5740" s="2">
        <v>1269128156.51</v>
      </c>
      <c r="F5740" s="2">
        <v>1260144550.71</v>
      </c>
    </row>
    <row r="5741" spans="1:6" x14ac:dyDescent="0.25">
      <c r="A5741" s="1">
        <v>45078</v>
      </c>
      <c r="B5741" t="s">
        <v>216</v>
      </c>
      <c r="C5741" t="s">
        <v>468</v>
      </c>
      <c r="D5741" s="2">
        <v>207607117.84</v>
      </c>
      <c r="E5741" s="2">
        <v>151021977.43000001</v>
      </c>
      <c r="F5741" s="2">
        <v>155952983.06</v>
      </c>
    </row>
    <row r="5742" spans="1:6" x14ac:dyDescent="0.25">
      <c r="A5742" s="1">
        <v>45078</v>
      </c>
      <c r="B5742" t="s">
        <v>118</v>
      </c>
      <c r="C5742" t="s">
        <v>298</v>
      </c>
      <c r="D5742" s="2">
        <v>550000</v>
      </c>
      <c r="E5742">
        <v>0</v>
      </c>
      <c r="F5742" s="2">
        <v>9215.1200000000008</v>
      </c>
    </row>
    <row r="5743" spans="1:6" x14ac:dyDescent="0.25">
      <c r="A5743" s="1">
        <v>45078</v>
      </c>
      <c r="B5743" t="s">
        <v>216</v>
      </c>
      <c r="C5743" t="s">
        <v>806</v>
      </c>
      <c r="D5743" s="2">
        <v>53174264.240000002</v>
      </c>
      <c r="E5743" s="2">
        <v>7255884.7599999998</v>
      </c>
      <c r="F5743" s="2">
        <v>6345252.4900000002</v>
      </c>
    </row>
    <row r="5744" spans="1:6" x14ac:dyDescent="0.25">
      <c r="A5744" s="1">
        <v>45078</v>
      </c>
      <c r="B5744" t="s">
        <v>37</v>
      </c>
      <c r="C5744" t="s">
        <v>884</v>
      </c>
      <c r="D5744" s="2">
        <v>192875.88</v>
      </c>
      <c r="E5744" s="2">
        <v>152507.81</v>
      </c>
      <c r="F5744" s="2">
        <v>149141.04</v>
      </c>
    </row>
    <row r="5745" spans="1:6" x14ac:dyDescent="0.25">
      <c r="A5745" s="1">
        <v>45078</v>
      </c>
      <c r="B5745" t="s">
        <v>37</v>
      </c>
      <c r="C5745" t="s">
        <v>728</v>
      </c>
      <c r="D5745" s="2">
        <v>1147493.3</v>
      </c>
      <c r="E5745" s="2">
        <v>231976.63</v>
      </c>
      <c r="F5745" s="2">
        <v>173859.18</v>
      </c>
    </row>
    <row r="5746" spans="1:6" x14ac:dyDescent="0.25">
      <c r="A5746" s="1">
        <v>45078</v>
      </c>
      <c r="B5746" t="s">
        <v>23</v>
      </c>
      <c r="C5746" t="s">
        <v>916</v>
      </c>
      <c r="D5746" s="2">
        <v>89572099.069999993</v>
      </c>
      <c r="E5746" s="2">
        <v>48763101.719999999</v>
      </c>
      <c r="F5746" s="2">
        <v>41623983.079999998</v>
      </c>
    </row>
    <row r="5747" spans="1:6" x14ac:dyDescent="0.25">
      <c r="A5747" s="1">
        <v>45078</v>
      </c>
      <c r="B5747" t="s">
        <v>107</v>
      </c>
      <c r="C5747" t="s">
        <v>926</v>
      </c>
      <c r="D5747" s="2">
        <v>134739540.09999999</v>
      </c>
      <c r="E5747" s="2">
        <v>30389809.579999998</v>
      </c>
      <c r="F5747" s="2">
        <v>31651185.18</v>
      </c>
    </row>
    <row r="5748" spans="1:6" x14ac:dyDescent="0.25">
      <c r="A5748" s="1">
        <v>45078</v>
      </c>
      <c r="B5748" t="s">
        <v>476</v>
      </c>
      <c r="C5748" t="s">
        <v>904</v>
      </c>
      <c r="D5748" s="2">
        <v>9864452.9800000004</v>
      </c>
      <c r="E5748" s="2">
        <v>1694009.08</v>
      </c>
      <c r="F5748" s="2">
        <v>1599373.39</v>
      </c>
    </row>
    <row r="5749" spans="1:6" x14ac:dyDescent="0.25">
      <c r="A5749" s="1">
        <v>45078</v>
      </c>
      <c r="B5749" t="s">
        <v>196</v>
      </c>
      <c r="C5749" t="s">
        <v>542</v>
      </c>
      <c r="D5749">
        <v>0</v>
      </c>
      <c r="E5749">
        <v>0</v>
      </c>
      <c r="F5749">
        <v>0</v>
      </c>
    </row>
    <row r="5750" spans="1:6" x14ac:dyDescent="0.25">
      <c r="A5750" s="1">
        <v>45078</v>
      </c>
      <c r="B5750" t="s">
        <v>23</v>
      </c>
      <c r="C5750" t="s">
        <v>56</v>
      </c>
      <c r="D5750" s="2">
        <v>22610398.079999998</v>
      </c>
      <c r="E5750" s="2">
        <v>8873052.3800000008</v>
      </c>
      <c r="F5750" s="2">
        <v>7628258.4199999999</v>
      </c>
    </row>
    <row r="5751" spans="1:6" x14ac:dyDescent="0.25">
      <c r="A5751" s="1">
        <v>45078</v>
      </c>
      <c r="B5751" t="s">
        <v>40</v>
      </c>
      <c r="C5751" t="s">
        <v>924</v>
      </c>
      <c r="D5751" s="2">
        <v>461351795.80000001</v>
      </c>
      <c r="E5751" s="2">
        <v>794989416.80999994</v>
      </c>
      <c r="F5751" s="2">
        <v>759266088.37</v>
      </c>
    </row>
    <row r="5752" spans="1:6" x14ac:dyDescent="0.25">
      <c r="A5752" s="1">
        <v>45078</v>
      </c>
      <c r="B5752" t="s">
        <v>40</v>
      </c>
      <c r="C5752" t="s">
        <v>95</v>
      </c>
      <c r="D5752" s="2">
        <v>917595243.95000005</v>
      </c>
      <c r="E5752" s="2">
        <v>698944583.01999998</v>
      </c>
      <c r="F5752" s="2">
        <v>701118249.02999997</v>
      </c>
    </row>
    <row r="5753" spans="1:6" x14ac:dyDescent="0.25">
      <c r="A5753" s="1">
        <v>45078</v>
      </c>
      <c r="B5753" t="s">
        <v>23</v>
      </c>
      <c r="C5753" t="s">
        <v>915</v>
      </c>
      <c r="D5753" s="2">
        <v>162926734.55000001</v>
      </c>
      <c r="E5753" s="2">
        <v>56572807.329999998</v>
      </c>
      <c r="F5753" s="2">
        <v>77167312.560000002</v>
      </c>
    </row>
    <row r="5754" spans="1:6" x14ac:dyDescent="0.25">
      <c r="A5754" s="1">
        <v>45078</v>
      </c>
      <c r="B5754" t="s">
        <v>216</v>
      </c>
      <c r="C5754" t="s">
        <v>563</v>
      </c>
      <c r="D5754" s="2">
        <v>61924946.659999996</v>
      </c>
      <c r="E5754" s="2">
        <v>52588753.079999998</v>
      </c>
      <c r="F5754" s="2">
        <v>54984283.170000002</v>
      </c>
    </row>
    <row r="5755" spans="1:6" x14ac:dyDescent="0.25">
      <c r="A5755" s="1">
        <v>45078</v>
      </c>
      <c r="B5755" t="s">
        <v>40</v>
      </c>
      <c r="C5755" t="s">
        <v>177</v>
      </c>
      <c r="D5755" s="2">
        <v>464360490.81</v>
      </c>
      <c r="E5755" s="2">
        <v>519180051.01999998</v>
      </c>
      <c r="F5755" s="2">
        <v>551463448.86000001</v>
      </c>
    </row>
    <row r="5756" spans="1:6" x14ac:dyDescent="0.25">
      <c r="A5756" s="1">
        <v>45108</v>
      </c>
      <c r="B5756" t="s">
        <v>55</v>
      </c>
      <c r="C5756" t="s">
        <v>198</v>
      </c>
      <c r="D5756">
        <v>0</v>
      </c>
      <c r="E5756">
        <v>0</v>
      </c>
      <c r="F5756">
        <v>0</v>
      </c>
    </row>
    <row r="5757" spans="1:6" x14ac:dyDescent="0.25">
      <c r="A5757" s="1">
        <v>45108</v>
      </c>
      <c r="B5757" t="s">
        <v>132</v>
      </c>
      <c r="C5757" t="s">
        <v>1195</v>
      </c>
      <c r="D5757" s="2">
        <v>2914070529.1500001</v>
      </c>
      <c r="E5757" s="2">
        <v>300308861.14999998</v>
      </c>
      <c r="F5757" s="2">
        <v>300308861.14999998</v>
      </c>
    </row>
    <row r="5758" spans="1:6" x14ac:dyDescent="0.25">
      <c r="A5758" s="1">
        <v>45108</v>
      </c>
      <c r="B5758" t="s">
        <v>42</v>
      </c>
      <c r="C5758" t="s">
        <v>72</v>
      </c>
      <c r="D5758">
        <v>0</v>
      </c>
      <c r="E5758">
        <v>0</v>
      </c>
      <c r="F5758">
        <v>0</v>
      </c>
    </row>
    <row r="5759" spans="1:6" x14ac:dyDescent="0.25">
      <c r="A5759" s="1">
        <v>45108</v>
      </c>
      <c r="B5759" t="s">
        <v>50</v>
      </c>
      <c r="C5759" t="s">
        <v>520</v>
      </c>
      <c r="D5759">
        <v>0</v>
      </c>
      <c r="E5759">
        <v>0</v>
      </c>
      <c r="F5759">
        <v>0</v>
      </c>
    </row>
    <row r="5760" spans="1:6" x14ac:dyDescent="0.25">
      <c r="A5760" s="1">
        <v>45108</v>
      </c>
      <c r="B5760" t="s">
        <v>98</v>
      </c>
      <c r="C5760" t="s">
        <v>1000</v>
      </c>
      <c r="D5760">
        <v>0</v>
      </c>
      <c r="E5760">
        <v>0</v>
      </c>
      <c r="F5760">
        <v>0</v>
      </c>
    </row>
    <row r="5761" spans="1:6" x14ac:dyDescent="0.25">
      <c r="A5761" s="1">
        <v>45108</v>
      </c>
      <c r="B5761" t="s">
        <v>37</v>
      </c>
      <c r="C5761" t="s">
        <v>1120</v>
      </c>
      <c r="D5761">
        <v>0</v>
      </c>
      <c r="E5761">
        <v>0</v>
      </c>
      <c r="F5761">
        <v>0</v>
      </c>
    </row>
    <row r="5762" spans="1:6" x14ac:dyDescent="0.25">
      <c r="A5762" s="1">
        <v>45108</v>
      </c>
      <c r="B5762" t="s">
        <v>1044</v>
      </c>
      <c r="C5762" t="s">
        <v>909</v>
      </c>
      <c r="D5762">
        <v>0</v>
      </c>
      <c r="E5762">
        <v>0</v>
      </c>
      <c r="F5762">
        <v>0</v>
      </c>
    </row>
    <row r="5763" spans="1:6" x14ac:dyDescent="0.25">
      <c r="A5763" s="1">
        <v>45108</v>
      </c>
      <c r="B5763" t="s">
        <v>98</v>
      </c>
      <c r="C5763" t="s">
        <v>550</v>
      </c>
      <c r="D5763">
        <v>0</v>
      </c>
      <c r="E5763">
        <v>0</v>
      </c>
      <c r="F5763">
        <v>0</v>
      </c>
    </row>
    <row r="5764" spans="1:6" x14ac:dyDescent="0.25">
      <c r="A5764" s="1">
        <v>45108</v>
      </c>
      <c r="B5764" t="s">
        <v>196</v>
      </c>
      <c r="C5764" t="s">
        <v>563</v>
      </c>
      <c r="D5764">
        <v>0</v>
      </c>
      <c r="E5764">
        <v>0</v>
      </c>
      <c r="F5764">
        <v>0</v>
      </c>
    </row>
    <row r="5765" spans="1:6" x14ac:dyDescent="0.25">
      <c r="A5765" s="1">
        <v>45108</v>
      </c>
      <c r="B5765" t="s">
        <v>42</v>
      </c>
      <c r="C5765" t="s">
        <v>600</v>
      </c>
      <c r="D5765" s="2">
        <v>-2605256</v>
      </c>
      <c r="E5765" s="2">
        <v>10415907.189999999</v>
      </c>
      <c r="F5765" s="2">
        <v>10415907.189999999</v>
      </c>
    </row>
    <row r="5766" spans="1:6" x14ac:dyDescent="0.25">
      <c r="A5766" s="1">
        <v>45108</v>
      </c>
      <c r="B5766" t="s">
        <v>11</v>
      </c>
      <c r="C5766" t="s">
        <v>778</v>
      </c>
      <c r="D5766" s="2">
        <v>89428055</v>
      </c>
      <c r="E5766" s="2">
        <v>89224006.329999998</v>
      </c>
      <c r="F5766" s="2">
        <v>128147794.17</v>
      </c>
    </row>
    <row r="5767" spans="1:6" x14ac:dyDescent="0.25">
      <c r="A5767" s="1">
        <v>45108</v>
      </c>
      <c r="B5767" t="s">
        <v>31</v>
      </c>
      <c r="C5767" t="s">
        <v>1227</v>
      </c>
      <c r="D5767" s="2">
        <v>306418.74</v>
      </c>
      <c r="E5767" s="2">
        <v>3560404.26</v>
      </c>
      <c r="F5767" s="2">
        <v>3560404.26</v>
      </c>
    </row>
    <row r="5768" spans="1:6" x14ac:dyDescent="0.25">
      <c r="A5768" s="1">
        <v>45108</v>
      </c>
      <c r="B5768" t="s">
        <v>206</v>
      </c>
      <c r="C5768" t="s">
        <v>1091</v>
      </c>
      <c r="D5768">
        <v>0</v>
      </c>
      <c r="E5768">
        <v>0</v>
      </c>
      <c r="F5768">
        <v>0</v>
      </c>
    </row>
    <row r="5769" spans="1:6" x14ac:dyDescent="0.25">
      <c r="A5769" s="1">
        <v>45108</v>
      </c>
      <c r="B5769" t="s">
        <v>1158</v>
      </c>
      <c r="C5769" t="s">
        <v>1159</v>
      </c>
      <c r="D5769">
        <v>0</v>
      </c>
      <c r="E5769">
        <v>0</v>
      </c>
      <c r="F5769">
        <v>0</v>
      </c>
    </row>
    <row r="5770" spans="1:6" x14ac:dyDescent="0.25">
      <c r="A5770" s="1">
        <v>45108</v>
      </c>
      <c r="B5770" t="s">
        <v>21</v>
      </c>
      <c r="C5770" t="s">
        <v>523</v>
      </c>
      <c r="D5770" s="2">
        <v>2770000</v>
      </c>
      <c r="E5770" s="2">
        <v>202518.23</v>
      </c>
      <c r="F5770" s="2">
        <v>405036.46</v>
      </c>
    </row>
    <row r="5771" spans="1:6" x14ac:dyDescent="0.25">
      <c r="A5771" s="1">
        <v>45108</v>
      </c>
      <c r="B5771" t="s">
        <v>21</v>
      </c>
      <c r="C5771" t="s">
        <v>456</v>
      </c>
      <c r="D5771">
        <v>0</v>
      </c>
      <c r="E5771" s="2">
        <v>73204.13</v>
      </c>
      <c r="F5771" s="2">
        <v>73204.13</v>
      </c>
    </row>
    <row r="5772" spans="1:6" x14ac:dyDescent="0.25">
      <c r="A5772" s="1">
        <v>45108</v>
      </c>
      <c r="B5772" t="s">
        <v>31</v>
      </c>
      <c r="C5772" t="s">
        <v>464</v>
      </c>
      <c r="D5772" s="2">
        <v>-3684627.15</v>
      </c>
      <c r="E5772" s="2">
        <v>402129.08</v>
      </c>
      <c r="F5772" s="2">
        <v>402129.08</v>
      </c>
    </row>
    <row r="5773" spans="1:6" x14ac:dyDescent="0.25">
      <c r="A5773" s="1">
        <v>45108</v>
      </c>
      <c r="B5773" t="s">
        <v>405</v>
      </c>
      <c r="C5773" t="s">
        <v>1258</v>
      </c>
      <c r="D5773">
        <v>0</v>
      </c>
      <c r="E5773" s="2">
        <v>515000000</v>
      </c>
      <c r="F5773" s="2">
        <v>515000000</v>
      </c>
    </row>
    <row r="5774" spans="1:6" x14ac:dyDescent="0.25">
      <c r="A5774" s="1">
        <v>45108</v>
      </c>
      <c r="B5774" t="s">
        <v>17</v>
      </c>
      <c r="C5774" t="s">
        <v>673</v>
      </c>
      <c r="D5774" s="2">
        <v>4420000</v>
      </c>
      <c r="E5774">
        <v>0</v>
      </c>
      <c r="F5774">
        <v>0</v>
      </c>
    </row>
    <row r="5775" spans="1:6" x14ac:dyDescent="0.25">
      <c r="A5775" s="1">
        <v>45108</v>
      </c>
      <c r="B5775" t="s">
        <v>68</v>
      </c>
      <c r="C5775" t="s">
        <v>137</v>
      </c>
      <c r="D5775">
        <v>0</v>
      </c>
      <c r="E5775" s="2">
        <v>13279199.16</v>
      </c>
      <c r="F5775" s="2">
        <v>15334407.4</v>
      </c>
    </row>
    <row r="5776" spans="1:6" x14ac:dyDescent="0.25">
      <c r="A5776" s="1">
        <v>45108</v>
      </c>
      <c r="B5776" t="s">
        <v>181</v>
      </c>
      <c r="C5776" t="s">
        <v>881</v>
      </c>
      <c r="D5776">
        <v>0</v>
      </c>
      <c r="E5776">
        <v>0</v>
      </c>
      <c r="F5776">
        <v>0</v>
      </c>
    </row>
    <row r="5777" spans="1:6" x14ac:dyDescent="0.25">
      <c r="A5777" s="1">
        <v>45108</v>
      </c>
      <c r="B5777" t="s">
        <v>101</v>
      </c>
      <c r="C5777" t="s">
        <v>477</v>
      </c>
      <c r="D5777">
        <v>0</v>
      </c>
      <c r="E5777">
        <v>0</v>
      </c>
      <c r="F5777">
        <v>0</v>
      </c>
    </row>
    <row r="5778" spans="1:6" x14ac:dyDescent="0.25">
      <c r="A5778" s="1">
        <v>45108</v>
      </c>
      <c r="B5778" t="s">
        <v>344</v>
      </c>
      <c r="C5778" t="s">
        <v>1156</v>
      </c>
      <c r="D5778">
        <v>0</v>
      </c>
      <c r="E5778" s="2">
        <v>63291.14</v>
      </c>
      <c r="F5778" s="2">
        <v>63978.3</v>
      </c>
    </row>
    <row r="5779" spans="1:6" x14ac:dyDescent="0.25">
      <c r="A5779" s="1">
        <v>45108</v>
      </c>
      <c r="B5779" t="s">
        <v>40</v>
      </c>
      <c r="C5779" t="s">
        <v>149</v>
      </c>
      <c r="D5779" s="2">
        <v>10317677.890000001</v>
      </c>
      <c r="E5779" s="2">
        <v>10975435.73</v>
      </c>
      <c r="F5779" s="2">
        <v>10933229.08</v>
      </c>
    </row>
    <row r="5780" spans="1:6" x14ac:dyDescent="0.25">
      <c r="A5780" s="1">
        <v>45108</v>
      </c>
      <c r="B5780" t="s">
        <v>42</v>
      </c>
      <c r="C5780" t="s">
        <v>1293</v>
      </c>
      <c r="D5780" s="2">
        <v>19000000</v>
      </c>
      <c r="E5780" s="2">
        <v>19000000</v>
      </c>
      <c r="F5780" s="2">
        <v>19000000</v>
      </c>
    </row>
    <row r="5781" spans="1:6" x14ac:dyDescent="0.25">
      <c r="A5781" s="1">
        <v>45108</v>
      </c>
      <c r="B5781" t="s">
        <v>42</v>
      </c>
      <c r="C5781" t="s">
        <v>893</v>
      </c>
      <c r="D5781" s="2">
        <v>1301930616.53</v>
      </c>
      <c r="E5781" s="2">
        <v>629730616.52999997</v>
      </c>
      <c r="F5781" s="2">
        <v>629730616.52999997</v>
      </c>
    </row>
    <row r="5782" spans="1:6" x14ac:dyDescent="0.25">
      <c r="A5782" s="1">
        <v>45108</v>
      </c>
      <c r="B5782" t="s">
        <v>933</v>
      </c>
      <c r="C5782" t="s">
        <v>1203</v>
      </c>
      <c r="D5782" s="2">
        <v>1547748</v>
      </c>
      <c r="E5782" s="2">
        <v>4587.8900000000003</v>
      </c>
      <c r="F5782" s="2">
        <v>4587.8900000000003</v>
      </c>
    </row>
    <row r="5783" spans="1:6" x14ac:dyDescent="0.25">
      <c r="A5783" s="1">
        <v>45108</v>
      </c>
      <c r="B5783" t="s">
        <v>46</v>
      </c>
      <c r="C5783" t="s">
        <v>57</v>
      </c>
      <c r="D5783" s="2">
        <v>1969</v>
      </c>
      <c r="E5783">
        <v>0</v>
      </c>
      <c r="F5783">
        <v>0</v>
      </c>
    </row>
    <row r="5784" spans="1:6" x14ac:dyDescent="0.25">
      <c r="A5784" s="1">
        <v>45108</v>
      </c>
      <c r="B5784" t="s">
        <v>490</v>
      </c>
      <c r="C5784" t="s">
        <v>999</v>
      </c>
      <c r="D5784" s="2">
        <v>4912345.12</v>
      </c>
      <c r="E5784" s="2">
        <v>228912</v>
      </c>
      <c r="F5784" s="2">
        <v>228912</v>
      </c>
    </row>
    <row r="5785" spans="1:6" x14ac:dyDescent="0.25">
      <c r="A5785" s="1">
        <v>45108</v>
      </c>
      <c r="B5785" t="s">
        <v>46</v>
      </c>
      <c r="C5785" t="s">
        <v>592</v>
      </c>
      <c r="D5785" s="2">
        <v>2168000</v>
      </c>
      <c r="E5785" s="2">
        <v>2167853.13</v>
      </c>
      <c r="F5785" s="2">
        <v>2168074.85</v>
      </c>
    </row>
    <row r="5786" spans="1:6" x14ac:dyDescent="0.25">
      <c r="A5786" s="1">
        <v>45108</v>
      </c>
      <c r="B5786" t="s">
        <v>490</v>
      </c>
      <c r="C5786" t="s">
        <v>491</v>
      </c>
      <c r="D5786" s="2">
        <v>32537733.530000001</v>
      </c>
      <c r="E5786" s="2">
        <v>7350306.9400000004</v>
      </c>
      <c r="F5786" s="2">
        <v>7350306.9400000004</v>
      </c>
    </row>
    <row r="5787" spans="1:6" x14ac:dyDescent="0.25">
      <c r="A5787" s="1">
        <v>45108</v>
      </c>
      <c r="B5787" t="s">
        <v>55</v>
      </c>
      <c r="C5787" t="s">
        <v>708</v>
      </c>
      <c r="D5787">
        <v>0</v>
      </c>
      <c r="E5787">
        <v>0</v>
      </c>
      <c r="F5787">
        <v>0</v>
      </c>
    </row>
    <row r="5788" spans="1:6" x14ac:dyDescent="0.25">
      <c r="A5788" s="1">
        <v>45108</v>
      </c>
      <c r="B5788" t="s">
        <v>107</v>
      </c>
      <c r="C5788" t="s">
        <v>239</v>
      </c>
      <c r="D5788">
        <v>0</v>
      </c>
      <c r="E5788" s="2">
        <v>12990225.16</v>
      </c>
      <c r="F5788" s="2">
        <v>12990225.16</v>
      </c>
    </row>
    <row r="5789" spans="1:6" x14ac:dyDescent="0.25">
      <c r="A5789" s="1">
        <v>45108</v>
      </c>
      <c r="B5789" t="s">
        <v>490</v>
      </c>
      <c r="C5789" t="s">
        <v>1065</v>
      </c>
      <c r="D5789" s="2">
        <v>144667405.47</v>
      </c>
      <c r="E5789" s="2">
        <v>90305620.379999995</v>
      </c>
      <c r="F5789" s="2">
        <v>90306319.170000002</v>
      </c>
    </row>
    <row r="5790" spans="1:6" x14ac:dyDescent="0.25">
      <c r="A5790" s="1">
        <v>45108</v>
      </c>
      <c r="B5790" t="s">
        <v>206</v>
      </c>
      <c r="C5790" t="s">
        <v>207</v>
      </c>
      <c r="D5790">
        <v>0</v>
      </c>
      <c r="E5790" s="2">
        <v>44047.71</v>
      </c>
      <c r="F5790" s="2">
        <v>80467.009999999995</v>
      </c>
    </row>
    <row r="5791" spans="1:6" x14ac:dyDescent="0.25">
      <c r="A5791" s="1">
        <v>45108</v>
      </c>
      <c r="B5791" t="s">
        <v>96</v>
      </c>
      <c r="C5791" t="s">
        <v>51</v>
      </c>
      <c r="D5791">
        <v>0</v>
      </c>
      <c r="E5791">
        <v>0</v>
      </c>
      <c r="F5791">
        <v>0</v>
      </c>
    </row>
    <row r="5792" spans="1:6" x14ac:dyDescent="0.25">
      <c r="A5792" s="1">
        <v>45108</v>
      </c>
      <c r="B5792" t="s">
        <v>225</v>
      </c>
      <c r="C5792" t="s">
        <v>315</v>
      </c>
      <c r="D5792">
        <v>0</v>
      </c>
      <c r="E5792">
        <v>0</v>
      </c>
      <c r="F5792">
        <v>0</v>
      </c>
    </row>
    <row r="5793" spans="1:6" x14ac:dyDescent="0.25">
      <c r="A5793" s="1">
        <v>45108</v>
      </c>
      <c r="B5793" t="s">
        <v>114</v>
      </c>
      <c r="C5793" t="s">
        <v>758</v>
      </c>
      <c r="D5793" s="2">
        <v>203090.29</v>
      </c>
      <c r="E5793" s="2">
        <v>148390.84</v>
      </c>
      <c r="F5793" s="2">
        <v>148390.84</v>
      </c>
    </row>
    <row r="5794" spans="1:6" x14ac:dyDescent="0.25">
      <c r="A5794" s="1">
        <v>45108</v>
      </c>
      <c r="B5794" t="s">
        <v>68</v>
      </c>
      <c r="C5794" t="s">
        <v>339</v>
      </c>
      <c r="D5794" s="2">
        <v>409151.77</v>
      </c>
      <c r="E5794" s="2">
        <v>640418.21</v>
      </c>
      <c r="F5794" s="2">
        <v>709797.89</v>
      </c>
    </row>
    <row r="5795" spans="1:6" x14ac:dyDescent="0.25">
      <c r="A5795" s="1">
        <v>45108</v>
      </c>
      <c r="B5795" t="s">
        <v>187</v>
      </c>
      <c r="C5795" t="s">
        <v>1008</v>
      </c>
      <c r="D5795" s="2">
        <v>30671.75</v>
      </c>
      <c r="E5795" s="2">
        <v>26822.48</v>
      </c>
      <c r="F5795" s="2">
        <v>27226.06</v>
      </c>
    </row>
    <row r="5796" spans="1:6" x14ac:dyDescent="0.25">
      <c r="A5796" s="1">
        <v>45108</v>
      </c>
      <c r="B5796" t="s">
        <v>490</v>
      </c>
      <c r="C5796" t="s">
        <v>512</v>
      </c>
      <c r="D5796" s="2">
        <v>702055868.45000005</v>
      </c>
      <c r="E5796" s="2">
        <v>2894611.4</v>
      </c>
      <c r="F5796" s="2">
        <v>2989580.79</v>
      </c>
    </row>
    <row r="5797" spans="1:6" x14ac:dyDescent="0.25">
      <c r="A5797" s="1">
        <v>45108</v>
      </c>
      <c r="B5797" t="s">
        <v>132</v>
      </c>
      <c r="C5797" t="s">
        <v>1184</v>
      </c>
      <c r="D5797" s="2">
        <v>250000</v>
      </c>
      <c r="E5797" s="2">
        <v>84700.46</v>
      </c>
      <c r="F5797" s="2">
        <v>90005.759999999995</v>
      </c>
    </row>
    <row r="5798" spans="1:6" x14ac:dyDescent="0.25">
      <c r="A5798" s="1">
        <v>45108</v>
      </c>
      <c r="B5798" t="s">
        <v>46</v>
      </c>
      <c r="C5798" t="s">
        <v>152</v>
      </c>
      <c r="D5798">
        <v>0</v>
      </c>
      <c r="E5798">
        <v>0</v>
      </c>
      <c r="F5798">
        <v>0</v>
      </c>
    </row>
    <row r="5799" spans="1:6" x14ac:dyDescent="0.25">
      <c r="A5799" s="1">
        <v>45108</v>
      </c>
      <c r="B5799" t="s">
        <v>46</v>
      </c>
      <c r="C5799" t="s">
        <v>241</v>
      </c>
      <c r="D5799" s="2">
        <v>5187589.88</v>
      </c>
      <c r="E5799" s="2">
        <v>5759518.6100000003</v>
      </c>
      <c r="F5799" s="2">
        <v>3633790.6</v>
      </c>
    </row>
    <row r="5800" spans="1:6" x14ac:dyDescent="0.25">
      <c r="A5800" s="1">
        <v>45108</v>
      </c>
      <c r="B5800" t="s">
        <v>23</v>
      </c>
      <c r="C5800" t="s">
        <v>418</v>
      </c>
      <c r="D5800" s="2">
        <v>4303309.6399999997</v>
      </c>
      <c r="E5800" s="2">
        <v>-302290.96000000002</v>
      </c>
      <c r="F5800" s="2">
        <v>-357266.37</v>
      </c>
    </row>
    <row r="5801" spans="1:6" x14ac:dyDescent="0.25">
      <c r="A5801" s="1">
        <v>45108</v>
      </c>
      <c r="B5801" t="s">
        <v>154</v>
      </c>
      <c r="C5801" t="s">
        <v>155</v>
      </c>
      <c r="D5801">
        <v>-798.79</v>
      </c>
      <c r="E5801" s="2">
        <v>3367.06</v>
      </c>
      <c r="F5801" s="2">
        <v>3367.06</v>
      </c>
    </row>
    <row r="5802" spans="1:6" x14ac:dyDescent="0.25">
      <c r="A5802" s="1">
        <v>45108</v>
      </c>
      <c r="B5802" t="s">
        <v>44</v>
      </c>
      <c r="C5802" t="s">
        <v>73</v>
      </c>
      <c r="D5802">
        <v>0</v>
      </c>
      <c r="E5802">
        <v>0</v>
      </c>
      <c r="F5802">
        <v>0</v>
      </c>
    </row>
    <row r="5803" spans="1:6" x14ac:dyDescent="0.25">
      <c r="A5803" s="1">
        <v>45108</v>
      </c>
      <c r="B5803" t="s">
        <v>48</v>
      </c>
      <c r="C5803" t="s">
        <v>1179</v>
      </c>
      <c r="D5803" s="2">
        <v>-55262.239999999998</v>
      </c>
      <c r="E5803">
        <v>0</v>
      </c>
      <c r="F5803">
        <v>0</v>
      </c>
    </row>
    <row r="5804" spans="1:6" x14ac:dyDescent="0.25">
      <c r="A5804" s="1">
        <v>45108</v>
      </c>
      <c r="B5804" t="s">
        <v>23</v>
      </c>
      <c r="C5804" t="s">
        <v>1165</v>
      </c>
      <c r="D5804" s="2">
        <v>-2134929.7400000002</v>
      </c>
      <c r="E5804">
        <v>0</v>
      </c>
      <c r="F5804">
        <v>0</v>
      </c>
    </row>
    <row r="5805" spans="1:6" x14ac:dyDescent="0.25">
      <c r="A5805" s="1">
        <v>45108</v>
      </c>
      <c r="B5805" t="s">
        <v>35</v>
      </c>
      <c r="C5805" t="s">
        <v>632</v>
      </c>
      <c r="D5805" s="2">
        <v>164200</v>
      </c>
      <c r="E5805" s="2">
        <v>278800.55</v>
      </c>
      <c r="F5805" s="2">
        <v>280952.08</v>
      </c>
    </row>
    <row r="5806" spans="1:6" x14ac:dyDescent="0.25">
      <c r="A5806" s="1">
        <v>45108</v>
      </c>
      <c r="B5806" t="s">
        <v>21</v>
      </c>
      <c r="C5806" t="s">
        <v>994</v>
      </c>
      <c r="D5806">
        <v>0</v>
      </c>
      <c r="E5806" s="2">
        <v>700991.1</v>
      </c>
      <c r="F5806" s="2">
        <v>700991.1</v>
      </c>
    </row>
    <row r="5807" spans="1:6" x14ac:dyDescent="0.25">
      <c r="A5807" s="1">
        <v>45108</v>
      </c>
      <c r="B5807" t="s">
        <v>53</v>
      </c>
      <c r="C5807" t="s">
        <v>84</v>
      </c>
      <c r="D5807" s="2">
        <v>2027296628.99</v>
      </c>
      <c r="E5807" s="2">
        <v>2027296628.99</v>
      </c>
      <c r="F5807" s="2">
        <v>2027296628.99</v>
      </c>
    </row>
    <row r="5808" spans="1:6" x14ac:dyDescent="0.25">
      <c r="A5808" s="1">
        <v>45108</v>
      </c>
      <c r="B5808" t="s">
        <v>50</v>
      </c>
      <c r="C5808" t="s">
        <v>1010</v>
      </c>
      <c r="D5808" s="2">
        <v>-20000</v>
      </c>
      <c r="E5808">
        <v>0</v>
      </c>
      <c r="F5808">
        <v>0</v>
      </c>
    </row>
    <row r="5809" spans="1:6" x14ac:dyDescent="0.25">
      <c r="A5809" s="1">
        <v>45108</v>
      </c>
      <c r="B5809" t="s">
        <v>225</v>
      </c>
      <c r="C5809" t="s">
        <v>314</v>
      </c>
      <c r="D5809">
        <v>0</v>
      </c>
      <c r="E5809">
        <v>0</v>
      </c>
      <c r="F5809">
        <v>0</v>
      </c>
    </row>
    <row r="5810" spans="1:6" x14ac:dyDescent="0.25">
      <c r="A5810" s="1">
        <v>45108</v>
      </c>
      <c r="B5810" t="s">
        <v>162</v>
      </c>
      <c r="C5810" t="s">
        <v>218</v>
      </c>
      <c r="D5810" s="2">
        <v>165300960</v>
      </c>
      <c r="E5810" s="2">
        <v>165071280</v>
      </c>
      <c r="F5810" s="2">
        <v>165071280</v>
      </c>
    </row>
    <row r="5811" spans="1:6" x14ac:dyDescent="0.25">
      <c r="A5811" s="1">
        <v>45108</v>
      </c>
      <c r="B5811" t="s">
        <v>648</v>
      </c>
      <c r="C5811" t="s">
        <v>1273</v>
      </c>
      <c r="D5811">
        <v>0</v>
      </c>
      <c r="E5811">
        <v>0</v>
      </c>
      <c r="F5811">
        <v>0</v>
      </c>
    </row>
    <row r="5812" spans="1:6" x14ac:dyDescent="0.25">
      <c r="A5812" s="1">
        <v>45108</v>
      </c>
      <c r="B5812" t="s">
        <v>11</v>
      </c>
      <c r="C5812" t="s">
        <v>705</v>
      </c>
      <c r="D5812">
        <v>0</v>
      </c>
      <c r="E5812" s="2">
        <v>305450596.56999999</v>
      </c>
      <c r="F5812" s="2">
        <v>305450596.56999999</v>
      </c>
    </row>
    <row r="5813" spans="1:6" x14ac:dyDescent="0.25">
      <c r="A5813" s="1">
        <v>45108</v>
      </c>
      <c r="B5813" t="s">
        <v>821</v>
      </c>
      <c r="C5813" t="s">
        <v>965</v>
      </c>
      <c r="D5813">
        <v>0</v>
      </c>
      <c r="E5813">
        <v>0</v>
      </c>
      <c r="F5813" s="2">
        <v>4505.5</v>
      </c>
    </row>
    <row r="5814" spans="1:6" x14ac:dyDescent="0.25">
      <c r="A5814" s="1">
        <v>45108</v>
      </c>
      <c r="B5814" t="s">
        <v>21</v>
      </c>
      <c r="C5814" t="s">
        <v>497</v>
      </c>
      <c r="D5814">
        <v>0</v>
      </c>
      <c r="E5814" s="2">
        <v>838747.91</v>
      </c>
      <c r="F5814" s="2">
        <v>758648.78</v>
      </c>
    </row>
    <row r="5815" spans="1:6" x14ac:dyDescent="0.25">
      <c r="A5815" s="1">
        <v>45108</v>
      </c>
      <c r="B5815" t="s">
        <v>143</v>
      </c>
      <c r="C5815" t="s">
        <v>792</v>
      </c>
      <c r="D5815">
        <v>0</v>
      </c>
      <c r="E5815" s="2">
        <v>171875540.09999999</v>
      </c>
      <c r="F5815" s="2">
        <v>171875540.09999999</v>
      </c>
    </row>
    <row r="5816" spans="1:6" x14ac:dyDescent="0.25">
      <c r="A5816" s="1">
        <v>45108</v>
      </c>
      <c r="B5816" t="s">
        <v>13</v>
      </c>
      <c r="C5816" t="s">
        <v>474</v>
      </c>
      <c r="D5816">
        <v>0</v>
      </c>
      <c r="E5816" s="2">
        <v>712977272.34000003</v>
      </c>
      <c r="F5816" s="2">
        <v>440580635.87</v>
      </c>
    </row>
    <row r="5817" spans="1:6" x14ac:dyDescent="0.25">
      <c r="A5817" s="1">
        <v>45108</v>
      </c>
      <c r="B5817" t="s">
        <v>21</v>
      </c>
      <c r="C5817" t="s">
        <v>608</v>
      </c>
      <c r="D5817">
        <v>0</v>
      </c>
      <c r="E5817" s="2">
        <v>2100151.4</v>
      </c>
      <c r="F5817" s="2">
        <v>2117709.1</v>
      </c>
    </row>
    <row r="5818" spans="1:6" x14ac:dyDescent="0.25">
      <c r="A5818" s="1">
        <v>45108</v>
      </c>
      <c r="B5818" t="s">
        <v>309</v>
      </c>
      <c r="C5818" t="s">
        <v>645</v>
      </c>
      <c r="D5818">
        <v>0</v>
      </c>
      <c r="E5818">
        <v>0</v>
      </c>
      <c r="F5818">
        <v>0</v>
      </c>
    </row>
    <row r="5819" spans="1:6" x14ac:dyDescent="0.25">
      <c r="A5819" s="1">
        <v>45108</v>
      </c>
      <c r="B5819" t="s">
        <v>196</v>
      </c>
      <c r="C5819" t="s">
        <v>501</v>
      </c>
      <c r="D5819">
        <v>0</v>
      </c>
      <c r="E5819">
        <v>0</v>
      </c>
      <c r="F5819">
        <v>0</v>
      </c>
    </row>
    <row r="5820" spans="1:6" x14ac:dyDescent="0.25">
      <c r="A5820" s="1">
        <v>45108</v>
      </c>
      <c r="B5820" t="s">
        <v>21</v>
      </c>
      <c r="C5820" t="s">
        <v>242</v>
      </c>
      <c r="D5820">
        <v>0</v>
      </c>
      <c r="E5820">
        <v>0</v>
      </c>
      <c r="F5820">
        <v>0</v>
      </c>
    </row>
    <row r="5821" spans="1:6" x14ac:dyDescent="0.25">
      <c r="A5821" s="1">
        <v>45108</v>
      </c>
      <c r="B5821" t="s">
        <v>77</v>
      </c>
      <c r="C5821" t="s">
        <v>78</v>
      </c>
      <c r="D5821">
        <v>0</v>
      </c>
      <c r="E5821">
        <v>0</v>
      </c>
      <c r="F5821">
        <v>0</v>
      </c>
    </row>
    <row r="5822" spans="1:6" x14ac:dyDescent="0.25">
      <c r="A5822" s="1">
        <v>45108</v>
      </c>
      <c r="B5822" t="s">
        <v>932</v>
      </c>
      <c r="C5822" t="s">
        <v>685</v>
      </c>
      <c r="D5822">
        <v>0</v>
      </c>
      <c r="E5822">
        <v>0</v>
      </c>
      <c r="F5822">
        <v>0</v>
      </c>
    </row>
    <row r="5823" spans="1:6" x14ac:dyDescent="0.25">
      <c r="A5823" s="1">
        <v>45108</v>
      </c>
      <c r="B5823" t="s">
        <v>398</v>
      </c>
      <c r="C5823" t="s">
        <v>588</v>
      </c>
      <c r="D5823">
        <v>0</v>
      </c>
      <c r="E5823">
        <v>0</v>
      </c>
      <c r="F5823">
        <v>0</v>
      </c>
    </row>
    <row r="5824" spans="1:6" x14ac:dyDescent="0.25">
      <c r="A5824" s="1">
        <v>45108</v>
      </c>
      <c r="B5824" t="s">
        <v>31</v>
      </c>
      <c r="C5824" t="s">
        <v>1199</v>
      </c>
      <c r="D5824">
        <v>0</v>
      </c>
      <c r="E5824">
        <v>0</v>
      </c>
      <c r="F5824">
        <v>0</v>
      </c>
    </row>
    <row r="5825" spans="1:6" x14ac:dyDescent="0.25">
      <c r="A5825" s="1">
        <v>45108</v>
      </c>
      <c r="B5825" t="s">
        <v>7</v>
      </c>
      <c r="C5825" t="s">
        <v>448</v>
      </c>
      <c r="D5825" s="2">
        <v>-1494010.07</v>
      </c>
      <c r="E5825" s="2">
        <v>4119763.98</v>
      </c>
      <c r="F5825" s="2">
        <v>5611314.25</v>
      </c>
    </row>
    <row r="5826" spans="1:6" x14ac:dyDescent="0.25">
      <c r="A5826" s="1">
        <v>45108</v>
      </c>
      <c r="B5826" t="s">
        <v>46</v>
      </c>
      <c r="C5826" t="s">
        <v>47</v>
      </c>
      <c r="D5826">
        <v>0</v>
      </c>
      <c r="E5826" s="2">
        <v>1201666.6599999999</v>
      </c>
      <c r="F5826" s="2">
        <v>1201666.6599999999</v>
      </c>
    </row>
    <row r="5827" spans="1:6" x14ac:dyDescent="0.25">
      <c r="A5827" s="1">
        <v>45108</v>
      </c>
      <c r="B5827" t="s">
        <v>9</v>
      </c>
      <c r="C5827" t="s">
        <v>396</v>
      </c>
      <c r="D5827" s="2">
        <v>39382.28</v>
      </c>
      <c r="E5827" s="2">
        <v>149702.46</v>
      </c>
      <c r="F5827" s="2">
        <v>150180.21</v>
      </c>
    </row>
    <row r="5828" spans="1:6" x14ac:dyDescent="0.25">
      <c r="A5828" s="1">
        <v>45108</v>
      </c>
      <c r="B5828" t="s">
        <v>11</v>
      </c>
      <c r="C5828" t="s">
        <v>139</v>
      </c>
      <c r="D5828">
        <v>0</v>
      </c>
      <c r="E5828" s="2">
        <v>332255597.31999999</v>
      </c>
      <c r="F5828" s="2">
        <v>332255597.31999999</v>
      </c>
    </row>
    <row r="5829" spans="1:6" x14ac:dyDescent="0.25">
      <c r="A5829" s="1">
        <v>45108</v>
      </c>
      <c r="B5829" t="s">
        <v>405</v>
      </c>
      <c r="C5829" t="s">
        <v>1060</v>
      </c>
      <c r="D5829">
        <v>0</v>
      </c>
      <c r="E5829">
        <v>0</v>
      </c>
      <c r="F5829">
        <v>0</v>
      </c>
    </row>
    <row r="5830" spans="1:6" x14ac:dyDescent="0.25">
      <c r="A5830" s="1">
        <v>45108</v>
      </c>
      <c r="B5830" t="s">
        <v>21</v>
      </c>
      <c r="C5830" t="s">
        <v>963</v>
      </c>
      <c r="D5830">
        <v>0</v>
      </c>
      <c r="E5830">
        <v>0</v>
      </c>
      <c r="F5830">
        <v>0</v>
      </c>
    </row>
    <row r="5831" spans="1:6" x14ac:dyDescent="0.25">
      <c r="A5831" s="1">
        <v>45108</v>
      </c>
      <c r="B5831" t="s">
        <v>21</v>
      </c>
      <c r="C5831" t="s">
        <v>202</v>
      </c>
      <c r="D5831">
        <v>0</v>
      </c>
      <c r="E5831">
        <v>0</v>
      </c>
      <c r="F5831">
        <v>0</v>
      </c>
    </row>
    <row r="5832" spans="1:6" x14ac:dyDescent="0.25">
      <c r="A5832" s="1">
        <v>45108</v>
      </c>
      <c r="B5832" t="s">
        <v>21</v>
      </c>
      <c r="C5832" t="s">
        <v>775</v>
      </c>
      <c r="D5832" s="2">
        <v>-654755.59</v>
      </c>
      <c r="E5832" s="2">
        <v>396229.34</v>
      </c>
      <c r="F5832" s="2">
        <v>202934.03</v>
      </c>
    </row>
    <row r="5833" spans="1:6" x14ac:dyDescent="0.25">
      <c r="A5833" s="1">
        <v>45108</v>
      </c>
      <c r="B5833" t="s">
        <v>132</v>
      </c>
      <c r="C5833" t="s">
        <v>415</v>
      </c>
      <c r="D5833" s="2">
        <v>3951758</v>
      </c>
      <c r="E5833">
        <v>0</v>
      </c>
      <c r="F5833">
        <v>0</v>
      </c>
    </row>
    <row r="5834" spans="1:6" x14ac:dyDescent="0.25">
      <c r="A5834" s="1">
        <v>45108</v>
      </c>
      <c r="B5834" t="s">
        <v>50</v>
      </c>
      <c r="C5834" t="s">
        <v>323</v>
      </c>
      <c r="D5834" s="2">
        <v>33253.26</v>
      </c>
      <c r="E5834" s="2">
        <v>19157.16</v>
      </c>
      <c r="F5834" s="2">
        <v>9111.44</v>
      </c>
    </row>
    <row r="5835" spans="1:6" x14ac:dyDescent="0.25">
      <c r="A5835" s="1">
        <v>45108</v>
      </c>
      <c r="B5835" t="s">
        <v>422</v>
      </c>
      <c r="C5835" t="s">
        <v>1018</v>
      </c>
      <c r="D5835" s="2">
        <v>580000</v>
      </c>
      <c r="E5835">
        <v>0</v>
      </c>
      <c r="F5835">
        <v>0</v>
      </c>
    </row>
    <row r="5836" spans="1:6" x14ac:dyDescent="0.25">
      <c r="A5836" s="1">
        <v>45108</v>
      </c>
      <c r="B5836" t="s">
        <v>405</v>
      </c>
      <c r="C5836" t="s">
        <v>1250</v>
      </c>
      <c r="D5836">
        <v>0</v>
      </c>
      <c r="E5836">
        <v>0</v>
      </c>
      <c r="F5836">
        <v>0</v>
      </c>
    </row>
    <row r="5837" spans="1:6" x14ac:dyDescent="0.25">
      <c r="A5837" s="1">
        <v>45108</v>
      </c>
      <c r="B5837" t="s">
        <v>278</v>
      </c>
      <c r="C5837" t="s">
        <v>401</v>
      </c>
      <c r="D5837" s="2">
        <v>50408396.399999999</v>
      </c>
      <c r="E5837" s="2">
        <v>50733691.520000003</v>
      </c>
      <c r="F5837" s="2">
        <v>50946982.509999998</v>
      </c>
    </row>
    <row r="5838" spans="1:6" x14ac:dyDescent="0.25">
      <c r="A5838" s="1">
        <v>45108</v>
      </c>
      <c r="B5838" t="s">
        <v>263</v>
      </c>
      <c r="C5838" t="s">
        <v>741</v>
      </c>
      <c r="D5838" s="2">
        <v>271287.06</v>
      </c>
      <c r="E5838" s="2">
        <v>110502.81</v>
      </c>
      <c r="F5838" s="2">
        <v>110502.81</v>
      </c>
    </row>
    <row r="5839" spans="1:6" x14ac:dyDescent="0.25">
      <c r="A5839" s="1">
        <v>45108</v>
      </c>
      <c r="B5839" t="s">
        <v>1058</v>
      </c>
      <c r="C5839" t="s">
        <v>1059</v>
      </c>
      <c r="D5839" s="2">
        <v>25367246.23</v>
      </c>
      <c r="E5839" s="2">
        <v>12673232.52</v>
      </c>
      <c r="F5839" s="2">
        <v>12673232.52</v>
      </c>
    </row>
    <row r="5840" spans="1:6" x14ac:dyDescent="0.25">
      <c r="A5840" s="1">
        <v>45108</v>
      </c>
      <c r="B5840" t="s">
        <v>143</v>
      </c>
      <c r="C5840" t="s">
        <v>507</v>
      </c>
      <c r="D5840" s="2">
        <v>688987056</v>
      </c>
      <c r="E5840" s="2">
        <v>688987056</v>
      </c>
      <c r="F5840" s="2">
        <v>688987056</v>
      </c>
    </row>
    <row r="5841" spans="1:6" x14ac:dyDescent="0.25">
      <c r="A5841" s="1">
        <v>45108</v>
      </c>
      <c r="B5841" t="s">
        <v>107</v>
      </c>
      <c r="C5841" t="s">
        <v>509</v>
      </c>
      <c r="D5841">
        <v>0</v>
      </c>
      <c r="E5841">
        <v>0</v>
      </c>
      <c r="F5841">
        <v>0</v>
      </c>
    </row>
    <row r="5842" spans="1:6" x14ac:dyDescent="0.25">
      <c r="A5842" s="1">
        <v>45108</v>
      </c>
      <c r="B5842" t="s">
        <v>405</v>
      </c>
      <c r="C5842" t="s">
        <v>416</v>
      </c>
      <c r="D5842">
        <v>0</v>
      </c>
      <c r="E5842">
        <v>0</v>
      </c>
      <c r="F5842">
        <v>0</v>
      </c>
    </row>
    <row r="5843" spans="1:6" x14ac:dyDescent="0.25">
      <c r="A5843" s="1">
        <v>45108</v>
      </c>
      <c r="B5843" t="s">
        <v>21</v>
      </c>
      <c r="C5843" t="s">
        <v>998</v>
      </c>
      <c r="D5843">
        <v>0</v>
      </c>
      <c r="E5843">
        <v>0</v>
      </c>
      <c r="F5843">
        <v>0</v>
      </c>
    </row>
    <row r="5844" spans="1:6" x14ac:dyDescent="0.25">
      <c r="A5844" s="1">
        <v>45108</v>
      </c>
      <c r="B5844" t="s">
        <v>17</v>
      </c>
      <c r="C5844" t="s">
        <v>477</v>
      </c>
      <c r="D5844">
        <v>0</v>
      </c>
      <c r="E5844">
        <v>0</v>
      </c>
      <c r="F5844">
        <v>0</v>
      </c>
    </row>
    <row r="5845" spans="1:6" x14ac:dyDescent="0.25">
      <c r="A5845" s="1">
        <v>45108</v>
      </c>
      <c r="B5845" t="s">
        <v>726</v>
      </c>
      <c r="C5845" t="s">
        <v>1011</v>
      </c>
      <c r="D5845" s="2">
        <v>1386650</v>
      </c>
      <c r="E5845" s="2">
        <v>209083.77</v>
      </c>
      <c r="F5845" s="2">
        <v>242774.18</v>
      </c>
    </row>
    <row r="5846" spans="1:6" x14ac:dyDescent="0.25">
      <c r="A5846" s="1">
        <v>45108</v>
      </c>
      <c r="B5846" t="s">
        <v>234</v>
      </c>
      <c r="C5846" t="s">
        <v>1294</v>
      </c>
      <c r="D5846" s="2">
        <v>26565</v>
      </c>
      <c r="E5846" s="2">
        <v>1955.97</v>
      </c>
      <c r="F5846" s="2">
        <v>1955.97</v>
      </c>
    </row>
    <row r="5847" spans="1:6" x14ac:dyDescent="0.25">
      <c r="A5847" s="1">
        <v>45108</v>
      </c>
      <c r="B5847" t="s">
        <v>159</v>
      </c>
      <c r="C5847" t="s">
        <v>525</v>
      </c>
      <c r="D5847" s="2">
        <v>100000</v>
      </c>
      <c r="E5847" s="2">
        <v>14480.24</v>
      </c>
      <c r="F5847" s="2">
        <v>6130.59</v>
      </c>
    </row>
    <row r="5848" spans="1:6" x14ac:dyDescent="0.25">
      <c r="A5848" s="1">
        <v>45108</v>
      </c>
      <c r="B5848" t="s">
        <v>42</v>
      </c>
      <c r="C5848" t="s">
        <v>258</v>
      </c>
      <c r="D5848">
        <v>0</v>
      </c>
      <c r="E5848" s="2">
        <v>200000000</v>
      </c>
      <c r="F5848" s="2">
        <v>200000000</v>
      </c>
    </row>
    <row r="5849" spans="1:6" x14ac:dyDescent="0.25">
      <c r="A5849" s="1">
        <v>45108</v>
      </c>
      <c r="B5849" t="s">
        <v>55</v>
      </c>
      <c r="C5849" t="s">
        <v>203</v>
      </c>
      <c r="D5849">
        <v>0</v>
      </c>
      <c r="E5849">
        <v>0</v>
      </c>
      <c r="F5849">
        <v>0</v>
      </c>
    </row>
    <row r="5850" spans="1:6" x14ac:dyDescent="0.25">
      <c r="A5850" s="1">
        <v>45108</v>
      </c>
      <c r="B5850" t="s">
        <v>40</v>
      </c>
      <c r="C5850" t="s">
        <v>695</v>
      </c>
      <c r="D5850">
        <v>53.3</v>
      </c>
      <c r="E5850" s="2">
        <v>18001.64</v>
      </c>
      <c r="F5850" s="2">
        <v>23174.9</v>
      </c>
    </row>
    <row r="5851" spans="1:6" x14ac:dyDescent="0.25">
      <c r="A5851" s="1">
        <v>45108</v>
      </c>
      <c r="B5851" t="s">
        <v>21</v>
      </c>
      <c r="C5851" t="s">
        <v>1026</v>
      </c>
      <c r="D5851">
        <v>0</v>
      </c>
      <c r="E5851">
        <v>0</v>
      </c>
      <c r="F5851">
        <v>0</v>
      </c>
    </row>
    <row r="5852" spans="1:6" x14ac:dyDescent="0.25">
      <c r="A5852" s="1">
        <v>45108</v>
      </c>
      <c r="B5852" t="s">
        <v>490</v>
      </c>
      <c r="C5852" t="s">
        <v>1190</v>
      </c>
      <c r="D5852" s="2">
        <v>96751670</v>
      </c>
      <c r="E5852" s="2">
        <v>36739435</v>
      </c>
      <c r="F5852" s="2">
        <v>36739435</v>
      </c>
    </row>
    <row r="5853" spans="1:6" x14ac:dyDescent="0.25">
      <c r="A5853" s="1">
        <v>45108</v>
      </c>
      <c r="B5853" t="s">
        <v>105</v>
      </c>
      <c r="C5853" t="s">
        <v>755</v>
      </c>
      <c r="D5853" s="2">
        <v>1112217.33</v>
      </c>
      <c r="E5853" s="2">
        <v>966557</v>
      </c>
      <c r="F5853" s="2">
        <v>966557</v>
      </c>
    </row>
    <row r="5854" spans="1:6" x14ac:dyDescent="0.25">
      <c r="A5854" s="1">
        <v>45108</v>
      </c>
      <c r="B5854" t="s">
        <v>458</v>
      </c>
      <c r="C5854" t="s">
        <v>30</v>
      </c>
      <c r="D5854">
        <v>0</v>
      </c>
      <c r="E5854">
        <v>0</v>
      </c>
      <c r="F5854">
        <v>0</v>
      </c>
    </row>
    <row r="5855" spans="1:6" x14ac:dyDescent="0.25">
      <c r="A5855" s="1">
        <v>45108</v>
      </c>
      <c r="B5855" t="s">
        <v>68</v>
      </c>
      <c r="C5855" t="s">
        <v>221</v>
      </c>
      <c r="D5855" s="2">
        <v>23955.18</v>
      </c>
      <c r="E5855" s="2">
        <v>10136806.41</v>
      </c>
      <c r="F5855" s="2">
        <v>10348346.07</v>
      </c>
    </row>
    <row r="5856" spans="1:6" x14ac:dyDescent="0.25">
      <c r="A5856" s="1">
        <v>45108</v>
      </c>
      <c r="B5856" t="s">
        <v>44</v>
      </c>
      <c r="C5856" t="s">
        <v>1237</v>
      </c>
      <c r="D5856">
        <v>0</v>
      </c>
      <c r="E5856" s="2">
        <v>2320</v>
      </c>
      <c r="F5856" s="2">
        <v>2320</v>
      </c>
    </row>
    <row r="5857" spans="1:6" x14ac:dyDescent="0.25">
      <c r="A5857" s="1">
        <v>45108</v>
      </c>
      <c r="B5857" t="s">
        <v>55</v>
      </c>
      <c r="C5857" t="s">
        <v>1295</v>
      </c>
      <c r="D5857">
        <v>0</v>
      </c>
      <c r="E5857">
        <v>0</v>
      </c>
      <c r="F5857">
        <v>0</v>
      </c>
    </row>
    <row r="5858" spans="1:6" x14ac:dyDescent="0.25">
      <c r="A5858" s="1">
        <v>45108</v>
      </c>
      <c r="B5858" t="s">
        <v>63</v>
      </c>
      <c r="C5858" t="s">
        <v>64</v>
      </c>
      <c r="D5858" s="2">
        <v>-3000</v>
      </c>
      <c r="E5858" s="2">
        <v>144936.07</v>
      </c>
      <c r="F5858" s="2">
        <v>16824</v>
      </c>
    </row>
    <row r="5859" spans="1:6" x14ac:dyDescent="0.25">
      <c r="A5859" s="1">
        <v>45108</v>
      </c>
      <c r="B5859" t="s">
        <v>132</v>
      </c>
      <c r="C5859" t="s">
        <v>385</v>
      </c>
      <c r="D5859" s="2">
        <v>11831876.43</v>
      </c>
      <c r="E5859" s="2">
        <v>3768590.27</v>
      </c>
      <c r="F5859" s="2">
        <v>6101759.96</v>
      </c>
    </row>
    <row r="5860" spans="1:6" x14ac:dyDescent="0.25">
      <c r="A5860" s="1">
        <v>45108</v>
      </c>
      <c r="B5860" t="s">
        <v>196</v>
      </c>
      <c r="C5860" t="s">
        <v>506</v>
      </c>
      <c r="D5860">
        <v>0</v>
      </c>
      <c r="E5860">
        <v>0</v>
      </c>
      <c r="F5860">
        <v>0</v>
      </c>
    </row>
    <row r="5861" spans="1:6" x14ac:dyDescent="0.25">
      <c r="A5861" s="1">
        <v>45108</v>
      </c>
      <c r="B5861" t="s">
        <v>98</v>
      </c>
      <c r="C5861" t="s">
        <v>1108</v>
      </c>
      <c r="D5861">
        <v>0</v>
      </c>
      <c r="E5861">
        <v>0</v>
      </c>
      <c r="F5861">
        <v>0</v>
      </c>
    </row>
    <row r="5862" spans="1:6" x14ac:dyDescent="0.25">
      <c r="A5862" s="1">
        <v>45108</v>
      </c>
      <c r="B5862" t="s">
        <v>63</v>
      </c>
      <c r="C5862" t="s">
        <v>1135</v>
      </c>
      <c r="D5862">
        <v>0</v>
      </c>
      <c r="E5862" s="2">
        <v>53518.75</v>
      </c>
      <c r="F5862" s="2">
        <v>53518.75</v>
      </c>
    </row>
    <row r="5863" spans="1:6" x14ac:dyDescent="0.25">
      <c r="A5863" s="1">
        <v>45108</v>
      </c>
      <c r="B5863" t="s">
        <v>40</v>
      </c>
      <c r="C5863" t="s">
        <v>1296</v>
      </c>
      <c r="D5863">
        <v>0</v>
      </c>
      <c r="E5863">
        <v>0</v>
      </c>
      <c r="F5863">
        <v>0</v>
      </c>
    </row>
    <row r="5864" spans="1:6" x14ac:dyDescent="0.25">
      <c r="A5864" s="1">
        <v>45108</v>
      </c>
      <c r="B5864" t="s">
        <v>206</v>
      </c>
      <c r="C5864" t="s">
        <v>832</v>
      </c>
      <c r="D5864" s="2">
        <v>-23118991.989999998</v>
      </c>
      <c r="E5864" s="2">
        <v>121385882.20999999</v>
      </c>
      <c r="F5864" s="2">
        <v>121385882.20999999</v>
      </c>
    </row>
    <row r="5865" spans="1:6" x14ac:dyDescent="0.25">
      <c r="A5865" s="1">
        <v>45108</v>
      </c>
      <c r="B5865" t="s">
        <v>48</v>
      </c>
      <c r="C5865" t="s">
        <v>1074</v>
      </c>
      <c r="D5865" s="2">
        <v>-126803.13</v>
      </c>
      <c r="E5865">
        <v>0</v>
      </c>
      <c r="F5865">
        <v>0</v>
      </c>
    </row>
    <row r="5866" spans="1:6" x14ac:dyDescent="0.25">
      <c r="A5866" s="1">
        <v>45108</v>
      </c>
      <c r="B5866" t="s">
        <v>68</v>
      </c>
      <c r="C5866" t="s">
        <v>87</v>
      </c>
      <c r="D5866" s="2">
        <v>55918.06</v>
      </c>
      <c r="E5866" s="2">
        <v>582682.99</v>
      </c>
      <c r="F5866" s="2">
        <v>580789.65</v>
      </c>
    </row>
    <row r="5867" spans="1:6" x14ac:dyDescent="0.25">
      <c r="A5867" s="1">
        <v>45108</v>
      </c>
      <c r="B5867" t="s">
        <v>40</v>
      </c>
      <c r="C5867" t="s">
        <v>466</v>
      </c>
      <c r="D5867">
        <v>0</v>
      </c>
      <c r="E5867">
        <v>0</v>
      </c>
      <c r="F5867" s="2">
        <v>1473408</v>
      </c>
    </row>
    <row r="5868" spans="1:6" x14ac:dyDescent="0.25">
      <c r="A5868" s="1">
        <v>45108</v>
      </c>
      <c r="B5868" t="s">
        <v>458</v>
      </c>
      <c r="C5868" t="s">
        <v>260</v>
      </c>
      <c r="D5868">
        <v>0</v>
      </c>
      <c r="E5868">
        <v>0</v>
      </c>
      <c r="F5868">
        <v>0</v>
      </c>
    </row>
    <row r="5869" spans="1:6" x14ac:dyDescent="0.25">
      <c r="A5869" s="1">
        <v>45108</v>
      </c>
      <c r="B5869" t="s">
        <v>35</v>
      </c>
      <c r="C5869" t="s">
        <v>36</v>
      </c>
      <c r="D5869">
        <v>0</v>
      </c>
      <c r="E5869">
        <v>0</v>
      </c>
      <c r="F5869">
        <v>0</v>
      </c>
    </row>
    <row r="5870" spans="1:6" x14ac:dyDescent="0.25">
      <c r="A5870" s="1">
        <v>45108</v>
      </c>
      <c r="B5870" t="s">
        <v>21</v>
      </c>
      <c r="C5870" t="s">
        <v>634</v>
      </c>
      <c r="D5870">
        <v>0</v>
      </c>
      <c r="E5870" s="2">
        <v>71807.27</v>
      </c>
      <c r="F5870" s="2">
        <v>71807.27</v>
      </c>
    </row>
    <row r="5871" spans="1:6" x14ac:dyDescent="0.25">
      <c r="A5871" s="1">
        <v>45108</v>
      </c>
      <c r="B5871" t="s">
        <v>40</v>
      </c>
      <c r="C5871" t="s">
        <v>654</v>
      </c>
      <c r="D5871" s="2">
        <v>17452.07</v>
      </c>
      <c r="E5871">
        <v>0</v>
      </c>
      <c r="F5871">
        <v>0</v>
      </c>
    </row>
    <row r="5872" spans="1:6" x14ac:dyDescent="0.25">
      <c r="A5872" s="1">
        <v>45108</v>
      </c>
      <c r="B5872" t="s">
        <v>21</v>
      </c>
      <c r="C5872" t="s">
        <v>595</v>
      </c>
      <c r="D5872" s="2">
        <v>585000</v>
      </c>
      <c r="E5872">
        <v>0</v>
      </c>
      <c r="F5872">
        <v>0</v>
      </c>
    </row>
    <row r="5873" spans="1:6" x14ac:dyDescent="0.25">
      <c r="A5873" s="1">
        <v>45108</v>
      </c>
      <c r="B5873" t="s">
        <v>103</v>
      </c>
      <c r="C5873" t="s">
        <v>220</v>
      </c>
      <c r="D5873" s="2">
        <v>263000</v>
      </c>
      <c r="E5873" s="2">
        <v>63063.62</v>
      </c>
      <c r="F5873" s="2">
        <v>159853.81</v>
      </c>
    </row>
    <row r="5874" spans="1:6" x14ac:dyDescent="0.25">
      <c r="A5874" s="1">
        <v>45108</v>
      </c>
      <c r="B5874" t="s">
        <v>1274</v>
      </c>
      <c r="C5874" t="s">
        <v>1275</v>
      </c>
      <c r="D5874">
        <v>0</v>
      </c>
      <c r="E5874">
        <v>0</v>
      </c>
      <c r="F5874">
        <v>0</v>
      </c>
    </row>
    <row r="5875" spans="1:6" x14ac:dyDescent="0.25">
      <c r="A5875" s="1">
        <v>45108</v>
      </c>
      <c r="B5875" t="s">
        <v>21</v>
      </c>
      <c r="C5875" t="s">
        <v>238</v>
      </c>
      <c r="D5875" s="2">
        <v>3449497</v>
      </c>
      <c r="E5875">
        <v>0</v>
      </c>
      <c r="F5875">
        <v>0</v>
      </c>
    </row>
    <row r="5876" spans="1:6" x14ac:dyDescent="0.25">
      <c r="A5876" s="1">
        <v>45108</v>
      </c>
      <c r="B5876" t="s">
        <v>98</v>
      </c>
      <c r="C5876" t="s">
        <v>618</v>
      </c>
      <c r="D5876">
        <v>0</v>
      </c>
      <c r="E5876">
        <v>0</v>
      </c>
      <c r="F5876">
        <v>0</v>
      </c>
    </row>
    <row r="5877" spans="1:6" x14ac:dyDescent="0.25">
      <c r="A5877" s="1">
        <v>45108</v>
      </c>
      <c r="B5877" t="s">
        <v>23</v>
      </c>
      <c r="C5877" t="s">
        <v>1088</v>
      </c>
      <c r="D5877">
        <v>0</v>
      </c>
      <c r="E5877" s="2">
        <v>224039.04000000001</v>
      </c>
      <c r="F5877" s="2">
        <v>237312.74</v>
      </c>
    </row>
    <row r="5878" spans="1:6" x14ac:dyDescent="0.25">
      <c r="A5878" s="1">
        <v>45108</v>
      </c>
      <c r="B5878" t="s">
        <v>261</v>
      </c>
      <c r="C5878" t="s">
        <v>34</v>
      </c>
      <c r="D5878">
        <v>0</v>
      </c>
      <c r="E5878">
        <v>0</v>
      </c>
      <c r="F5878">
        <v>0</v>
      </c>
    </row>
    <row r="5879" spans="1:6" x14ac:dyDescent="0.25">
      <c r="A5879" s="1">
        <v>45108</v>
      </c>
      <c r="B5879" t="s">
        <v>17</v>
      </c>
      <c r="C5879" t="s">
        <v>268</v>
      </c>
      <c r="D5879" s="2">
        <v>188810</v>
      </c>
      <c r="E5879">
        <v>0</v>
      </c>
      <c r="F5879">
        <v>0</v>
      </c>
    </row>
    <row r="5880" spans="1:6" x14ac:dyDescent="0.25">
      <c r="A5880" s="1">
        <v>45108</v>
      </c>
      <c r="B5880" t="s">
        <v>21</v>
      </c>
      <c r="C5880" t="s">
        <v>1297</v>
      </c>
      <c r="D5880" s="2">
        <v>313337.93</v>
      </c>
      <c r="E5880">
        <v>0</v>
      </c>
      <c r="F5880">
        <v>0</v>
      </c>
    </row>
    <row r="5881" spans="1:6" x14ac:dyDescent="0.25">
      <c r="A5881" s="1">
        <v>45108</v>
      </c>
      <c r="B5881" t="s">
        <v>234</v>
      </c>
      <c r="C5881" t="s">
        <v>299</v>
      </c>
      <c r="D5881" s="2">
        <v>4454179915.9399996</v>
      </c>
      <c r="E5881" s="2">
        <v>4454179915.9399996</v>
      </c>
      <c r="F5881" s="2">
        <v>4454179915.9399996</v>
      </c>
    </row>
    <row r="5882" spans="1:6" x14ac:dyDescent="0.25">
      <c r="A5882" s="1">
        <v>45108</v>
      </c>
      <c r="B5882" t="s">
        <v>98</v>
      </c>
      <c r="C5882" t="s">
        <v>1166</v>
      </c>
      <c r="D5882">
        <v>0</v>
      </c>
      <c r="E5882">
        <v>0</v>
      </c>
      <c r="F5882">
        <v>0</v>
      </c>
    </row>
    <row r="5883" spans="1:6" x14ac:dyDescent="0.25">
      <c r="A5883" s="1">
        <v>45108</v>
      </c>
      <c r="B5883" t="s">
        <v>96</v>
      </c>
      <c r="C5883" t="s">
        <v>625</v>
      </c>
      <c r="D5883">
        <v>0</v>
      </c>
      <c r="E5883">
        <v>0</v>
      </c>
      <c r="F5883">
        <v>0</v>
      </c>
    </row>
    <row r="5884" spans="1:6" x14ac:dyDescent="0.25">
      <c r="A5884" s="1">
        <v>45108</v>
      </c>
      <c r="B5884" t="s">
        <v>196</v>
      </c>
      <c r="C5884" t="s">
        <v>499</v>
      </c>
      <c r="D5884">
        <v>0</v>
      </c>
      <c r="E5884">
        <v>0</v>
      </c>
      <c r="F5884">
        <v>0</v>
      </c>
    </row>
    <row r="5885" spans="1:6" x14ac:dyDescent="0.25">
      <c r="A5885" s="1">
        <v>45108</v>
      </c>
      <c r="B5885" t="s">
        <v>402</v>
      </c>
      <c r="C5885" t="s">
        <v>1070</v>
      </c>
      <c r="D5885">
        <v>0</v>
      </c>
      <c r="E5885">
        <v>0</v>
      </c>
      <c r="F5885">
        <v>0</v>
      </c>
    </row>
    <row r="5886" spans="1:6" x14ac:dyDescent="0.25">
      <c r="A5886" s="1">
        <v>45108</v>
      </c>
      <c r="B5886" t="s">
        <v>405</v>
      </c>
      <c r="C5886" t="s">
        <v>1288</v>
      </c>
      <c r="D5886">
        <v>0</v>
      </c>
      <c r="E5886">
        <v>0</v>
      </c>
      <c r="F5886">
        <v>0</v>
      </c>
    </row>
    <row r="5887" spans="1:6" x14ac:dyDescent="0.25">
      <c r="A5887" s="1">
        <v>45108</v>
      </c>
      <c r="B5887" t="s">
        <v>75</v>
      </c>
      <c r="C5887" t="s">
        <v>76</v>
      </c>
      <c r="D5887" s="2">
        <v>-59098.47</v>
      </c>
      <c r="E5887" s="2">
        <v>80602.210000000006</v>
      </c>
      <c r="F5887" s="2">
        <v>80602.210000000006</v>
      </c>
    </row>
    <row r="5888" spans="1:6" x14ac:dyDescent="0.25">
      <c r="A5888" s="1">
        <v>45108</v>
      </c>
      <c r="B5888" t="s">
        <v>65</v>
      </c>
      <c r="C5888" t="s">
        <v>66</v>
      </c>
      <c r="D5888" s="2">
        <v>526259.91</v>
      </c>
      <c r="E5888" s="2">
        <v>746750.47</v>
      </c>
      <c r="F5888" s="2">
        <v>746750.47</v>
      </c>
    </row>
    <row r="5889" spans="1:6" x14ac:dyDescent="0.25">
      <c r="A5889" s="1">
        <v>45108</v>
      </c>
      <c r="B5889" t="s">
        <v>176</v>
      </c>
      <c r="C5889" t="s">
        <v>95</v>
      </c>
      <c r="D5889">
        <v>0</v>
      </c>
      <c r="E5889">
        <v>0</v>
      </c>
      <c r="F5889">
        <v>0</v>
      </c>
    </row>
    <row r="5890" spans="1:6" x14ac:dyDescent="0.25">
      <c r="A5890" s="1">
        <v>45108</v>
      </c>
      <c r="B5890" t="s">
        <v>21</v>
      </c>
      <c r="C5890" t="s">
        <v>1017</v>
      </c>
      <c r="D5890" s="2">
        <v>1409132</v>
      </c>
      <c r="E5890" s="2">
        <v>6854.31</v>
      </c>
      <c r="F5890" s="2">
        <v>6854.31</v>
      </c>
    </row>
    <row r="5891" spans="1:6" x14ac:dyDescent="0.25">
      <c r="A5891" s="1">
        <v>45108</v>
      </c>
      <c r="B5891" t="s">
        <v>9</v>
      </c>
      <c r="C5891" t="s">
        <v>1298</v>
      </c>
      <c r="D5891" s="2">
        <v>10000</v>
      </c>
      <c r="E5891">
        <v>0</v>
      </c>
      <c r="F5891">
        <v>0</v>
      </c>
    </row>
    <row r="5892" spans="1:6" x14ac:dyDescent="0.25">
      <c r="A5892" s="1">
        <v>45108</v>
      </c>
      <c r="B5892" t="s">
        <v>63</v>
      </c>
      <c r="C5892" t="s">
        <v>714</v>
      </c>
      <c r="D5892" s="2">
        <v>-2236219.2999999998</v>
      </c>
      <c r="E5892" s="2">
        <v>2158296.9300000002</v>
      </c>
      <c r="F5892" s="2">
        <v>3140615.82</v>
      </c>
    </row>
    <row r="5893" spans="1:6" x14ac:dyDescent="0.25">
      <c r="A5893" s="1">
        <v>45108</v>
      </c>
      <c r="B5893" t="s">
        <v>118</v>
      </c>
      <c r="C5893" t="s">
        <v>179</v>
      </c>
      <c r="D5893">
        <v>0</v>
      </c>
      <c r="E5893">
        <v>0</v>
      </c>
      <c r="F5893">
        <v>0</v>
      </c>
    </row>
    <row r="5894" spans="1:6" x14ac:dyDescent="0.25">
      <c r="A5894" s="1">
        <v>45108</v>
      </c>
      <c r="B5894" t="s">
        <v>40</v>
      </c>
      <c r="C5894" t="s">
        <v>873</v>
      </c>
      <c r="D5894">
        <v>0</v>
      </c>
      <c r="E5894" s="2">
        <v>2881094058.4200001</v>
      </c>
      <c r="F5894" s="2">
        <v>2881094058.4200001</v>
      </c>
    </row>
    <row r="5895" spans="1:6" x14ac:dyDescent="0.25">
      <c r="A5895" s="1">
        <v>45108</v>
      </c>
      <c r="B5895" t="s">
        <v>648</v>
      </c>
      <c r="C5895" t="s">
        <v>1299</v>
      </c>
      <c r="D5895" s="2">
        <v>3000000</v>
      </c>
      <c r="E5895">
        <v>0</v>
      </c>
      <c r="F5895">
        <v>0</v>
      </c>
    </row>
    <row r="5896" spans="1:6" x14ac:dyDescent="0.25">
      <c r="A5896" s="1">
        <v>45108</v>
      </c>
      <c r="B5896" t="s">
        <v>441</v>
      </c>
      <c r="C5896" t="s">
        <v>914</v>
      </c>
      <c r="D5896">
        <v>0</v>
      </c>
      <c r="E5896">
        <v>0</v>
      </c>
      <c r="F5896">
        <v>0</v>
      </c>
    </row>
    <row r="5897" spans="1:6" x14ac:dyDescent="0.25">
      <c r="A5897" s="1">
        <v>45108</v>
      </c>
      <c r="B5897" t="s">
        <v>37</v>
      </c>
      <c r="C5897" t="s">
        <v>134</v>
      </c>
      <c r="D5897" s="2">
        <v>6375469000</v>
      </c>
      <c r="E5897">
        <v>0</v>
      </c>
      <c r="F5897">
        <v>0</v>
      </c>
    </row>
    <row r="5898" spans="1:6" x14ac:dyDescent="0.25">
      <c r="A5898" s="1">
        <v>45108</v>
      </c>
      <c r="B5898" t="s">
        <v>278</v>
      </c>
      <c r="C5898" t="s">
        <v>722</v>
      </c>
      <c r="D5898" s="2">
        <v>110000</v>
      </c>
      <c r="E5898" s="2">
        <v>220000</v>
      </c>
      <c r="F5898" s="2">
        <v>220000</v>
      </c>
    </row>
    <row r="5899" spans="1:6" x14ac:dyDescent="0.25">
      <c r="A5899" s="1">
        <v>45108</v>
      </c>
      <c r="B5899" t="s">
        <v>21</v>
      </c>
      <c r="C5899" t="s">
        <v>276</v>
      </c>
      <c r="D5899">
        <v>0</v>
      </c>
      <c r="E5899" s="2">
        <v>1310731.43</v>
      </c>
      <c r="F5899" s="2">
        <v>1310731.43</v>
      </c>
    </row>
    <row r="5900" spans="1:6" x14ac:dyDescent="0.25">
      <c r="A5900" s="1">
        <v>45108</v>
      </c>
      <c r="B5900" t="s">
        <v>458</v>
      </c>
      <c r="C5900" t="s">
        <v>782</v>
      </c>
      <c r="D5900">
        <v>0</v>
      </c>
      <c r="E5900">
        <v>0</v>
      </c>
      <c r="F5900">
        <v>0</v>
      </c>
    </row>
    <row r="5901" spans="1:6" x14ac:dyDescent="0.25">
      <c r="A5901" s="1">
        <v>45108</v>
      </c>
      <c r="B5901" t="s">
        <v>40</v>
      </c>
      <c r="C5901" t="s">
        <v>325</v>
      </c>
      <c r="D5901">
        <v>0</v>
      </c>
      <c r="E5901" s="2">
        <v>3929423.94</v>
      </c>
      <c r="F5901" s="2">
        <v>5238804.21</v>
      </c>
    </row>
    <row r="5902" spans="1:6" x14ac:dyDescent="0.25">
      <c r="A5902" s="1">
        <v>45108</v>
      </c>
      <c r="B5902" t="s">
        <v>21</v>
      </c>
      <c r="C5902" t="s">
        <v>212</v>
      </c>
      <c r="D5902">
        <v>0</v>
      </c>
      <c r="E5902" s="2">
        <v>13895829.890000001</v>
      </c>
      <c r="F5902" s="2">
        <v>13895829.890000001</v>
      </c>
    </row>
    <row r="5903" spans="1:6" x14ac:dyDescent="0.25">
      <c r="A5903" s="1">
        <v>45108</v>
      </c>
      <c r="B5903" t="s">
        <v>107</v>
      </c>
      <c r="C5903" t="s">
        <v>147</v>
      </c>
      <c r="D5903">
        <v>0</v>
      </c>
      <c r="E5903" s="2">
        <v>3440</v>
      </c>
      <c r="F5903" s="2">
        <v>3060.8</v>
      </c>
    </row>
    <row r="5904" spans="1:6" x14ac:dyDescent="0.25">
      <c r="A5904" s="1">
        <v>45108</v>
      </c>
      <c r="B5904" t="s">
        <v>405</v>
      </c>
      <c r="C5904" t="s">
        <v>72</v>
      </c>
      <c r="D5904">
        <v>0</v>
      </c>
      <c r="E5904">
        <v>0</v>
      </c>
      <c r="F5904">
        <v>0</v>
      </c>
    </row>
    <row r="5905" spans="1:6" x14ac:dyDescent="0.25">
      <c r="A5905" s="1">
        <v>45108</v>
      </c>
      <c r="B5905" t="s">
        <v>11</v>
      </c>
      <c r="C5905" t="s">
        <v>83</v>
      </c>
      <c r="D5905">
        <v>0</v>
      </c>
      <c r="E5905" s="2">
        <v>16133002363.969999</v>
      </c>
      <c r="F5905" s="2">
        <v>16133002363.969999</v>
      </c>
    </row>
    <row r="5906" spans="1:6" x14ac:dyDescent="0.25">
      <c r="A5906" s="1">
        <v>45108</v>
      </c>
      <c r="B5906" t="s">
        <v>21</v>
      </c>
      <c r="C5906" t="s">
        <v>1234</v>
      </c>
      <c r="D5906">
        <v>0</v>
      </c>
      <c r="E5906">
        <v>0</v>
      </c>
      <c r="F5906">
        <v>0</v>
      </c>
    </row>
    <row r="5907" spans="1:6" x14ac:dyDescent="0.25">
      <c r="A5907" s="1">
        <v>45108</v>
      </c>
      <c r="B5907" t="s">
        <v>40</v>
      </c>
      <c r="C5907" t="s">
        <v>859</v>
      </c>
      <c r="D5907">
        <v>0</v>
      </c>
      <c r="E5907">
        <v>0</v>
      </c>
      <c r="F5907">
        <v>0</v>
      </c>
    </row>
    <row r="5908" spans="1:6" x14ac:dyDescent="0.25">
      <c r="A5908" s="1">
        <v>45108</v>
      </c>
      <c r="B5908" t="s">
        <v>661</v>
      </c>
      <c r="C5908" t="s">
        <v>95</v>
      </c>
      <c r="D5908">
        <v>0</v>
      </c>
      <c r="E5908">
        <v>0</v>
      </c>
      <c r="F5908">
        <v>0</v>
      </c>
    </row>
    <row r="5909" spans="1:6" x14ac:dyDescent="0.25">
      <c r="A5909" s="1">
        <v>45108</v>
      </c>
      <c r="B5909" t="s">
        <v>44</v>
      </c>
      <c r="C5909" t="s">
        <v>386</v>
      </c>
      <c r="D5909">
        <v>0</v>
      </c>
      <c r="E5909" s="2">
        <v>11058.21</v>
      </c>
      <c r="F5909" s="2">
        <v>9673.35</v>
      </c>
    </row>
    <row r="5910" spans="1:6" x14ac:dyDescent="0.25">
      <c r="A5910" s="1">
        <v>45108</v>
      </c>
      <c r="B5910" t="s">
        <v>21</v>
      </c>
      <c r="C5910" t="s">
        <v>58</v>
      </c>
      <c r="D5910">
        <v>0</v>
      </c>
      <c r="E5910" s="2">
        <v>450837.2</v>
      </c>
      <c r="F5910" s="2">
        <v>450837.2</v>
      </c>
    </row>
    <row r="5911" spans="1:6" x14ac:dyDescent="0.25">
      <c r="A5911" s="1">
        <v>45108</v>
      </c>
      <c r="B5911" t="s">
        <v>50</v>
      </c>
      <c r="C5911" t="s">
        <v>146</v>
      </c>
      <c r="D5911" s="2">
        <v>11684098</v>
      </c>
      <c r="E5911" s="2">
        <v>26844088.140000001</v>
      </c>
      <c r="F5911" s="2">
        <v>26844088.140000001</v>
      </c>
    </row>
    <row r="5912" spans="1:6" x14ac:dyDescent="0.25">
      <c r="A5912" s="1">
        <v>45108</v>
      </c>
      <c r="B5912" t="s">
        <v>181</v>
      </c>
      <c r="C5912" t="s">
        <v>1125</v>
      </c>
      <c r="D5912">
        <v>0</v>
      </c>
      <c r="E5912">
        <v>0</v>
      </c>
      <c r="F5912">
        <v>0</v>
      </c>
    </row>
    <row r="5913" spans="1:6" x14ac:dyDescent="0.25">
      <c r="A5913" s="1">
        <v>45108</v>
      </c>
      <c r="B5913" t="s">
        <v>460</v>
      </c>
      <c r="C5913" t="s">
        <v>856</v>
      </c>
      <c r="D5913" s="2">
        <v>7834125.0899999999</v>
      </c>
      <c r="E5913" s="2">
        <v>9409229.2300000004</v>
      </c>
      <c r="F5913" s="2">
        <v>7548958.4900000002</v>
      </c>
    </row>
    <row r="5914" spans="1:6" x14ac:dyDescent="0.25">
      <c r="A5914" s="1">
        <v>45108</v>
      </c>
      <c r="B5914" t="s">
        <v>21</v>
      </c>
      <c r="C5914" t="s">
        <v>301</v>
      </c>
      <c r="D5914">
        <v>0</v>
      </c>
      <c r="E5914" s="2">
        <v>32378.33</v>
      </c>
      <c r="F5914" s="2">
        <v>32378.33</v>
      </c>
    </row>
    <row r="5915" spans="1:6" x14ac:dyDescent="0.25">
      <c r="A5915" s="1">
        <v>45108</v>
      </c>
      <c r="B5915" t="s">
        <v>44</v>
      </c>
      <c r="C5915" t="s">
        <v>240</v>
      </c>
      <c r="D5915" s="2">
        <v>457680</v>
      </c>
      <c r="E5915" s="2">
        <v>457309.94</v>
      </c>
      <c r="F5915" s="2">
        <v>430154.31</v>
      </c>
    </row>
    <row r="5916" spans="1:6" x14ac:dyDescent="0.25">
      <c r="A5916" s="1">
        <v>45108</v>
      </c>
      <c r="B5916" t="s">
        <v>185</v>
      </c>
      <c r="C5916" t="s">
        <v>316</v>
      </c>
      <c r="D5916" s="2">
        <v>4867860.54</v>
      </c>
      <c r="E5916" s="2">
        <v>56919832.780000001</v>
      </c>
      <c r="F5916" s="2">
        <v>65313689.090000004</v>
      </c>
    </row>
    <row r="5917" spans="1:6" x14ac:dyDescent="0.25">
      <c r="A5917" s="1">
        <v>45108</v>
      </c>
      <c r="B5917" t="s">
        <v>40</v>
      </c>
      <c r="C5917" t="s">
        <v>135</v>
      </c>
      <c r="D5917" s="2">
        <v>205271.03</v>
      </c>
      <c r="E5917">
        <v>0</v>
      </c>
      <c r="F5917" s="2">
        <v>430904.47</v>
      </c>
    </row>
    <row r="5918" spans="1:6" x14ac:dyDescent="0.25">
      <c r="A5918" s="1">
        <v>45108</v>
      </c>
      <c r="B5918" t="s">
        <v>50</v>
      </c>
      <c r="C5918" t="s">
        <v>1221</v>
      </c>
      <c r="D5918">
        <v>0</v>
      </c>
      <c r="E5918">
        <v>0</v>
      </c>
      <c r="F5918">
        <v>0</v>
      </c>
    </row>
    <row r="5919" spans="1:6" x14ac:dyDescent="0.25">
      <c r="A5919" s="1">
        <v>45108</v>
      </c>
      <c r="B5919" t="s">
        <v>42</v>
      </c>
      <c r="C5919" t="s">
        <v>334</v>
      </c>
      <c r="D5919" s="2">
        <v>149378.69</v>
      </c>
      <c r="E5919" s="2">
        <v>149378.69</v>
      </c>
      <c r="F5919" s="2">
        <v>149378.69</v>
      </c>
    </row>
    <row r="5920" spans="1:6" x14ac:dyDescent="0.25">
      <c r="A5920" s="1">
        <v>45108</v>
      </c>
      <c r="B5920" t="s">
        <v>98</v>
      </c>
      <c r="C5920" t="s">
        <v>413</v>
      </c>
      <c r="D5920">
        <v>0</v>
      </c>
      <c r="E5920">
        <v>0</v>
      </c>
      <c r="F5920">
        <v>0</v>
      </c>
    </row>
    <row r="5921" spans="1:6" x14ac:dyDescent="0.25">
      <c r="A5921" s="1">
        <v>45108</v>
      </c>
      <c r="B5921" t="s">
        <v>278</v>
      </c>
      <c r="C5921" t="s">
        <v>900</v>
      </c>
      <c r="D5921">
        <v>0</v>
      </c>
      <c r="E5921" s="2">
        <v>203579.95</v>
      </c>
      <c r="F5921" s="2">
        <v>229970.96</v>
      </c>
    </row>
    <row r="5922" spans="1:6" x14ac:dyDescent="0.25">
      <c r="A5922" s="1">
        <v>45108</v>
      </c>
      <c r="B5922" t="s">
        <v>50</v>
      </c>
      <c r="C5922" t="s">
        <v>938</v>
      </c>
      <c r="D5922" s="2">
        <v>-16551032.59</v>
      </c>
      <c r="E5922">
        <v>0</v>
      </c>
      <c r="F5922">
        <v>0</v>
      </c>
    </row>
    <row r="5923" spans="1:6" x14ac:dyDescent="0.25">
      <c r="A5923" s="1">
        <v>45108</v>
      </c>
      <c r="B5923" t="s">
        <v>118</v>
      </c>
      <c r="C5923" t="s">
        <v>569</v>
      </c>
      <c r="D5923">
        <v>254.59</v>
      </c>
      <c r="E5923" s="2">
        <v>33561.06</v>
      </c>
      <c r="F5923" s="2">
        <v>33561.06</v>
      </c>
    </row>
    <row r="5924" spans="1:6" x14ac:dyDescent="0.25">
      <c r="A5924" s="1">
        <v>45108</v>
      </c>
      <c r="B5924" t="s">
        <v>21</v>
      </c>
      <c r="C5924" t="s">
        <v>122</v>
      </c>
      <c r="D5924">
        <v>0</v>
      </c>
      <c r="E5924">
        <v>0</v>
      </c>
      <c r="F5924">
        <v>0</v>
      </c>
    </row>
    <row r="5925" spans="1:6" x14ac:dyDescent="0.25">
      <c r="A5925" s="1">
        <v>45108</v>
      </c>
      <c r="B5925" t="s">
        <v>31</v>
      </c>
      <c r="C5925" t="s">
        <v>553</v>
      </c>
      <c r="D5925">
        <v>0</v>
      </c>
      <c r="E5925">
        <v>0</v>
      </c>
      <c r="F5925">
        <v>0</v>
      </c>
    </row>
    <row r="5926" spans="1:6" x14ac:dyDescent="0.25">
      <c r="A5926" s="1">
        <v>45108</v>
      </c>
      <c r="B5926" t="s">
        <v>132</v>
      </c>
      <c r="C5926" t="s">
        <v>265</v>
      </c>
      <c r="D5926" s="2">
        <v>108333333.33</v>
      </c>
      <c r="E5926" s="2">
        <v>108333333.33</v>
      </c>
      <c r="F5926" s="2">
        <v>108333333.33</v>
      </c>
    </row>
    <row r="5927" spans="1:6" x14ac:dyDescent="0.25">
      <c r="A5927" s="1">
        <v>45108</v>
      </c>
      <c r="B5927" t="s">
        <v>11</v>
      </c>
      <c r="C5927" t="s">
        <v>321</v>
      </c>
      <c r="D5927">
        <v>0</v>
      </c>
      <c r="E5927" s="2">
        <v>1534107361.6500001</v>
      </c>
      <c r="F5927" s="2">
        <v>1534107361.6500001</v>
      </c>
    </row>
    <row r="5928" spans="1:6" x14ac:dyDescent="0.25">
      <c r="A5928" s="1">
        <v>45108</v>
      </c>
      <c r="B5928" t="s">
        <v>53</v>
      </c>
      <c r="C5928" t="s">
        <v>669</v>
      </c>
      <c r="D5928">
        <v>0</v>
      </c>
      <c r="E5928" s="2">
        <v>461524897.94999999</v>
      </c>
      <c r="F5928" s="2">
        <v>469279636.41000003</v>
      </c>
    </row>
    <row r="5929" spans="1:6" x14ac:dyDescent="0.25">
      <c r="A5929" s="1">
        <v>45108</v>
      </c>
      <c r="B5929" t="s">
        <v>21</v>
      </c>
      <c r="C5929" t="s">
        <v>1049</v>
      </c>
      <c r="D5929">
        <v>0</v>
      </c>
      <c r="E5929">
        <v>0</v>
      </c>
      <c r="F5929">
        <v>0</v>
      </c>
    </row>
    <row r="5930" spans="1:6" x14ac:dyDescent="0.25">
      <c r="A5930" s="1">
        <v>45108</v>
      </c>
      <c r="B5930" t="s">
        <v>96</v>
      </c>
      <c r="C5930" t="s">
        <v>594</v>
      </c>
      <c r="D5930">
        <v>0</v>
      </c>
      <c r="E5930">
        <v>0</v>
      </c>
      <c r="F5930">
        <v>0</v>
      </c>
    </row>
    <row r="5931" spans="1:6" x14ac:dyDescent="0.25">
      <c r="A5931" s="1">
        <v>45108</v>
      </c>
      <c r="B5931" t="s">
        <v>21</v>
      </c>
      <c r="C5931" t="s">
        <v>958</v>
      </c>
      <c r="D5931">
        <v>0</v>
      </c>
      <c r="E5931" s="2">
        <v>902523.05</v>
      </c>
      <c r="F5931" s="2">
        <v>902523.05</v>
      </c>
    </row>
    <row r="5932" spans="1:6" x14ac:dyDescent="0.25">
      <c r="A5932" s="1">
        <v>45108</v>
      </c>
      <c r="B5932" t="s">
        <v>63</v>
      </c>
      <c r="C5932" t="s">
        <v>944</v>
      </c>
      <c r="D5932" s="2">
        <v>1925049</v>
      </c>
      <c r="E5932" s="2">
        <v>395468.46</v>
      </c>
      <c r="F5932" s="2">
        <v>395468.46</v>
      </c>
    </row>
    <row r="5933" spans="1:6" x14ac:dyDescent="0.25">
      <c r="A5933" s="1">
        <v>45108</v>
      </c>
      <c r="B5933" t="s">
        <v>96</v>
      </c>
      <c r="C5933" t="s">
        <v>425</v>
      </c>
      <c r="D5933">
        <v>0</v>
      </c>
      <c r="E5933">
        <v>0</v>
      </c>
      <c r="F5933">
        <v>0</v>
      </c>
    </row>
    <row r="5934" spans="1:6" x14ac:dyDescent="0.25">
      <c r="A5934" s="1">
        <v>45108</v>
      </c>
      <c r="B5934" t="s">
        <v>132</v>
      </c>
      <c r="C5934" t="s">
        <v>140</v>
      </c>
      <c r="D5934" s="2">
        <v>19563112.280000001</v>
      </c>
      <c r="E5934" s="2">
        <v>44286879.539999999</v>
      </c>
      <c r="F5934" s="2">
        <v>36349635.340000004</v>
      </c>
    </row>
    <row r="5935" spans="1:6" x14ac:dyDescent="0.25">
      <c r="A5935" s="1">
        <v>45108</v>
      </c>
      <c r="B5935" t="s">
        <v>682</v>
      </c>
      <c r="C5935" t="s">
        <v>683</v>
      </c>
      <c r="D5935" s="2">
        <v>647500.68999999994</v>
      </c>
      <c r="E5935" s="2">
        <v>657221.19999999995</v>
      </c>
      <c r="F5935" s="2">
        <v>657263.04</v>
      </c>
    </row>
    <row r="5936" spans="1:6" x14ac:dyDescent="0.25">
      <c r="A5936" s="1">
        <v>45108</v>
      </c>
      <c r="B5936" t="s">
        <v>23</v>
      </c>
      <c r="C5936" t="s">
        <v>551</v>
      </c>
      <c r="D5936" s="2">
        <v>284316.96000000002</v>
      </c>
      <c r="E5936" s="2">
        <v>26806.47</v>
      </c>
      <c r="F5936" s="2">
        <v>25762.85</v>
      </c>
    </row>
    <row r="5937" spans="1:6" x14ac:dyDescent="0.25">
      <c r="A5937" s="1">
        <v>45108</v>
      </c>
      <c r="B5937" t="s">
        <v>40</v>
      </c>
      <c r="C5937" t="s">
        <v>129</v>
      </c>
      <c r="D5937" s="2">
        <v>4844114.3600000003</v>
      </c>
      <c r="E5937" s="2">
        <v>43585.38</v>
      </c>
      <c r="F5937" s="2">
        <v>43585.38</v>
      </c>
    </row>
    <row r="5938" spans="1:6" x14ac:dyDescent="0.25">
      <c r="A5938" s="1">
        <v>45108</v>
      </c>
      <c r="B5938" t="s">
        <v>42</v>
      </c>
      <c r="C5938" t="s">
        <v>174</v>
      </c>
      <c r="D5938" s="2">
        <v>12166965.109999999</v>
      </c>
      <c r="E5938" s="2">
        <v>12166965.109999999</v>
      </c>
      <c r="F5938" s="2">
        <v>12166965.109999999</v>
      </c>
    </row>
    <row r="5939" spans="1:6" x14ac:dyDescent="0.25">
      <c r="A5939" s="1">
        <v>45108</v>
      </c>
      <c r="B5939" t="s">
        <v>75</v>
      </c>
      <c r="C5939" t="s">
        <v>269</v>
      </c>
      <c r="D5939" s="2">
        <v>3140800</v>
      </c>
      <c r="E5939" s="2">
        <v>117610</v>
      </c>
      <c r="F5939">
        <v>0</v>
      </c>
    </row>
    <row r="5940" spans="1:6" x14ac:dyDescent="0.25">
      <c r="A5940" s="1">
        <v>45108</v>
      </c>
      <c r="B5940" t="s">
        <v>118</v>
      </c>
      <c r="C5940" t="s">
        <v>379</v>
      </c>
      <c r="D5940">
        <v>0</v>
      </c>
      <c r="E5940">
        <v>0</v>
      </c>
      <c r="F5940">
        <v>0</v>
      </c>
    </row>
    <row r="5941" spans="1:6" x14ac:dyDescent="0.25">
      <c r="A5941" s="1">
        <v>45108</v>
      </c>
      <c r="B5941" t="s">
        <v>196</v>
      </c>
      <c r="C5941" t="s">
        <v>267</v>
      </c>
      <c r="D5941">
        <v>0</v>
      </c>
      <c r="E5941">
        <v>0</v>
      </c>
      <c r="F5941">
        <v>0</v>
      </c>
    </row>
    <row r="5942" spans="1:6" x14ac:dyDescent="0.25">
      <c r="A5942" s="1">
        <v>45108</v>
      </c>
      <c r="B5942" t="s">
        <v>107</v>
      </c>
      <c r="C5942" t="s">
        <v>153</v>
      </c>
      <c r="D5942" s="2">
        <v>-90000</v>
      </c>
      <c r="E5942" s="2">
        <v>-56850.47</v>
      </c>
      <c r="F5942" s="2">
        <v>16349.53</v>
      </c>
    </row>
    <row r="5943" spans="1:6" x14ac:dyDescent="0.25">
      <c r="A5943" s="1">
        <v>45108</v>
      </c>
      <c r="B5943" t="s">
        <v>234</v>
      </c>
      <c r="C5943" t="s">
        <v>454</v>
      </c>
      <c r="D5943" s="2">
        <v>1524183.56</v>
      </c>
      <c r="E5943">
        <v>0</v>
      </c>
      <c r="F5943">
        <v>0</v>
      </c>
    </row>
    <row r="5944" spans="1:6" x14ac:dyDescent="0.25">
      <c r="A5944" s="1">
        <v>45108</v>
      </c>
      <c r="B5944" t="s">
        <v>263</v>
      </c>
      <c r="C5944" t="s">
        <v>264</v>
      </c>
      <c r="D5944" s="2">
        <v>2844319.2</v>
      </c>
      <c r="E5944" s="2">
        <v>14915045.34</v>
      </c>
      <c r="F5944" s="2">
        <v>9188227</v>
      </c>
    </row>
    <row r="5945" spans="1:6" x14ac:dyDescent="0.25">
      <c r="A5945" s="1">
        <v>45108</v>
      </c>
      <c r="B5945" t="s">
        <v>98</v>
      </c>
      <c r="C5945" t="s">
        <v>304</v>
      </c>
      <c r="D5945">
        <v>0</v>
      </c>
      <c r="E5945">
        <v>0</v>
      </c>
      <c r="F5945">
        <v>0</v>
      </c>
    </row>
    <row r="5946" spans="1:6" x14ac:dyDescent="0.25">
      <c r="A5946" s="1">
        <v>45108</v>
      </c>
      <c r="B5946" t="s">
        <v>11</v>
      </c>
      <c r="C5946" t="s">
        <v>231</v>
      </c>
      <c r="D5946" s="2">
        <v>1829922963.99</v>
      </c>
      <c r="E5946" s="2">
        <v>722848149.96000004</v>
      </c>
      <c r="F5946" s="2">
        <v>722848149.96000004</v>
      </c>
    </row>
    <row r="5947" spans="1:6" x14ac:dyDescent="0.25">
      <c r="A5947" s="1">
        <v>45108</v>
      </c>
      <c r="B5947" t="s">
        <v>19</v>
      </c>
      <c r="C5947" t="s">
        <v>156</v>
      </c>
      <c r="D5947" s="2">
        <v>-165000</v>
      </c>
      <c r="E5947" s="2">
        <v>1476386.21</v>
      </c>
      <c r="F5947" s="2">
        <v>1487138.69</v>
      </c>
    </row>
    <row r="5948" spans="1:6" x14ac:dyDescent="0.25">
      <c r="A5948" s="1">
        <v>45108</v>
      </c>
      <c r="B5948" t="s">
        <v>21</v>
      </c>
      <c r="C5948" t="s">
        <v>406</v>
      </c>
      <c r="D5948">
        <v>0</v>
      </c>
      <c r="E5948" s="2">
        <v>11987906.49</v>
      </c>
      <c r="F5948" s="2">
        <v>11987906.49</v>
      </c>
    </row>
    <row r="5949" spans="1:6" x14ac:dyDescent="0.25">
      <c r="A5949" s="1">
        <v>45108</v>
      </c>
      <c r="B5949" t="s">
        <v>42</v>
      </c>
      <c r="C5949" t="s">
        <v>447</v>
      </c>
      <c r="D5949">
        <v>0</v>
      </c>
      <c r="E5949">
        <v>0</v>
      </c>
      <c r="F5949">
        <v>0</v>
      </c>
    </row>
    <row r="5950" spans="1:6" x14ac:dyDescent="0.25">
      <c r="A5950" s="1">
        <v>45108</v>
      </c>
      <c r="B5950" t="s">
        <v>37</v>
      </c>
      <c r="C5950" t="s">
        <v>420</v>
      </c>
      <c r="D5950" s="2">
        <v>85868421.739999995</v>
      </c>
      <c r="E5950" s="2">
        <v>1170297688.6900001</v>
      </c>
      <c r="F5950" s="2">
        <v>1170297688.6900001</v>
      </c>
    </row>
    <row r="5951" spans="1:6" x14ac:dyDescent="0.25">
      <c r="A5951" s="1">
        <v>45108</v>
      </c>
      <c r="B5951" t="s">
        <v>98</v>
      </c>
      <c r="C5951" t="s">
        <v>178</v>
      </c>
      <c r="D5951">
        <v>0</v>
      </c>
      <c r="E5951">
        <v>0</v>
      </c>
      <c r="F5951">
        <v>0</v>
      </c>
    </row>
    <row r="5952" spans="1:6" x14ac:dyDescent="0.25">
      <c r="A5952" s="1">
        <v>45108</v>
      </c>
      <c r="B5952" t="s">
        <v>21</v>
      </c>
      <c r="C5952" t="s">
        <v>643</v>
      </c>
      <c r="D5952">
        <v>0</v>
      </c>
      <c r="E5952">
        <v>0</v>
      </c>
      <c r="F5952">
        <v>0</v>
      </c>
    </row>
    <row r="5953" spans="1:6" x14ac:dyDescent="0.25">
      <c r="A5953" s="1">
        <v>45108</v>
      </c>
      <c r="B5953" t="s">
        <v>79</v>
      </c>
      <c r="C5953" t="s">
        <v>1210</v>
      </c>
      <c r="D5953">
        <v>0</v>
      </c>
      <c r="E5953">
        <v>0</v>
      </c>
      <c r="F5953">
        <v>0</v>
      </c>
    </row>
    <row r="5954" spans="1:6" x14ac:dyDescent="0.25">
      <c r="A5954" s="1">
        <v>45108</v>
      </c>
      <c r="B5954" t="s">
        <v>196</v>
      </c>
      <c r="C5954" t="s">
        <v>491</v>
      </c>
      <c r="D5954">
        <v>0</v>
      </c>
      <c r="E5954">
        <v>0</v>
      </c>
      <c r="F5954">
        <v>0</v>
      </c>
    </row>
    <row r="5955" spans="1:6" x14ac:dyDescent="0.25">
      <c r="A5955" s="1">
        <v>45108</v>
      </c>
      <c r="B5955" t="s">
        <v>21</v>
      </c>
      <c r="C5955" t="s">
        <v>973</v>
      </c>
      <c r="D5955" s="2">
        <v>30000000</v>
      </c>
      <c r="E5955" s="2">
        <v>18751228.350000001</v>
      </c>
      <c r="F5955" s="2">
        <v>18751228.350000001</v>
      </c>
    </row>
    <row r="5956" spans="1:6" x14ac:dyDescent="0.25">
      <c r="A5956" s="1">
        <v>45108</v>
      </c>
      <c r="B5956" t="s">
        <v>15</v>
      </c>
      <c r="C5956" t="s">
        <v>964</v>
      </c>
      <c r="D5956">
        <v>0</v>
      </c>
      <c r="E5956">
        <v>0</v>
      </c>
      <c r="F5956">
        <v>0</v>
      </c>
    </row>
    <row r="5957" spans="1:6" x14ac:dyDescent="0.25">
      <c r="A5957" s="1">
        <v>45108</v>
      </c>
      <c r="B5957" t="s">
        <v>40</v>
      </c>
      <c r="C5957" t="s">
        <v>541</v>
      </c>
      <c r="D5957" s="2">
        <v>427564.26</v>
      </c>
      <c r="E5957" s="2">
        <v>190112.7</v>
      </c>
      <c r="F5957" s="2">
        <v>190112.7</v>
      </c>
    </row>
    <row r="5958" spans="1:6" x14ac:dyDescent="0.25">
      <c r="A5958" s="1">
        <v>45108</v>
      </c>
      <c r="B5958" t="s">
        <v>282</v>
      </c>
      <c r="C5958" t="s">
        <v>1174</v>
      </c>
      <c r="D5958">
        <v>0</v>
      </c>
      <c r="E5958" s="2">
        <v>24272665.239999998</v>
      </c>
      <c r="F5958" s="2">
        <v>24272665.239999998</v>
      </c>
    </row>
    <row r="5959" spans="1:6" x14ac:dyDescent="0.25">
      <c r="A5959" s="1">
        <v>45108</v>
      </c>
      <c r="B5959" t="s">
        <v>15</v>
      </c>
      <c r="C5959" t="s">
        <v>111</v>
      </c>
      <c r="D5959">
        <v>0</v>
      </c>
      <c r="E5959">
        <v>0</v>
      </c>
      <c r="F5959">
        <v>0</v>
      </c>
    </row>
    <row r="5960" spans="1:6" x14ac:dyDescent="0.25">
      <c r="A5960" s="1">
        <v>45108</v>
      </c>
      <c r="B5960" t="s">
        <v>196</v>
      </c>
      <c r="C5960" t="s">
        <v>999</v>
      </c>
      <c r="D5960">
        <v>0</v>
      </c>
      <c r="E5960">
        <v>0</v>
      </c>
      <c r="F5960">
        <v>0</v>
      </c>
    </row>
    <row r="5961" spans="1:6" x14ac:dyDescent="0.25">
      <c r="A5961" s="1">
        <v>45108</v>
      </c>
      <c r="B5961" t="s">
        <v>306</v>
      </c>
      <c r="C5961" t="s">
        <v>307</v>
      </c>
      <c r="D5961" s="2">
        <v>425710.29</v>
      </c>
      <c r="E5961" s="2">
        <v>3585776.35</v>
      </c>
      <c r="F5961" s="2">
        <v>3507141.53</v>
      </c>
    </row>
    <row r="5962" spans="1:6" x14ac:dyDescent="0.25">
      <c r="A5962" s="1">
        <v>45108</v>
      </c>
      <c r="B5962" t="s">
        <v>21</v>
      </c>
      <c r="C5962" t="s">
        <v>970</v>
      </c>
      <c r="D5962">
        <v>0</v>
      </c>
      <c r="E5962" s="2">
        <v>9824525.6899999995</v>
      </c>
      <c r="F5962" s="2">
        <v>9824525.6899999995</v>
      </c>
    </row>
    <row r="5963" spans="1:6" x14ac:dyDescent="0.25">
      <c r="A5963" s="1">
        <v>45108</v>
      </c>
      <c r="B5963" t="s">
        <v>23</v>
      </c>
      <c r="C5963" t="s">
        <v>1055</v>
      </c>
      <c r="D5963">
        <v>0</v>
      </c>
      <c r="E5963" s="2">
        <v>16311.77</v>
      </c>
      <c r="F5963" s="2">
        <v>16311.77</v>
      </c>
    </row>
    <row r="5964" spans="1:6" x14ac:dyDescent="0.25">
      <c r="A5964" s="1">
        <v>45108</v>
      </c>
      <c r="B5964" t="s">
        <v>344</v>
      </c>
      <c r="C5964" t="s">
        <v>1278</v>
      </c>
      <c r="D5964">
        <v>0</v>
      </c>
      <c r="E5964" s="2">
        <v>6322.7</v>
      </c>
      <c r="F5964" s="2">
        <v>15322.7</v>
      </c>
    </row>
    <row r="5965" spans="1:6" x14ac:dyDescent="0.25">
      <c r="A5965" s="1">
        <v>45108</v>
      </c>
      <c r="B5965" t="s">
        <v>682</v>
      </c>
      <c r="C5965" t="s">
        <v>866</v>
      </c>
      <c r="D5965" s="2">
        <v>58052.01</v>
      </c>
      <c r="E5965" s="2">
        <v>18871.79</v>
      </c>
      <c r="F5965" s="2">
        <v>18871.79</v>
      </c>
    </row>
    <row r="5966" spans="1:6" x14ac:dyDescent="0.25">
      <c r="A5966" s="1">
        <v>45108</v>
      </c>
      <c r="B5966" t="s">
        <v>42</v>
      </c>
      <c r="C5966" t="s">
        <v>400</v>
      </c>
      <c r="D5966">
        <v>0</v>
      </c>
      <c r="E5966" s="2">
        <v>900000000</v>
      </c>
      <c r="F5966" s="2">
        <v>900000000</v>
      </c>
    </row>
    <row r="5967" spans="1:6" x14ac:dyDescent="0.25">
      <c r="A5967" s="1">
        <v>45108</v>
      </c>
      <c r="B5967" t="s">
        <v>282</v>
      </c>
      <c r="C5967" t="s">
        <v>571</v>
      </c>
      <c r="D5967">
        <v>0</v>
      </c>
      <c r="E5967" s="2">
        <v>745533.84</v>
      </c>
      <c r="F5967" s="2">
        <v>745533.84</v>
      </c>
    </row>
    <row r="5968" spans="1:6" x14ac:dyDescent="0.25">
      <c r="A5968" s="1">
        <v>45108</v>
      </c>
      <c r="B5968" t="s">
        <v>29</v>
      </c>
      <c r="C5968" t="s">
        <v>292</v>
      </c>
      <c r="D5968" s="2">
        <v>144070025.94</v>
      </c>
      <c r="E5968" s="2">
        <v>78918464.609999999</v>
      </c>
      <c r="F5968" s="2">
        <v>70248989.609999999</v>
      </c>
    </row>
    <row r="5969" spans="1:6" x14ac:dyDescent="0.25">
      <c r="A5969" s="1">
        <v>45108</v>
      </c>
      <c r="B5969" t="s">
        <v>21</v>
      </c>
      <c r="C5969" t="s">
        <v>969</v>
      </c>
      <c r="D5969">
        <v>0</v>
      </c>
      <c r="E5969" s="2">
        <v>3057005.48</v>
      </c>
      <c r="F5969" s="2">
        <v>3057005.48</v>
      </c>
    </row>
    <row r="5970" spans="1:6" x14ac:dyDescent="0.25">
      <c r="A5970" s="1">
        <v>45108</v>
      </c>
      <c r="B5970" t="s">
        <v>50</v>
      </c>
      <c r="C5970" t="s">
        <v>1048</v>
      </c>
      <c r="D5970" s="2">
        <v>-20000</v>
      </c>
      <c r="E5970" s="2">
        <v>1999310.6</v>
      </c>
      <c r="F5970">
        <v>0</v>
      </c>
    </row>
    <row r="5971" spans="1:6" x14ac:dyDescent="0.25">
      <c r="A5971" s="1">
        <v>45108</v>
      </c>
      <c r="B5971" t="s">
        <v>405</v>
      </c>
      <c r="C5971" t="s">
        <v>953</v>
      </c>
      <c r="D5971">
        <v>0</v>
      </c>
      <c r="E5971" s="2">
        <v>3000000000</v>
      </c>
      <c r="F5971" s="2">
        <v>3000000000</v>
      </c>
    </row>
    <row r="5972" spans="1:6" x14ac:dyDescent="0.25">
      <c r="A5972" s="1">
        <v>45108</v>
      </c>
      <c r="B5972" t="s">
        <v>37</v>
      </c>
      <c r="C5972" t="s">
        <v>504</v>
      </c>
      <c r="D5972" s="2">
        <v>715094.2</v>
      </c>
      <c r="E5972" s="2">
        <v>510691.19</v>
      </c>
      <c r="F5972" s="2">
        <v>510691.19</v>
      </c>
    </row>
    <row r="5973" spans="1:6" x14ac:dyDescent="0.25">
      <c r="A5973" s="1">
        <v>45108</v>
      </c>
      <c r="B5973" t="s">
        <v>225</v>
      </c>
      <c r="C5973" t="s">
        <v>226</v>
      </c>
      <c r="D5973">
        <v>0</v>
      </c>
      <c r="E5973">
        <v>0</v>
      </c>
      <c r="F5973">
        <v>0</v>
      </c>
    </row>
    <row r="5974" spans="1:6" x14ac:dyDescent="0.25">
      <c r="A5974" s="1">
        <v>45108</v>
      </c>
      <c r="B5974" t="s">
        <v>181</v>
      </c>
      <c r="C5974" t="s">
        <v>363</v>
      </c>
      <c r="D5974">
        <v>0</v>
      </c>
      <c r="E5974">
        <v>0</v>
      </c>
      <c r="F5974">
        <v>0</v>
      </c>
    </row>
    <row r="5975" spans="1:6" x14ac:dyDescent="0.25">
      <c r="A5975" s="1">
        <v>45108</v>
      </c>
      <c r="B5975" t="s">
        <v>11</v>
      </c>
      <c r="C5975" t="s">
        <v>749</v>
      </c>
      <c r="D5975" s="2">
        <v>15679930</v>
      </c>
      <c r="E5975" s="2">
        <v>15624064.58</v>
      </c>
      <c r="F5975" s="2">
        <v>14834667.68</v>
      </c>
    </row>
    <row r="5976" spans="1:6" x14ac:dyDescent="0.25">
      <c r="A5976" s="1">
        <v>45108</v>
      </c>
      <c r="B5976" t="s">
        <v>21</v>
      </c>
      <c r="C5976" t="s">
        <v>700</v>
      </c>
      <c r="D5976">
        <v>0</v>
      </c>
      <c r="E5976" s="2">
        <v>3938293.84</v>
      </c>
      <c r="F5976" s="2">
        <v>3938293.84</v>
      </c>
    </row>
    <row r="5977" spans="1:6" x14ac:dyDescent="0.25">
      <c r="A5977" s="1">
        <v>45108</v>
      </c>
      <c r="B5977" t="s">
        <v>9</v>
      </c>
      <c r="C5977" t="s">
        <v>1129</v>
      </c>
      <c r="D5977">
        <v>0</v>
      </c>
      <c r="E5977">
        <v>0</v>
      </c>
      <c r="F5977" s="2">
        <v>150000000</v>
      </c>
    </row>
    <row r="5978" spans="1:6" x14ac:dyDescent="0.25">
      <c r="A5978" s="1">
        <v>45108</v>
      </c>
      <c r="B5978" t="s">
        <v>11</v>
      </c>
      <c r="C5978" t="s">
        <v>116</v>
      </c>
      <c r="D5978">
        <v>0</v>
      </c>
      <c r="E5978" s="2">
        <v>8275242754.7700005</v>
      </c>
      <c r="F5978" s="2">
        <v>8275242754.7700005</v>
      </c>
    </row>
    <row r="5979" spans="1:6" x14ac:dyDescent="0.25">
      <c r="A5979" s="1">
        <v>45108</v>
      </c>
      <c r="B5979" t="s">
        <v>21</v>
      </c>
      <c r="C5979" t="s">
        <v>173</v>
      </c>
      <c r="D5979">
        <v>0</v>
      </c>
      <c r="E5979" s="2">
        <v>106495.32</v>
      </c>
      <c r="F5979" s="2">
        <v>106495.32</v>
      </c>
    </row>
    <row r="5980" spans="1:6" x14ac:dyDescent="0.25">
      <c r="A5980" s="1">
        <v>45108</v>
      </c>
      <c r="B5980" t="s">
        <v>23</v>
      </c>
      <c r="C5980" t="s">
        <v>657</v>
      </c>
      <c r="D5980">
        <v>0</v>
      </c>
      <c r="E5980">
        <v>0</v>
      </c>
      <c r="F5980">
        <v>0</v>
      </c>
    </row>
    <row r="5981" spans="1:6" x14ac:dyDescent="0.25">
      <c r="A5981" s="1">
        <v>45108</v>
      </c>
      <c r="B5981" t="s">
        <v>181</v>
      </c>
      <c r="C5981" t="s">
        <v>182</v>
      </c>
      <c r="D5981">
        <v>0</v>
      </c>
      <c r="E5981">
        <v>0</v>
      </c>
      <c r="F5981">
        <v>0</v>
      </c>
    </row>
    <row r="5982" spans="1:6" x14ac:dyDescent="0.25">
      <c r="A5982" s="1">
        <v>45108</v>
      </c>
      <c r="B5982" t="s">
        <v>11</v>
      </c>
      <c r="C5982" t="s">
        <v>557</v>
      </c>
      <c r="D5982" s="2">
        <v>293834374.16000003</v>
      </c>
      <c r="E5982" s="2">
        <v>211557825</v>
      </c>
      <c r="F5982" s="2">
        <v>442375803.29000002</v>
      </c>
    </row>
    <row r="5983" spans="1:6" x14ac:dyDescent="0.25">
      <c r="A5983" s="1">
        <v>45108</v>
      </c>
      <c r="B5983" t="s">
        <v>11</v>
      </c>
      <c r="C5983" t="s">
        <v>794</v>
      </c>
      <c r="D5983" s="2">
        <v>44377945.939999998</v>
      </c>
      <c r="E5983" s="2">
        <v>44336363.159999996</v>
      </c>
      <c r="F5983" s="2">
        <v>60912620.719999999</v>
      </c>
    </row>
    <row r="5984" spans="1:6" x14ac:dyDescent="0.25">
      <c r="A5984" s="1">
        <v>45108</v>
      </c>
      <c r="B5984" t="s">
        <v>21</v>
      </c>
      <c r="C5984" t="s">
        <v>562</v>
      </c>
      <c r="D5984" s="2">
        <v>21317626.539999999</v>
      </c>
      <c r="E5984" s="2">
        <v>7051756.3300000001</v>
      </c>
      <c r="F5984" s="2">
        <v>6038801.2599999998</v>
      </c>
    </row>
    <row r="5985" spans="1:6" x14ac:dyDescent="0.25">
      <c r="A5985" s="1">
        <v>45108</v>
      </c>
      <c r="B5985" t="s">
        <v>17</v>
      </c>
      <c r="C5985" t="s">
        <v>954</v>
      </c>
      <c r="D5985">
        <v>0</v>
      </c>
      <c r="E5985">
        <v>0</v>
      </c>
      <c r="F5985">
        <v>0</v>
      </c>
    </row>
    <row r="5986" spans="1:6" x14ac:dyDescent="0.25">
      <c r="A5986" s="1">
        <v>45108</v>
      </c>
      <c r="B5986" t="s">
        <v>105</v>
      </c>
      <c r="C5986" t="s">
        <v>310</v>
      </c>
      <c r="D5986">
        <v>0</v>
      </c>
      <c r="E5986">
        <v>0</v>
      </c>
      <c r="F5986">
        <v>0</v>
      </c>
    </row>
    <row r="5987" spans="1:6" x14ac:dyDescent="0.25">
      <c r="A5987" s="1">
        <v>45108</v>
      </c>
      <c r="B5987" t="s">
        <v>90</v>
      </c>
      <c r="C5987" t="s">
        <v>326</v>
      </c>
      <c r="D5987" s="2">
        <v>2240363.0299999998</v>
      </c>
      <c r="E5987" s="2">
        <v>1285502.79</v>
      </c>
      <c r="F5987" s="2">
        <v>1414435.06</v>
      </c>
    </row>
    <row r="5988" spans="1:6" x14ac:dyDescent="0.25">
      <c r="A5988" s="1">
        <v>45108</v>
      </c>
      <c r="B5988" t="s">
        <v>37</v>
      </c>
      <c r="C5988" t="s">
        <v>1214</v>
      </c>
      <c r="D5988">
        <v>0</v>
      </c>
      <c r="E5988" s="2">
        <v>156013547</v>
      </c>
      <c r="F5988" s="2">
        <v>156013547</v>
      </c>
    </row>
    <row r="5989" spans="1:6" x14ac:dyDescent="0.25">
      <c r="A5989" s="1">
        <v>45108</v>
      </c>
      <c r="B5989" t="s">
        <v>288</v>
      </c>
      <c r="C5989" t="s">
        <v>390</v>
      </c>
      <c r="D5989" s="2">
        <v>189688.33</v>
      </c>
      <c r="E5989" s="2">
        <v>105261.17</v>
      </c>
      <c r="F5989" s="2">
        <v>17435.54</v>
      </c>
    </row>
    <row r="5990" spans="1:6" x14ac:dyDescent="0.25">
      <c r="A5990" s="1">
        <v>45108</v>
      </c>
      <c r="B5990" t="s">
        <v>272</v>
      </c>
      <c r="C5990" t="s">
        <v>537</v>
      </c>
      <c r="D5990">
        <v>0</v>
      </c>
      <c r="E5990">
        <v>0</v>
      </c>
      <c r="F5990">
        <v>0</v>
      </c>
    </row>
    <row r="5991" spans="1:6" x14ac:dyDescent="0.25">
      <c r="A5991" s="1">
        <v>45108</v>
      </c>
      <c r="B5991" t="s">
        <v>21</v>
      </c>
      <c r="C5991" t="s">
        <v>404</v>
      </c>
      <c r="D5991">
        <v>0</v>
      </c>
      <c r="E5991">
        <v>0</v>
      </c>
      <c r="F5991">
        <v>0</v>
      </c>
    </row>
    <row r="5992" spans="1:6" x14ac:dyDescent="0.25">
      <c r="A5992" s="1">
        <v>45108</v>
      </c>
      <c r="B5992" t="s">
        <v>31</v>
      </c>
      <c r="C5992" t="s">
        <v>192</v>
      </c>
      <c r="D5992" s="2">
        <v>-21111526.719999999</v>
      </c>
      <c r="E5992" s="2">
        <v>2637410.64</v>
      </c>
      <c r="F5992" s="2">
        <v>2637410.64</v>
      </c>
    </row>
    <row r="5993" spans="1:6" x14ac:dyDescent="0.25">
      <c r="A5993" s="1">
        <v>45108</v>
      </c>
      <c r="B5993" t="s">
        <v>40</v>
      </c>
      <c r="C5993" t="s">
        <v>857</v>
      </c>
      <c r="D5993" s="2">
        <v>381717612.27999997</v>
      </c>
      <c r="E5993" s="2">
        <v>1987639697.54</v>
      </c>
      <c r="F5993" s="2">
        <v>2909477369.5700002</v>
      </c>
    </row>
    <row r="5994" spans="1:6" x14ac:dyDescent="0.25">
      <c r="A5994" s="1">
        <v>45108</v>
      </c>
      <c r="B5994" t="s">
        <v>132</v>
      </c>
      <c r="C5994" t="s">
        <v>133</v>
      </c>
      <c r="D5994" s="2">
        <v>630000</v>
      </c>
      <c r="E5994" s="2">
        <v>68399</v>
      </c>
      <c r="F5994">
        <v>0</v>
      </c>
    </row>
    <row r="5995" spans="1:6" x14ac:dyDescent="0.25">
      <c r="A5995" s="1">
        <v>45108</v>
      </c>
      <c r="B5995" t="s">
        <v>296</v>
      </c>
      <c r="C5995" t="s">
        <v>297</v>
      </c>
      <c r="D5995" s="2">
        <v>-6749291.3399999999</v>
      </c>
      <c r="E5995" s="2">
        <v>8192728.2300000004</v>
      </c>
      <c r="F5995" s="2">
        <v>6993875.5300000003</v>
      </c>
    </row>
    <row r="5996" spans="1:6" x14ac:dyDescent="0.25">
      <c r="A5996" s="1">
        <v>45108</v>
      </c>
      <c r="B5996" t="s">
        <v>114</v>
      </c>
      <c r="C5996" t="s">
        <v>1062</v>
      </c>
      <c r="D5996">
        <v>0</v>
      </c>
      <c r="E5996">
        <v>0</v>
      </c>
      <c r="F5996">
        <v>0</v>
      </c>
    </row>
    <row r="5997" spans="1:6" x14ac:dyDescent="0.25">
      <c r="A5997" s="1">
        <v>45108</v>
      </c>
      <c r="B5997" t="s">
        <v>118</v>
      </c>
      <c r="C5997" t="s">
        <v>389</v>
      </c>
      <c r="D5997" s="2">
        <v>500000</v>
      </c>
      <c r="E5997" s="2">
        <v>56246.57</v>
      </c>
      <c r="F5997">
        <v>0</v>
      </c>
    </row>
    <row r="5998" spans="1:6" x14ac:dyDescent="0.25">
      <c r="A5998" s="1">
        <v>45108</v>
      </c>
      <c r="B5998" t="s">
        <v>44</v>
      </c>
      <c r="C5998" t="s">
        <v>1157</v>
      </c>
      <c r="D5998" s="2">
        <v>6174.1</v>
      </c>
      <c r="E5998" s="2">
        <v>2327011.83</v>
      </c>
      <c r="F5998" s="2">
        <v>5703848.2800000003</v>
      </c>
    </row>
    <row r="5999" spans="1:6" x14ac:dyDescent="0.25">
      <c r="A5999" s="1">
        <v>45108</v>
      </c>
      <c r="B5999" t="s">
        <v>17</v>
      </c>
      <c r="C5999" t="s">
        <v>1013</v>
      </c>
      <c r="D5999" s="2">
        <v>2080000</v>
      </c>
      <c r="E5999">
        <v>0</v>
      </c>
      <c r="F5999">
        <v>0</v>
      </c>
    </row>
    <row r="6000" spans="1:6" x14ac:dyDescent="0.25">
      <c r="A6000" s="1">
        <v>45108</v>
      </c>
      <c r="B6000" t="s">
        <v>107</v>
      </c>
      <c r="C6000" t="s">
        <v>513</v>
      </c>
      <c r="D6000" s="2">
        <v>3693.34</v>
      </c>
      <c r="E6000" s="2">
        <v>51093.9</v>
      </c>
      <c r="F6000" s="2">
        <v>49505.65</v>
      </c>
    </row>
    <row r="6001" spans="1:6" x14ac:dyDescent="0.25">
      <c r="A6001" s="1">
        <v>45108</v>
      </c>
      <c r="B6001" t="s">
        <v>105</v>
      </c>
      <c r="C6001" t="s">
        <v>1260</v>
      </c>
      <c r="D6001">
        <v>0</v>
      </c>
      <c r="E6001">
        <v>0</v>
      </c>
      <c r="F6001">
        <v>0</v>
      </c>
    </row>
    <row r="6002" spans="1:6" x14ac:dyDescent="0.25">
      <c r="A6002" s="1">
        <v>45108</v>
      </c>
      <c r="B6002" t="s">
        <v>272</v>
      </c>
      <c r="C6002" t="s">
        <v>273</v>
      </c>
      <c r="D6002" s="2">
        <v>6600</v>
      </c>
      <c r="E6002" s="2">
        <v>27758.12</v>
      </c>
      <c r="F6002" s="2">
        <v>27758.12</v>
      </c>
    </row>
    <row r="6003" spans="1:6" x14ac:dyDescent="0.25">
      <c r="A6003" s="1">
        <v>45108</v>
      </c>
      <c r="B6003" t="s">
        <v>31</v>
      </c>
      <c r="C6003" t="s">
        <v>558</v>
      </c>
      <c r="D6003">
        <v>0</v>
      </c>
      <c r="E6003">
        <v>0</v>
      </c>
      <c r="F6003">
        <v>0</v>
      </c>
    </row>
    <row r="6004" spans="1:6" x14ac:dyDescent="0.25">
      <c r="A6004" s="1">
        <v>45108</v>
      </c>
      <c r="B6004" t="s">
        <v>337</v>
      </c>
      <c r="C6004" t="s">
        <v>338</v>
      </c>
      <c r="D6004" s="2">
        <v>2308040.12</v>
      </c>
      <c r="E6004" s="2">
        <v>2025332.97</v>
      </c>
      <c r="F6004" s="2">
        <v>1975610.22</v>
      </c>
    </row>
    <row r="6005" spans="1:6" x14ac:dyDescent="0.25">
      <c r="A6005" s="1">
        <v>45108</v>
      </c>
      <c r="B6005" t="s">
        <v>21</v>
      </c>
      <c r="C6005" t="s">
        <v>795</v>
      </c>
      <c r="D6005">
        <v>0</v>
      </c>
      <c r="E6005" s="2">
        <v>195325.68</v>
      </c>
      <c r="F6005" s="2">
        <v>197257.77</v>
      </c>
    </row>
    <row r="6006" spans="1:6" x14ac:dyDescent="0.25">
      <c r="A6006" s="1">
        <v>45108</v>
      </c>
      <c r="B6006" t="s">
        <v>44</v>
      </c>
      <c r="C6006" t="s">
        <v>846</v>
      </c>
      <c r="D6006" s="2">
        <v>43229.21</v>
      </c>
      <c r="E6006" s="2">
        <v>92036.4</v>
      </c>
      <c r="F6006" s="2">
        <v>88570.71</v>
      </c>
    </row>
    <row r="6007" spans="1:6" x14ac:dyDescent="0.25">
      <c r="A6007" s="1">
        <v>45108</v>
      </c>
      <c r="B6007" t="s">
        <v>407</v>
      </c>
      <c r="C6007" t="s">
        <v>408</v>
      </c>
      <c r="D6007" s="2">
        <v>7161784</v>
      </c>
      <c r="E6007" s="2">
        <v>39634</v>
      </c>
      <c r="F6007" s="2">
        <v>40227.449999999997</v>
      </c>
    </row>
    <row r="6008" spans="1:6" x14ac:dyDescent="0.25">
      <c r="A6008" s="1">
        <v>45108</v>
      </c>
      <c r="B6008" t="s">
        <v>306</v>
      </c>
      <c r="C6008" t="s">
        <v>841</v>
      </c>
      <c r="D6008" s="2">
        <v>3548194.96</v>
      </c>
      <c r="E6008" s="2">
        <v>1822800.67</v>
      </c>
      <c r="F6008" s="2">
        <v>2087888.68</v>
      </c>
    </row>
    <row r="6009" spans="1:6" x14ac:dyDescent="0.25">
      <c r="A6009" s="1">
        <v>45108</v>
      </c>
      <c r="B6009" t="s">
        <v>1300</v>
      </c>
      <c r="C6009" t="s">
        <v>812</v>
      </c>
      <c r="D6009">
        <v>0</v>
      </c>
      <c r="E6009">
        <v>0</v>
      </c>
      <c r="F6009">
        <v>0</v>
      </c>
    </row>
    <row r="6010" spans="1:6" x14ac:dyDescent="0.25">
      <c r="A6010" s="1">
        <v>45108</v>
      </c>
      <c r="B6010" t="s">
        <v>25</v>
      </c>
      <c r="C6010" t="s">
        <v>26</v>
      </c>
      <c r="D6010" s="2">
        <v>126410742.25</v>
      </c>
      <c r="E6010" s="2">
        <v>126410742.20999999</v>
      </c>
      <c r="F6010" s="2">
        <v>126410742.20999999</v>
      </c>
    </row>
    <row r="6011" spans="1:6" x14ac:dyDescent="0.25">
      <c r="A6011" s="1">
        <v>45108</v>
      </c>
      <c r="B6011" t="s">
        <v>309</v>
      </c>
      <c r="C6011" t="s">
        <v>1260</v>
      </c>
      <c r="D6011">
        <v>0</v>
      </c>
      <c r="E6011">
        <v>0</v>
      </c>
      <c r="F6011">
        <v>0</v>
      </c>
    </row>
    <row r="6012" spans="1:6" x14ac:dyDescent="0.25">
      <c r="A6012" s="1">
        <v>45108</v>
      </c>
      <c r="B6012" t="s">
        <v>29</v>
      </c>
      <c r="C6012" t="s">
        <v>260</v>
      </c>
      <c r="D6012" s="2">
        <v>877541981.12</v>
      </c>
      <c r="E6012" s="2">
        <v>87917818.159999996</v>
      </c>
      <c r="F6012" s="2">
        <v>87909790.140000001</v>
      </c>
    </row>
    <row r="6013" spans="1:6" x14ac:dyDescent="0.25">
      <c r="A6013" s="1">
        <v>45108</v>
      </c>
      <c r="B6013" t="s">
        <v>296</v>
      </c>
      <c r="C6013" t="s">
        <v>1024</v>
      </c>
      <c r="D6013" s="2">
        <v>28626861.129999999</v>
      </c>
      <c r="E6013" s="2">
        <v>66256236.939999998</v>
      </c>
      <c r="F6013" s="2">
        <v>66256236.939999998</v>
      </c>
    </row>
    <row r="6014" spans="1:6" x14ac:dyDescent="0.25">
      <c r="A6014" s="1">
        <v>45108</v>
      </c>
      <c r="B6014" t="s">
        <v>40</v>
      </c>
      <c r="C6014" t="s">
        <v>644</v>
      </c>
      <c r="D6014" s="2">
        <v>94022.1</v>
      </c>
      <c r="E6014" s="2">
        <v>157827.07</v>
      </c>
      <c r="F6014" s="2">
        <v>157827.07</v>
      </c>
    </row>
    <row r="6015" spans="1:6" x14ac:dyDescent="0.25">
      <c r="A6015" s="1">
        <v>45108</v>
      </c>
      <c r="B6015" t="s">
        <v>648</v>
      </c>
      <c r="C6015" t="s">
        <v>649</v>
      </c>
      <c r="D6015" s="2">
        <v>615887.31000000006</v>
      </c>
      <c r="E6015" s="2">
        <v>1372795.6</v>
      </c>
      <c r="F6015" s="2">
        <v>1356116.21</v>
      </c>
    </row>
    <row r="6016" spans="1:6" x14ac:dyDescent="0.25">
      <c r="A6016" s="1">
        <v>45108</v>
      </c>
      <c r="B6016" t="s">
        <v>234</v>
      </c>
      <c r="C6016" t="s">
        <v>235</v>
      </c>
      <c r="D6016" s="2">
        <v>101845.96</v>
      </c>
      <c r="E6016" s="2">
        <v>33841.51</v>
      </c>
      <c r="F6016" s="2">
        <v>10771.65</v>
      </c>
    </row>
    <row r="6017" spans="1:6" x14ac:dyDescent="0.25">
      <c r="A6017" s="1">
        <v>45108</v>
      </c>
      <c r="B6017" t="s">
        <v>143</v>
      </c>
      <c r="C6017" t="s">
        <v>517</v>
      </c>
      <c r="D6017" s="2">
        <v>4260000</v>
      </c>
      <c r="E6017" s="2">
        <v>4260000</v>
      </c>
      <c r="F6017" s="2">
        <v>4260000</v>
      </c>
    </row>
    <row r="6018" spans="1:6" x14ac:dyDescent="0.25">
      <c r="A6018" s="1">
        <v>45108</v>
      </c>
      <c r="B6018" t="s">
        <v>44</v>
      </c>
      <c r="C6018" t="s">
        <v>45</v>
      </c>
      <c r="D6018" s="2">
        <v>1030155.9</v>
      </c>
      <c r="E6018" s="2">
        <v>8291.31</v>
      </c>
      <c r="F6018" s="2">
        <v>8291.31</v>
      </c>
    </row>
    <row r="6019" spans="1:6" x14ac:dyDescent="0.25">
      <c r="A6019" s="1">
        <v>45108</v>
      </c>
      <c r="B6019" t="s">
        <v>23</v>
      </c>
      <c r="C6019" t="s">
        <v>610</v>
      </c>
      <c r="D6019" s="2">
        <v>-689485.67</v>
      </c>
      <c r="E6019" s="2">
        <v>20585512.52</v>
      </c>
      <c r="F6019" s="2">
        <v>20292241.120000001</v>
      </c>
    </row>
    <row r="6020" spans="1:6" x14ac:dyDescent="0.25">
      <c r="A6020" s="1">
        <v>45108</v>
      </c>
      <c r="B6020" t="s">
        <v>476</v>
      </c>
      <c r="C6020" t="s">
        <v>950</v>
      </c>
      <c r="D6020">
        <v>0</v>
      </c>
      <c r="E6020">
        <v>0</v>
      </c>
      <c r="F6020">
        <v>0</v>
      </c>
    </row>
    <row r="6021" spans="1:6" x14ac:dyDescent="0.25">
      <c r="A6021" s="1">
        <v>45108</v>
      </c>
      <c r="B6021" t="s">
        <v>21</v>
      </c>
      <c r="C6021" t="s">
        <v>797</v>
      </c>
      <c r="D6021">
        <v>0</v>
      </c>
      <c r="E6021" s="2">
        <v>50536.94</v>
      </c>
      <c r="F6021" s="2">
        <v>50536.94</v>
      </c>
    </row>
    <row r="6022" spans="1:6" x14ac:dyDescent="0.25">
      <c r="A6022" s="1">
        <v>45108</v>
      </c>
      <c r="B6022" t="s">
        <v>648</v>
      </c>
      <c r="C6022" t="s">
        <v>1047</v>
      </c>
      <c r="D6022" s="2">
        <v>559795.59</v>
      </c>
      <c r="E6022" s="2">
        <v>1810.13</v>
      </c>
      <c r="F6022" s="2">
        <v>1810.13</v>
      </c>
    </row>
    <row r="6023" spans="1:6" x14ac:dyDescent="0.25">
      <c r="A6023" s="1">
        <v>45108</v>
      </c>
      <c r="B6023" t="s">
        <v>37</v>
      </c>
      <c r="C6023" t="s">
        <v>151</v>
      </c>
      <c r="D6023" s="2">
        <v>-1912362.01</v>
      </c>
      <c r="E6023" s="2">
        <v>372094.5</v>
      </c>
      <c r="F6023" s="2">
        <v>372094.5</v>
      </c>
    </row>
    <row r="6024" spans="1:6" x14ac:dyDescent="0.25">
      <c r="A6024" s="1">
        <v>45108</v>
      </c>
      <c r="B6024" t="s">
        <v>21</v>
      </c>
      <c r="C6024" t="s">
        <v>622</v>
      </c>
      <c r="D6024">
        <v>0</v>
      </c>
      <c r="E6024">
        <v>0</v>
      </c>
      <c r="F6024">
        <v>0</v>
      </c>
    </row>
    <row r="6025" spans="1:6" x14ac:dyDescent="0.25">
      <c r="A6025" s="1">
        <v>45108</v>
      </c>
      <c r="B6025" t="s">
        <v>21</v>
      </c>
      <c r="C6025" t="s">
        <v>510</v>
      </c>
      <c r="D6025">
        <v>0</v>
      </c>
      <c r="E6025" s="2">
        <v>194352.51</v>
      </c>
      <c r="F6025" s="2">
        <v>194352.51</v>
      </c>
    </row>
    <row r="6026" spans="1:6" x14ac:dyDescent="0.25">
      <c r="A6026" s="1">
        <v>45108</v>
      </c>
      <c r="B6026" t="s">
        <v>103</v>
      </c>
      <c r="C6026" t="s">
        <v>453</v>
      </c>
      <c r="D6026">
        <v>0</v>
      </c>
      <c r="E6026">
        <v>0</v>
      </c>
      <c r="F6026">
        <v>0</v>
      </c>
    </row>
    <row r="6027" spans="1:6" x14ac:dyDescent="0.25">
      <c r="A6027" s="1">
        <v>45108</v>
      </c>
      <c r="B6027" t="s">
        <v>90</v>
      </c>
      <c r="C6027" t="s">
        <v>1021</v>
      </c>
      <c r="D6027" s="2">
        <v>276381</v>
      </c>
      <c r="E6027" s="2">
        <v>2951.04</v>
      </c>
      <c r="F6027" s="2">
        <v>21737.83</v>
      </c>
    </row>
    <row r="6028" spans="1:6" x14ac:dyDescent="0.25">
      <c r="A6028" s="1">
        <v>45108</v>
      </c>
      <c r="B6028" t="s">
        <v>40</v>
      </c>
      <c r="C6028" t="s">
        <v>813</v>
      </c>
      <c r="D6028">
        <v>0</v>
      </c>
      <c r="E6028" s="2">
        <v>3446005.97</v>
      </c>
      <c r="F6028" s="2">
        <v>436196.88</v>
      </c>
    </row>
    <row r="6029" spans="1:6" x14ac:dyDescent="0.25">
      <c r="A6029" s="1">
        <v>45108</v>
      </c>
      <c r="B6029" t="s">
        <v>344</v>
      </c>
      <c r="C6029" t="s">
        <v>1054</v>
      </c>
      <c r="D6029" s="2">
        <v>127443.24</v>
      </c>
      <c r="E6029" s="2">
        <v>75578.210000000006</v>
      </c>
      <c r="F6029" s="2">
        <v>75578.210000000006</v>
      </c>
    </row>
    <row r="6030" spans="1:6" x14ac:dyDescent="0.25">
      <c r="A6030" s="1">
        <v>45108</v>
      </c>
      <c r="B6030" t="s">
        <v>306</v>
      </c>
      <c r="C6030" t="s">
        <v>702</v>
      </c>
      <c r="D6030" s="2">
        <v>318446.14</v>
      </c>
      <c r="E6030" s="2">
        <v>886003.87</v>
      </c>
      <c r="F6030" s="2">
        <v>799961.28</v>
      </c>
    </row>
    <row r="6031" spans="1:6" x14ac:dyDescent="0.25">
      <c r="A6031" s="1">
        <v>45108</v>
      </c>
      <c r="B6031" t="s">
        <v>50</v>
      </c>
      <c r="C6031" t="s">
        <v>1014</v>
      </c>
      <c r="D6031">
        <v>0</v>
      </c>
      <c r="E6031">
        <v>0</v>
      </c>
      <c r="F6031">
        <v>0</v>
      </c>
    </row>
    <row r="6032" spans="1:6" x14ac:dyDescent="0.25">
      <c r="A6032" s="1">
        <v>45108</v>
      </c>
      <c r="B6032" t="s">
        <v>50</v>
      </c>
      <c r="C6032" t="s">
        <v>625</v>
      </c>
      <c r="D6032" s="2">
        <v>510515.7</v>
      </c>
      <c r="E6032" s="2">
        <v>1800935.7</v>
      </c>
      <c r="F6032" s="2">
        <v>871546.76</v>
      </c>
    </row>
    <row r="6033" spans="1:6" x14ac:dyDescent="0.25">
      <c r="A6033" s="1">
        <v>45108</v>
      </c>
      <c r="B6033" t="s">
        <v>15</v>
      </c>
      <c r="C6033" t="s">
        <v>550</v>
      </c>
      <c r="D6033">
        <v>0</v>
      </c>
      <c r="E6033">
        <v>0</v>
      </c>
      <c r="F6033">
        <v>0</v>
      </c>
    </row>
    <row r="6034" spans="1:6" x14ac:dyDescent="0.25">
      <c r="A6034" s="1">
        <v>45108</v>
      </c>
      <c r="B6034" t="s">
        <v>21</v>
      </c>
      <c r="C6034" t="s">
        <v>330</v>
      </c>
      <c r="D6034">
        <v>0</v>
      </c>
      <c r="E6034">
        <v>0</v>
      </c>
      <c r="F6034">
        <v>0</v>
      </c>
    </row>
    <row r="6035" spans="1:6" x14ac:dyDescent="0.25">
      <c r="A6035" s="1">
        <v>45108</v>
      </c>
      <c r="B6035" t="s">
        <v>107</v>
      </c>
      <c r="C6035" t="s">
        <v>982</v>
      </c>
      <c r="D6035">
        <v>0</v>
      </c>
      <c r="E6035">
        <v>0</v>
      </c>
      <c r="F6035">
        <v>0</v>
      </c>
    </row>
    <row r="6036" spans="1:6" x14ac:dyDescent="0.25">
      <c r="A6036" s="1">
        <v>45108</v>
      </c>
      <c r="B6036" t="s">
        <v>21</v>
      </c>
      <c r="C6036" t="s">
        <v>431</v>
      </c>
      <c r="D6036">
        <v>0</v>
      </c>
      <c r="E6036" s="2">
        <v>955089.21</v>
      </c>
      <c r="F6036" s="2">
        <v>685166.74</v>
      </c>
    </row>
    <row r="6037" spans="1:6" x14ac:dyDescent="0.25">
      <c r="A6037" s="1">
        <v>45108</v>
      </c>
      <c r="B6037" t="s">
        <v>50</v>
      </c>
      <c r="C6037" t="s">
        <v>274</v>
      </c>
      <c r="D6037">
        <v>0</v>
      </c>
      <c r="E6037" s="2">
        <v>3562.9</v>
      </c>
      <c r="F6037">
        <v>946.4</v>
      </c>
    </row>
    <row r="6038" spans="1:6" x14ac:dyDescent="0.25">
      <c r="A6038" s="1">
        <v>45108</v>
      </c>
      <c r="B6038" t="s">
        <v>17</v>
      </c>
      <c r="C6038" t="s">
        <v>270</v>
      </c>
      <c r="D6038" s="2">
        <v>2749696.89</v>
      </c>
      <c r="E6038" s="2">
        <v>1616845.11</v>
      </c>
      <c r="F6038" s="2">
        <v>1616495.2</v>
      </c>
    </row>
    <row r="6039" spans="1:6" x14ac:dyDescent="0.25">
      <c r="A6039" s="1">
        <v>45108</v>
      </c>
      <c r="B6039" t="s">
        <v>118</v>
      </c>
      <c r="C6039" t="s">
        <v>730</v>
      </c>
      <c r="D6039" s="2">
        <v>24619</v>
      </c>
      <c r="E6039">
        <v>0</v>
      </c>
      <c r="F6039">
        <v>0</v>
      </c>
    </row>
    <row r="6040" spans="1:6" x14ac:dyDescent="0.25">
      <c r="A6040" s="1">
        <v>45108</v>
      </c>
      <c r="B6040" t="s">
        <v>11</v>
      </c>
      <c r="C6040" t="s">
        <v>744</v>
      </c>
      <c r="D6040" s="2">
        <v>56124906.380000003</v>
      </c>
      <c r="E6040" s="2">
        <v>56076927.049999997</v>
      </c>
      <c r="F6040" s="2">
        <v>55262275.159999996</v>
      </c>
    </row>
    <row r="6041" spans="1:6" x14ac:dyDescent="0.25">
      <c r="A6041" s="1">
        <v>45108</v>
      </c>
      <c r="B6041" t="s">
        <v>114</v>
      </c>
      <c r="C6041" t="s">
        <v>556</v>
      </c>
      <c r="D6041" s="2">
        <v>76200483.730000004</v>
      </c>
      <c r="E6041">
        <v>0</v>
      </c>
      <c r="F6041">
        <v>0</v>
      </c>
    </row>
    <row r="6042" spans="1:6" x14ac:dyDescent="0.25">
      <c r="A6042" s="1">
        <v>45108</v>
      </c>
      <c r="B6042" t="s">
        <v>114</v>
      </c>
      <c r="C6042" t="s">
        <v>578</v>
      </c>
      <c r="D6042" s="2">
        <v>7710832.8399999999</v>
      </c>
      <c r="E6042" s="2">
        <v>11035063.529999999</v>
      </c>
      <c r="F6042" s="2">
        <v>11060809.99</v>
      </c>
    </row>
    <row r="6043" spans="1:6" x14ac:dyDescent="0.25">
      <c r="A6043" s="1">
        <v>45108</v>
      </c>
      <c r="B6043" t="s">
        <v>100</v>
      </c>
      <c r="C6043" t="s">
        <v>1060</v>
      </c>
      <c r="D6043">
        <v>0</v>
      </c>
      <c r="E6043">
        <v>0</v>
      </c>
      <c r="F6043">
        <v>0</v>
      </c>
    </row>
    <row r="6044" spans="1:6" x14ac:dyDescent="0.25">
      <c r="A6044" s="1">
        <v>45108</v>
      </c>
      <c r="B6044" t="s">
        <v>159</v>
      </c>
      <c r="C6044" t="s">
        <v>302</v>
      </c>
      <c r="D6044">
        <v>-517.48</v>
      </c>
      <c r="E6044" s="2">
        <v>6090.77</v>
      </c>
      <c r="F6044" s="2">
        <v>6090.77</v>
      </c>
    </row>
    <row r="6045" spans="1:6" x14ac:dyDescent="0.25">
      <c r="A6045" s="1">
        <v>45108</v>
      </c>
      <c r="B6045" t="s">
        <v>48</v>
      </c>
      <c r="C6045" t="s">
        <v>1198</v>
      </c>
      <c r="D6045">
        <v>-388.5</v>
      </c>
      <c r="E6045">
        <v>-388.5</v>
      </c>
      <c r="F6045">
        <v>-388.5</v>
      </c>
    </row>
    <row r="6046" spans="1:6" x14ac:dyDescent="0.25">
      <c r="A6046" s="1">
        <v>45108</v>
      </c>
      <c r="B6046" t="s">
        <v>21</v>
      </c>
      <c r="C6046" t="s">
        <v>650</v>
      </c>
      <c r="D6046" s="2">
        <v>2141206</v>
      </c>
      <c r="E6046" s="2">
        <v>25682860.530000001</v>
      </c>
      <c r="F6046" s="2">
        <v>3531287.07</v>
      </c>
    </row>
    <row r="6047" spans="1:6" x14ac:dyDescent="0.25">
      <c r="A6047" s="1">
        <v>45108</v>
      </c>
      <c r="B6047" t="s">
        <v>53</v>
      </c>
      <c r="C6047" t="s">
        <v>219</v>
      </c>
      <c r="D6047">
        <v>0</v>
      </c>
      <c r="E6047" s="2">
        <v>433006888.26999998</v>
      </c>
      <c r="F6047" s="2">
        <v>433006888.26999998</v>
      </c>
    </row>
    <row r="6048" spans="1:6" x14ac:dyDescent="0.25">
      <c r="A6048" s="1">
        <v>45108</v>
      </c>
      <c r="B6048" t="s">
        <v>118</v>
      </c>
      <c r="C6048" t="s">
        <v>911</v>
      </c>
      <c r="D6048">
        <v>0</v>
      </c>
      <c r="E6048">
        <v>0</v>
      </c>
      <c r="F6048">
        <v>0</v>
      </c>
    </row>
    <row r="6049" spans="1:6" x14ac:dyDescent="0.25">
      <c r="A6049" s="1">
        <v>45108</v>
      </c>
      <c r="B6049" t="s">
        <v>17</v>
      </c>
      <c r="C6049" t="s">
        <v>930</v>
      </c>
      <c r="D6049" s="2">
        <v>832000</v>
      </c>
      <c r="E6049" s="2">
        <v>2736845.6</v>
      </c>
      <c r="F6049" s="2">
        <v>2736845.6</v>
      </c>
    </row>
    <row r="6050" spans="1:6" x14ac:dyDescent="0.25">
      <c r="A6050" s="1">
        <v>45108</v>
      </c>
      <c r="B6050" t="s">
        <v>288</v>
      </c>
      <c r="C6050" t="s">
        <v>521</v>
      </c>
      <c r="D6050" s="2">
        <v>27731.439999999999</v>
      </c>
      <c r="E6050" s="2">
        <v>27731.439999999999</v>
      </c>
      <c r="F6050">
        <v>0</v>
      </c>
    </row>
    <row r="6051" spans="1:6" x14ac:dyDescent="0.25">
      <c r="A6051" s="1">
        <v>45108</v>
      </c>
      <c r="B6051" t="s">
        <v>318</v>
      </c>
      <c r="C6051" t="s">
        <v>319</v>
      </c>
      <c r="D6051">
        <v>0</v>
      </c>
      <c r="E6051">
        <v>0</v>
      </c>
      <c r="F6051">
        <v>0</v>
      </c>
    </row>
    <row r="6052" spans="1:6" x14ac:dyDescent="0.25">
      <c r="A6052" s="1">
        <v>45108</v>
      </c>
      <c r="B6052" t="s">
        <v>118</v>
      </c>
      <c r="C6052" t="s">
        <v>658</v>
      </c>
      <c r="D6052">
        <v>0</v>
      </c>
      <c r="E6052">
        <v>0</v>
      </c>
      <c r="F6052">
        <v>0</v>
      </c>
    </row>
    <row r="6053" spans="1:6" x14ac:dyDescent="0.25">
      <c r="A6053" s="1">
        <v>45108</v>
      </c>
      <c r="B6053" t="s">
        <v>1301</v>
      </c>
      <c r="C6053" t="s">
        <v>753</v>
      </c>
      <c r="D6053">
        <v>0</v>
      </c>
      <c r="E6053">
        <v>0</v>
      </c>
      <c r="F6053">
        <v>0</v>
      </c>
    </row>
    <row r="6054" spans="1:6" x14ac:dyDescent="0.25">
      <c r="A6054" s="1">
        <v>45108</v>
      </c>
      <c r="B6054" t="s">
        <v>193</v>
      </c>
      <c r="C6054" t="s">
        <v>194</v>
      </c>
      <c r="D6054" s="2">
        <v>3213045537.5100002</v>
      </c>
      <c r="E6054" s="2">
        <v>3213045537.5100002</v>
      </c>
      <c r="F6054" s="2">
        <v>3213045537.5100002</v>
      </c>
    </row>
    <row r="6055" spans="1:6" x14ac:dyDescent="0.25">
      <c r="A6055" s="1">
        <v>45108</v>
      </c>
      <c r="B6055" t="s">
        <v>162</v>
      </c>
      <c r="C6055" t="s">
        <v>376</v>
      </c>
      <c r="D6055">
        <v>0</v>
      </c>
      <c r="E6055">
        <v>0</v>
      </c>
      <c r="F6055">
        <v>0</v>
      </c>
    </row>
    <row r="6056" spans="1:6" x14ac:dyDescent="0.25">
      <c r="A6056" s="1">
        <v>45108</v>
      </c>
      <c r="B6056" t="s">
        <v>21</v>
      </c>
      <c r="C6056" t="s">
        <v>451</v>
      </c>
      <c r="D6056">
        <v>0</v>
      </c>
      <c r="E6056">
        <v>0</v>
      </c>
      <c r="F6056">
        <v>0</v>
      </c>
    </row>
    <row r="6057" spans="1:6" x14ac:dyDescent="0.25">
      <c r="A6057" s="1">
        <v>45108</v>
      </c>
      <c r="B6057" t="s">
        <v>37</v>
      </c>
      <c r="C6057" t="s">
        <v>734</v>
      </c>
      <c r="D6057" s="2">
        <v>8132000</v>
      </c>
      <c r="E6057">
        <v>0</v>
      </c>
      <c r="F6057">
        <v>0</v>
      </c>
    </row>
    <row r="6058" spans="1:6" x14ac:dyDescent="0.25">
      <c r="A6058" s="1">
        <v>45108</v>
      </c>
      <c r="B6058" t="s">
        <v>40</v>
      </c>
      <c r="C6058" t="s">
        <v>777</v>
      </c>
      <c r="D6058">
        <v>0</v>
      </c>
      <c r="E6058" s="2">
        <v>33778696.25</v>
      </c>
      <c r="F6058" s="2">
        <v>28941769</v>
      </c>
    </row>
    <row r="6059" spans="1:6" x14ac:dyDescent="0.25">
      <c r="A6059" s="1">
        <v>45108</v>
      </c>
      <c r="B6059" t="s">
        <v>17</v>
      </c>
      <c r="C6059" t="s">
        <v>951</v>
      </c>
      <c r="D6059" s="2">
        <v>2626000</v>
      </c>
      <c r="E6059">
        <v>0</v>
      </c>
      <c r="F6059">
        <v>0</v>
      </c>
    </row>
    <row r="6060" spans="1:6" x14ac:dyDescent="0.25">
      <c r="A6060" s="1">
        <v>45108</v>
      </c>
      <c r="B6060" t="s">
        <v>42</v>
      </c>
      <c r="C6060" t="s">
        <v>1302</v>
      </c>
      <c r="D6060" s="2">
        <v>1000000</v>
      </c>
      <c r="E6060" s="2">
        <v>500000</v>
      </c>
      <c r="F6060" s="2">
        <v>500000</v>
      </c>
    </row>
    <row r="6061" spans="1:6" x14ac:dyDescent="0.25">
      <c r="A6061" s="1">
        <v>45108</v>
      </c>
      <c r="B6061" t="s">
        <v>37</v>
      </c>
      <c r="C6061" t="s">
        <v>583</v>
      </c>
      <c r="D6061" s="2">
        <v>350000</v>
      </c>
      <c r="E6061" s="2">
        <v>11505.69</v>
      </c>
      <c r="F6061" s="2">
        <v>11505.69</v>
      </c>
    </row>
    <row r="6062" spans="1:6" x14ac:dyDescent="0.25">
      <c r="A6062" s="1">
        <v>45108</v>
      </c>
      <c r="B6062" t="s">
        <v>11</v>
      </c>
      <c r="C6062" t="s">
        <v>1098</v>
      </c>
      <c r="D6062" s="2">
        <v>6375767183</v>
      </c>
      <c r="E6062">
        <v>0</v>
      </c>
      <c r="F6062">
        <v>0</v>
      </c>
    </row>
    <row r="6063" spans="1:6" x14ac:dyDescent="0.25">
      <c r="A6063" s="1">
        <v>45108</v>
      </c>
      <c r="B6063" t="s">
        <v>100</v>
      </c>
      <c r="C6063" t="s">
        <v>72</v>
      </c>
      <c r="D6063">
        <v>0</v>
      </c>
      <c r="E6063">
        <v>0</v>
      </c>
      <c r="F6063">
        <v>0</v>
      </c>
    </row>
    <row r="6064" spans="1:6" x14ac:dyDescent="0.25">
      <c r="A6064" s="1">
        <v>45108</v>
      </c>
      <c r="B6064" t="s">
        <v>458</v>
      </c>
      <c r="C6064" t="s">
        <v>798</v>
      </c>
      <c r="D6064">
        <v>0</v>
      </c>
      <c r="E6064">
        <v>0</v>
      </c>
      <c r="F6064">
        <v>0</v>
      </c>
    </row>
    <row r="6065" spans="1:6" x14ac:dyDescent="0.25">
      <c r="A6065" s="1">
        <v>45108</v>
      </c>
      <c r="B6065" t="s">
        <v>21</v>
      </c>
      <c r="C6065" t="s">
        <v>642</v>
      </c>
      <c r="D6065" s="2">
        <v>-2542.0500000000002</v>
      </c>
      <c r="E6065" s="2">
        <v>1792028.11</v>
      </c>
      <c r="F6065" s="2">
        <v>1910231.03</v>
      </c>
    </row>
    <row r="6066" spans="1:6" x14ac:dyDescent="0.25">
      <c r="A6066" s="1">
        <v>45108</v>
      </c>
      <c r="B6066" t="s">
        <v>23</v>
      </c>
      <c r="C6066" t="s">
        <v>294</v>
      </c>
      <c r="D6066">
        <v>0</v>
      </c>
      <c r="E6066">
        <v>0</v>
      </c>
      <c r="F6066">
        <v>0</v>
      </c>
    </row>
    <row r="6067" spans="1:6" x14ac:dyDescent="0.25">
      <c r="A6067" s="1">
        <v>45108</v>
      </c>
      <c r="B6067" t="s">
        <v>196</v>
      </c>
      <c r="C6067" t="s">
        <v>612</v>
      </c>
      <c r="D6067">
        <v>0</v>
      </c>
      <c r="E6067">
        <v>0</v>
      </c>
      <c r="F6067">
        <v>0</v>
      </c>
    </row>
    <row r="6068" spans="1:6" x14ac:dyDescent="0.25">
      <c r="A6068" s="1">
        <v>45108</v>
      </c>
      <c r="B6068" t="s">
        <v>23</v>
      </c>
      <c r="C6068" t="s">
        <v>988</v>
      </c>
      <c r="D6068">
        <v>0</v>
      </c>
      <c r="E6068" s="2">
        <v>7209159.3799999999</v>
      </c>
      <c r="F6068" s="2">
        <v>6190541.8499999996</v>
      </c>
    </row>
    <row r="6069" spans="1:6" x14ac:dyDescent="0.25">
      <c r="A6069" s="1">
        <v>45108</v>
      </c>
      <c r="B6069" t="s">
        <v>422</v>
      </c>
      <c r="C6069" t="s">
        <v>423</v>
      </c>
      <c r="D6069" s="2">
        <v>13157447.859999999</v>
      </c>
      <c r="E6069" s="2">
        <v>360532</v>
      </c>
      <c r="F6069">
        <v>0</v>
      </c>
    </row>
    <row r="6070" spans="1:6" x14ac:dyDescent="0.25">
      <c r="A6070" s="1">
        <v>45108</v>
      </c>
      <c r="B6070" t="s">
        <v>460</v>
      </c>
      <c r="C6070" t="s">
        <v>746</v>
      </c>
      <c r="D6070" s="2">
        <v>15395937.33</v>
      </c>
      <c r="E6070" s="2">
        <v>2417224.33</v>
      </c>
      <c r="F6070" s="2">
        <v>2523201.66</v>
      </c>
    </row>
    <row r="6071" spans="1:6" x14ac:dyDescent="0.25">
      <c r="A6071" s="1">
        <v>45108</v>
      </c>
      <c r="B6071" t="s">
        <v>21</v>
      </c>
      <c r="C6071" t="s">
        <v>1005</v>
      </c>
      <c r="D6071">
        <v>0</v>
      </c>
      <c r="E6071">
        <v>0</v>
      </c>
      <c r="F6071">
        <v>0</v>
      </c>
    </row>
    <row r="6072" spans="1:6" x14ac:dyDescent="0.25">
      <c r="A6072" s="1">
        <v>45108</v>
      </c>
      <c r="B6072" t="s">
        <v>90</v>
      </c>
      <c r="C6072" t="s">
        <v>1303</v>
      </c>
      <c r="D6072" s="2">
        <v>80000</v>
      </c>
      <c r="E6072">
        <v>0</v>
      </c>
      <c r="F6072">
        <v>0</v>
      </c>
    </row>
    <row r="6073" spans="1:6" x14ac:dyDescent="0.25">
      <c r="A6073" s="1">
        <v>45108</v>
      </c>
      <c r="B6073" t="s">
        <v>234</v>
      </c>
      <c r="C6073" t="s">
        <v>284</v>
      </c>
      <c r="D6073" s="2">
        <v>3990273208</v>
      </c>
      <c r="E6073" s="2">
        <v>3990273208</v>
      </c>
      <c r="F6073" s="2">
        <v>3990273208</v>
      </c>
    </row>
    <row r="6074" spans="1:6" x14ac:dyDescent="0.25">
      <c r="A6074" s="1">
        <v>45108</v>
      </c>
      <c r="B6074" t="s">
        <v>398</v>
      </c>
      <c r="C6074" t="s">
        <v>399</v>
      </c>
      <c r="D6074">
        <v>0</v>
      </c>
      <c r="E6074" s="2">
        <v>1499700.72</v>
      </c>
      <c r="F6074" s="2">
        <v>1499700.72</v>
      </c>
    </row>
    <row r="6075" spans="1:6" x14ac:dyDescent="0.25">
      <c r="A6075" s="1">
        <v>45108</v>
      </c>
      <c r="B6075" t="s">
        <v>694</v>
      </c>
      <c r="C6075" t="s">
        <v>658</v>
      </c>
      <c r="D6075">
        <v>0</v>
      </c>
      <c r="E6075">
        <v>0</v>
      </c>
      <c r="F6075">
        <v>0</v>
      </c>
    </row>
    <row r="6076" spans="1:6" x14ac:dyDescent="0.25">
      <c r="A6076" s="1">
        <v>45108</v>
      </c>
      <c r="B6076" t="s">
        <v>23</v>
      </c>
      <c r="C6076" t="s">
        <v>394</v>
      </c>
      <c r="D6076" s="2">
        <v>-10485.19</v>
      </c>
      <c r="E6076">
        <v>0</v>
      </c>
      <c r="F6076">
        <v>0</v>
      </c>
    </row>
    <row r="6077" spans="1:6" x14ac:dyDescent="0.25">
      <c r="A6077" s="1">
        <v>45108</v>
      </c>
      <c r="B6077" t="s">
        <v>98</v>
      </c>
      <c r="C6077" t="s">
        <v>415</v>
      </c>
      <c r="D6077">
        <v>0</v>
      </c>
      <c r="E6077">
        <v>0</v>
      </c>
      <c r="F6077">
        <v>0</v>
      </c>
    </row>
    <row r="6078" spans="1:6" x14ac:dyDescent="0.25">
      <c r="A6078" s="1">
        <v>45108</v>
      </c>
      <c r="B6078" t="s">
        <v>13</v>
      </c>
      <c r="C6078" t="s">
        <v>14</v>
      </c>
      <c r="D6078">
        <v>0</v>
      </c>
      <c r="E6078" s="2">
        <v>13746896.689999999</v>
      </c>
      <c r="F6078" s="2">
        <v>13749578.199999999</v>
      </c>
    </row>
    <row r="6079" spans="1:6" x14ac:dyDescent="0.25">
      <c r="A6079" s="1">
        <v>45108</v>
      </c>
      <c r="B6079" t="s">
        <v>278</v>
      </c>
      <c r="C6079" t="s">
        <v>340</v>
      </c>
      <c r="D6079" s="2">
        <v>54600</v>
      </c>
      <c r="E6079" s="2">
        <v>252983.34</v>
      </c>
      <c r="F6079" s="2">
        <v>270080.65999999997</v>
      </c>
    </row>
    <row r="6080" spans="1:6" x14ac:dyDescent="0.25">
      <c r="A6080" s="1">
        <v>45108</v>
      </c>
      <c r="B6080" t="s">
        <v>21</v>
      </c>
      <c r="C6080" t="s">
        <v>1181</v>
      </c>
      <c r="D6080" s="2">
        <v>450000</v>
      </c>
      <c r="E6080">
        <v>0</v>
      </c>
      <c r="F6080">
        <v>0</v>
      </c>
    </row>
    <row r="6081" spans="1:6" x14ac:dyDescent="0.25">
      <c r="A6081" s="1">
        <v>45108</v>
      </c>
      <c r="B6081" t="s">
        <v>398</v>
      </c>
      <c r="C6081" t="s">
        <v>1046</v>
      </c>
      <c r="D6081" s="2">
        <v>510043.25</v>
      </c>
      <c r="E6081" s="2">
        <v>1411162.26</v>
      </c>
      <c r="F6081" s="2">
        <v>1249669.69</v>
      </c>
    </row>
    <row r="6082" spans="1:6" x14ac:dyDescent="0.25">
      <c r="A6082" s="1">
        <v>45108</v>
      </c>
      <c r="B6082" t="s">
        <v>21</v>
      </c>
      <c r="C6082" t="s">
        <v>329</v>
      </c>
      <c r="D6082">
        <v>0</v>
      </c>
      <c r="E6082" s="2">
        <v>1219290.6499999999</v>
      </c>
      <c r="F6082" s="2">
        <v>1219290.6499999999</v>
      </c>
    </row>
    <row r="6083" spans="1:6" x14ac:dyDescent="0.25">
      <c r="A6083" s="1">
        <v>45108</v>
      </c>
      <c r="B6083" t="s">
        <v>98</v>
      </c>
      <c r="C6083" t="s">
        <v>948</v>
      </c>
      <c r="D6083">
        <v>0</v>
      </c>
      <c r="E6083">
        <v>0</v>
      </c>
      <c r="F6083">
        <v>0</v>
      </c>
    </row>
    <row r="6084" spans="1:6" x14ac:dyDescent="0.25">
      <c r="A6084" s="1">
        <v>45108</v>
      </c>
      <c r="B6084" t="s">
        <v>288</v>
      </c>
      <c r="C6084" t="s">
        <v>1282</v>
      </c>
      <c r="D6084" s="2">
        <v>41670.07</v>
      </c>
      <c r="E6084" s="2">
        <v>87566.399999999994</v>
      </c>
      <c r="F6084" s="2">
        <v>87566.399999999994</v>
      </c>
    </row>
    <row r="6085" spans="1:6" x14ac:dyDescent="0.25">
      <c r="A6085" s="1">
        <v>45108</v>
      </c>
      <c r="B6085" t="s">
        <v>50</v>
      </c>
      <c r="C6085" t="s">
        <v>1107</v>
      </c>
      <c r="D6085">
        <v>0</v>
      </c>
      <c r="E6085" s="2">
        <v>613195</v>
      </c>
      <c r="F6085" s="2">
        <v>613195</v>
      </c>
    </row>
    <row r="6086" spans="1:6" x14ac:dyDescent="0.25">
      <c r="A6086" s="1">
        <v>45108</v>
      </c>
      <c r="B6086" t="s">
        <v>65</v>
      </c>
      <c r="C6086" t="s">
        <v>201</v>
      </c>
      <c r="D6086" s="2">
        <v>2107078.46</v>
      </c>
      <c r="E6086" s="2">
        <v>383367.03</v>
      </c>
      <c r="F6086" s="2">
        <v>369959</v>
      </c>
    </row>
    <row r="6087" spans="1:6" x14ac:dyDescent="0.25">
      <c r="A6087" s="1">
        <v>45108</v>
      </c>
      <c r="B6087" t="s">
        <v>98</v>
      </c>
      <c r="C6087" t="s">
        <v>543</v>
      </c>
      <c r="D6087">
        <v>0</v>
      </c>
      <c r="E6087">
        <v>0</v>
      </c>
      <c r="F6087">
        <v>0</v>
      </c>
    </row>
    <row r="6088" spans="1:6" x14ac:dyDescent="0.25">
      <c r="A6088" s="1">
        <v>45108</v>
      </c>
      <c r="B6088" t="s">
        <v>159</v>
      </c>
      <c r="C6088" t="s">
        <v>160</v>
      </c>
      <c r="D6088" s="2">
        <v>90641.15</v>
      </c>
      <c r="E6088" s="2">
        <v>87141.15</v>
      </c>
      <c r="F6088">
        <v>0</v>
      </c>
    </row>
    <row r="6089" spans="1:6" x14ac:dyDescent="0.25">
      <c r="A6089" s="1">
        <v>45108</v>
      </c>
      <c r="B6089" t="s">
        <v>42</v>
      </c>
      <c r="C6089" t="s">
        <v>380</v>
      </c>
      <c r="D6089">
        <v>0</v>
      </c>
      <c r="E6089" s="2">
        <v>2592420</v>
      </c>
      <c r="F6089" s="2">
        <v>2145706.34</v>
      </c>
    </row>
    <row r="6090" spans="1:6" x14ac:dyDescent="0.25">
      <c r="A6090" s="1">
        <v>45108</v>
      </c>
      <c r="B6090" t="s">
        <v>726</v>
      </c>
      <c r="C6090" t="s">
        <v>837</v>
      </c>
      <c r="D6090" s="2">
        <v>21942.720000000001</v>
      </c>
      <c r="E6090" s="2">
        <v>1123170.19</v>
      </c>
      <c r="F6090" s="2">
        <v>1163330.68</v>
      </c>
    </row>
    <row r="6091" spans="1:6" x14ac:dyDescent="0.25">
      <c r="A6091" s="1">
        <v>45108</v>
      </c>
      <c r="B6091" t="s">
        <v>61</v>
      </c>
      <c r="C6091" t="s">
        <v>62</v>
      </c>
      <c r="D6091">
        <v>0</v>
      </c>
      <c r="E6091">
        <v>0</v>
      </c>
      <c r="F6091">
        <v>0</v>
      </c>
    </row>
    <row r="6092" spans="1:6" x14ac:dyDescent="0.25">
      <c r="A6092" s="1">
        <v>45108</v>
      </c>
      <c r="B6092" t="s">
        <v>31</v>
      </c>
      <c r="C6092" t="s">
        <v>1176</v>
      </c>
      <c r="D6092">
        <v>0</v>
      </c>
      <c r="E6092">
        <v>0</v>
      </c>
      <c r="F6092">
        <v>0</v>
      </c>
    </row>
    <row r="6093" spans="1:6" x14ac:dyDescent="0.25">
      <c r="A6093" s="1">
        <v>45108</v>
      </c>
      <c r="B6093" t="s">
        <v>114</v>
      </c>
      <c r="C6093" t="s">
        <v>115</v>
      </c>
      <c r="D6093" s="2">
        <v>19000000</v>
      </c>
      <c r="E6093">
        <v>0</v>
      </c>
      <c r="F6093">
        <v>0</v>
      </c>
    </row>
    <row r="6094" spans="1:6" x14ac:dyDescent="0.25">
      <c r="A6094" s="1">
        <v>45108</v>
      </c>
      <c r="B6094" t="s">
        <v>278</v>
      </c>
      <c r="C6094" t="s">
        <v>279</v>
      </c>
      <c r="D6094">
        <v>0</v>
      </c>
      <c r="E6094" s="2">
        <v>199063.83</v>
      </c>
      <c r="F6094" s="2">
        <v>199063.83</v>
      </c>
    </row>
    <row r="6095" spans="1:6" x14ac:dyDescent="0.25">
      <c r="A6095" s="1">
        <v>45108</v>
      </c>
      <c r="B6095" t="s">
        <v>40</v>
      </c>
      <c r="C6095" t="s">
        <v>803</v>
      </c>
      <c r="D6095">
        <v>0</v>
      </c>
      <c r="E6095" s="2">
        <v>421184.06</v>
      </c>
      <c r="F6095" s="2">
        <v>427630.78</v>
      </c>
    </row>
    <row r="6096" spans="1:6" x14ac:dyDescent="0.25">
      <c r="A6096" s="1">
        <v>45108</v>
      </c>
      <c r="B6096" t="s">
        <v>661</v>
      </c>
      <c r="C6096" t="s">
        <v>457</v>
      </c>
      <c r="D6096">
        <v>0</v>
      </c>
      <c r="E6096">
        <v>0</v>
      </c>
      <c r="F6096">
        <v>0</v>
      </c>
    </row>
    <row r="6097" spans="1:6" x14ac:dyDescent="0.25">
      <c r="A6097" s="1">
        <v>45108</v>
      </c>
      <c r="B6097" t="s">
        <v>288</v>
      </c>
      <c r="C6097" t="s">
        <v>434</v>
      </c>
      <c r="D6097">
        <v>0</v>
      </c>
      <c r="E6097" s="2">
        <v>149520.04</v>
      </c>
      <c r="F6097">
        <v>0</v>
      </c>
    </row>
    <row r="6098" spans="1:6" x14ac:dyDescent="0.25">
      <c r="A6098" s="1">
        <v>45108</v>
      </c>
      <c r="B6098" t="s">
        <v>933</v>
      </c>
      <c r="C6098" t="s">
        <v>1041</v>
      </c>
      <c r="D6098">
        <v>0</v>
      </c>
      <c r="E6098" s="2">
        <v>20618.580000000002</v>
      </c>
      <c r="F6098" s="2">
        <v>20618.580000000002</v>
      </c>
    </row>
    <row r="6099" spans="1:6" x14ac:dyDescent="0.25">
      <c r="A6099" s="1">
        <v>45108</v>
      </c>
      <c r="B6099" t="s">
        <v>11</v>
      </c>
      <c r="C6099" t="s">
        <v>300</v>
      </c>
      <c r="D6099">
        <v>0</v>
      </c>
      <c r="E6099" s="2">
        <v>93532253.079999998</v>
      </c>
      <c r="F6099" s="2">
        <v>93532253.079999998</v>
      </c>
    </row>
    <row r="6100" spans="1:6" x14ac:dyDescent="0.25">
      <c r="A6100" s="1">
        <v>45108</v>
      </c>
      <c r="B6100" t="s">
        <v>27</v>
      </c>
      <c r="C6100" t="s">
        <v>346</v>
      </c>
      <c r="D6100">
        <v>0</v>
      </c>
      <c r="E6100" s="2">
        <v>3302.86</v>
      </c>
      <c r="F6100" s="2">
        <v>3302.86</v>
      </c>
    </row>
    <row r="6101" spans="1:6" x14ac:dyDescent="0.25">
      <c r="A6101" s="1">
        <v>45108</v>
      </c>
      <c r="B6101" t="s">
        <v>159</v>
      </c>
      <c r="C6101" t="s">
        <v>34</v>
      </c>
      <c r="D6101">
        <v>0</v>
      </c>
      <c r="E6101">
        <v>0</v>
      </c>
      <c r="F6101">
        <v>0</v>
      </c>
    </row>
    <row r="6102" spans="1:6" x14ac:dyDescent="0.25">
      <c r="A6102" s="1">
        <v>45108</v>
      </c>
      <c r="B6102" t="s">
        <v>13</v>
      </c>
      <c r="C6102" t="s">
        <v>617</v>
      </c>
      <c r="D6102" s="2">
        <v>300727.25</v>
      </c>
      <c r="E6102" s="2">
        <v>170383.62</v>
      </c>
      <c r="F6102" s="2">
        <v>221282.07</v>
      </c>
    </row>
    <row r="6103" spans="1:6" x14ac:dyDescent="0.25">
      <c r="A6103" s="1">
        <v>45108</v>
      </c>
      <c r="B6103" t="s">
        <v>21</v>
      </c>
      <c r="C6103" t="s">
        <v>1105</v>
      </c>
      <c r="D6103">
        <v>0</v>
      </c>
      <c r="E6103" s="2">
        <v>6606679.1699999999</v>
      </c>
      <c r="F6103" s="2">
        <v>6606679.1699999999</v>
      </c>
    </row>
    <row r="6104" spans="1:6" x14ac:dyDescent="0.25">
      <c r="A6104" s="1">
        <v>45108</v>
      </c>
      <c r="B6104" t="s">
        <v>23</v>
      </c>
      <c r="C6104" t="s">
        <v>410</v>
      </c>
      <c r="D6104">
        <v>0</v>
      </c>
      <c r="E6104">
        <v>0</v>
      </c>
      <c r="F6104">
        <v>0</v>
      </c>
    </row>
    <row r="6105" spans="1:6" x14ac:dyDescent="0.25">
      <c r="A6105" s="1">
        <v>45108</v>
      </c>
      <c r="B6105" t="s">
        <v>17</v>
      </c>
      <c r="C6105" t="s">
        <v>377</v>
      </c>
      <c r="D6105" s="2">
        <v>17031697.859999999</v>
      </c>
      <c r="E6105" s="2">
        <v>12559618.85</v>
      </c>
      <c r="F6105" s="2">
        <v>12126218.85</v>
      </c>
    </row>
    <row r="6106" spans="1:6" x14ac:dyDescent="0.25">
      <c r="A6106" s="1">
        <v>45108</v>
      </c>
      <c r="B6106" t="s">
        <v>40</v>
      </c>
      <c r="C6106" t="s">
        <v>73</v>
      </c>
      <c r="D6106" s="2">
        <v>18500000</v>
      </c>
      <c r="E6106">
        <v>0</v>
      </c>
      <c r="F6106">
        <v>0</v>
      </c>
    </row>
    <row r="6107" spans="1:6" x14ac:dyDescent="0.25">
      <c r="A6107" s="1">
        <v>45108</v>
      </c>
      <c r="B6107" t="s">
        <v>225</v>
      </c>
      <c r="C6107" t="s">
        <v>1304</v>
      </c>
      <c r="D6107" s="2">
        <v>70851380836</v>
      </c>
      <c r="E6107">
        <v>0</v>
      </c>
      <c r="F6107">
        <v>0</v>
      </c>
    </row>
    <row r="6108" spans="1:6" x14ac:dyDescent="0.25">
      <c r="A6108" s="1">
        <v>45108</v>
      </c>
      <c r="B6108" t="s">
        <v>50</v>
      </c>
      <c r="C6108" t="s">
        <v>372</v>
      </c>
      <c r="D6108">
        <v>0</v>
      </c>
      <c r="E6108">
        <v>0</v>
      </c>
      <c r="F6108">
        <v>0</v>
      </c>
    </row>
    <row r="6109" spans="1:6" x14ac:dyDescent="0.25">
      <c r="A6109" s="1">
        <v>45108</v>
      </c>
      <c r="B6109" t="s">
        <v>98</v>
      </c>
      <c r="C6109" t="s">
        <v>1256</v>
      </c>
      <c r="D6109">
        <v>0</v>
      </c>
      <c r="E6109">
        <v>0</v>
      </c>
      <c r="F6109">
        <v>0</v>
      </c>
    </row>
    <row r="6110" spans="1:6" x14ac:dyDescent="0.25">
      <c r="A6110" s="1">
        <v>45108</v>
      </c>
      <c r="B6110" t="s">
        <v>1073</v>
      </c>
      <c r="C6110" t="s">
        <v>1021</v>
      </c>
      <c r="D6110">
        <v>0</v>
      </c>
      <c r="E6110">
        <v>0</v>
      </c>
      <c r="F6110">
        <v>0</v>
      </c>
    </row>
    <row r="6111" spans="1:6" x14ac:dyDescent="0.25">
      <c r="A6111" s="1">
        <v>45108</v>
      </c>
      <c r="B6111" t="s">
        <v>31</v>
      </c>
      <c r="C6111" t="s">
        <v>925</v>
      </c>
      <c r="D6111" s="2">
        <v>15000</v>
      </c>
      <c r="E6111" s="2">
        <v>229350.22</v>
      </c>
      <c r="F6111" s="2">
        <v>229350.22</v>
      </c>
    </row>
    <row r="6112" spans="1:6" x14ac:dyDescent="0.25">
      <c r="A6112" s="1">
        <v>45108</v>
      </c>
      <c r="B6112" t="s">
        <v>21</v>
      </c>
      <c r="C6112" t="s">
        <v>463</v>
      </c>
      <c r="D6112" s="2">
        <v>2000000</v>
      </c>
      <c r="E6112" s="2">
        <v>110590.3</v>
      </c>
      <c r="F6112" s="2">
        <v>110590.3</v>
      </c>
    </row>
    <row r="6113" spans="1:6" x14ac:dyDescent="0.25">
      <c r="A6113" s="1">
        <v>45108</v>
      </c>
      <c r="B6113" t="s">
        <v>107</v>
      </c>
      <c r="C6113" t="s">
        <v>1286</v>
      </c>
      <c r="D6113">
        <v>0</v>
      </c>
      <c r="E6113" s="2">
        <v>460914.42</v>
      </c>
      <c r="F6113">
        <v>0</v>
      </c>
    </row>
    <row r="6114" spans="1:6" x14ac:dyDescent="0.25">
      <c r="A6114" s="1">
        <v>45108</v>
      </c>
      <c r="B6114" t="s">
        <v>63</v>
      </c>
      <c r="C6114" t="s">
        <v>1267</v>
      </c>
      <c r="D6114" s="2">
        <v>-196332.23</v>
      </c>
      <c r="E6114" s="2">
        <v>1078295.1299999999</v>
      </c>
      <c r="F6114" s="2">
        <v>302622.53999999998</v>
      </c>
    </row>
    <row r="6115" spans="1:6" x14ac:dyDescent="0.25">
      <c r="A6115" s="1">
        <v>45108</v>
      </c>
      <c r="B6115" t="s">
        <v>118</v>
      </c>
      <c r="C6115" t="s">
        <v>940</v>
      </c>
      <c r="D6115">
        <v>0</v>
      </c>
      <c r="E6115">
        <v>0</v>
      </c>
      <c r="F6115">
        <v>0</v>
      </c>
    </row>
    <row r="6116" spans="1:6" x14ac:dyDescent="0.25">
      <c r="A6116" s="1">
        <v>45108</v>
      </c>
      <c r="B6116" t="s">
        <v>23</v>
      </c>
      <c r="C6116" t="s">
        <v>281</v>
      </c>
      <c r="D6116" s="2">
        <v>2555559</v>
      </c>
      <c r="E6116" s="2">
        <v>13686.84</v>
      </c>
      <c r="F6116">
        <v>0</v>
      </c>
    </row>
    <row r="6117" spans="1:6" x14ac:dyDescent="0.25">
      <c r="A6117" s="1">
        <v>45108</v>
      </c>
      <c r="B6117" t="s">
        <v>114</v>
      </c>
      <c r="C6117" t="s">
        <v>945</v>
      </c>
      <c r="D6117">
        <v>0</v>
      </c>
      <c r="E6117" s="2">
        <v>28910.87</v>
      </c>
      <c r="F6117" s="2">
        <v>28910.87</v>
      </c>
    </row>
    <row r="6118" spans="1:6" x14ac:dyDescent="0.25">
      <c r="A6118" s="1">
        <v>45108</v>
      </c>
      <c r="B6118" t="s">
        <v>23</v>
      </c>
      <c r="C6118" t="s">
        <v>436</v>
      </c>
      <c r="D6118" s="2">
        <v>-4453882.4400000004</v>
      </c>
      <c r="E6118" s="2">
        <v>14078</v>
      </c>
      <c r="F6118" s="2">
        <v>14078</v>
      </c>
    </row>
    <row r="6119" spans="1:6" x14ac:dyDescent="0.25">
      <c r="A6119" s="1">
        <v>45108</v>
      </c>
      <c r="B6119" t="s">
        <v>21</v>
      </c>
      <c r="C6119" t="s">
        <v>720</v>
      </c>
      <c r="D6119">
        <v>0</v>
      </c>
      <c r="E6119" s="2">
        <v>22264.89</v>
      </c>
      <c r="F6119" s="2">
        <v>22264.89</v>
      </c>
    </row>
    <row r="6120" spans="1:6" x14ac:dyDescent="0.25">
      <c r="A6120" s="1">
        <v>45108</v>
      </c>
      <c r="B6120" t="s">
        <v>11</v>
      </c>
      <c r="C6120" t="s">
        <v>484</v>
      </c>
      <c r="D6120">
        <v>0</v>
      </c>
      <c r="E6120" s="2">
        <v>3279316.53</v>
      </c>
      <c r="F6120" s="2">
        <v>3279316.53</v>
      </c>
    </row>
    <row r="6121" spans="1:6" x14ac:dyDescent="0.25">
      <c r="A6121" s="1">
        <v>45108</v>
      </c>
      <c r="B6121" t="s">
        <v>282</v>
      </c>
      <c r="C6121" t="s">
        <v>664</v>
      </c>
      <c r="D6121">
        <v>0</v>
      </c>
      <c r="E6121" s="2">
        <v>13598135839.52</v>
      </c>
      <c r="F6121" s="2">
        <v>13598135839.52</v>
      </c>
    </row>
    <row r="6122" spans="1:6" x14ac:dyDescent="0.25">
      <c r="A6122" s="1">
        <v>45108</v>
      </c>
      <c r="B6122" t="s">
        <v>19</v>
      </c>
      <c r="C6122" t="s">
        <v>397</v>
      </c>
      <c r="D6122" s="2">
        <v>-314781.74</v>
      </c>
      <c r="E6122" s="2">
        <v>2793303.27</v>
      </c>
      <c r="F6122" s="2">
        <v>2605051.88</v>
      </c>
    </row>
    <row r="6123" spans="1:6" x14ac:dyDescent="0.25">
      <c r="A6123" s="1">
        <v>45108</v>
      </c>
      <c r="B6123" t="s">
        <v>40</v>
      </c>
      <c r="C6123" t="s">
        <v>311</v>
      </c>
      <c r="D6123" s="2">
        <v>22075922.82</v>
      </c>
      <c r="E6123" s="2">
        <v>1373175.24</v>
      </c>
      <c r="F6123" s="2">
        <v>1611338.58</v>
      </c>
    </row>
    <row r="6124" spans="1:6" x14ac:dyDescent="0.25">
      <c r="A6124" s="1">
        <v>45108</v>
      </c>
      <c r="B6124" t="s">
        <v>120</v>
      </c>
      <c r="C6124" t="s">
        <v>943</v>
      </c>
      <c r="D6124" s="2">
        <v>26200</v>
      </c>
      <c r="E6124">
        <v>0</v>
      </c>
      <c r="F6124">
        <v>0</v>
      </c>
    </row>
    <row r="6125" spans="1:6" x14ac:dyDescent="0.25">
      <c r="A6125" s="1">
        <v>45108</v>
      </c>
      <c r="B6125" t="s">
        <v>44</v>
      </c>
      <c r="C6125" t="s">
        <v>253</v>
      </c>
      <c r="D6125" s="2">
        <v>55000</v>
      </c>
      <c r="E6125" s="2">
        <v>69540.58</v>
      </c>
      <c r="F6125" s="2">
        <v>69445.58</v>
      </c>
    </row>
    <row r="6126" spans="1:6" x14ac:dyDescent="0.25">
      <c r="A6126" s="1">
        <v>45108</v>
      </c>
      <c r="B6126" t="s">
        <v>90</v>
      </c>
      <c r="C6126" t="s">
        <v>1037</v>
      </c>
      <c r="D6126" s="2">
        <v>2524635.21</v>
      </c>
      <c r="E6126" s="2">
        <v>5047.34</v>
      </c>
      <c r="F6126" s="2">
        <v>8184.34</v>
      </c>
    </row>
    <row r="6127" spans="1:6" x14ac:dyDescent="0.25">
      <c r="A6127" s="1">
        <v>45108</v>
      </c>
      <c r="B6127" t="s">
        <v>55</v>
      </c>
      <c r="C6127" t="s">
        <v>1244</v>
      </c>
      <c r="D6127">
        <v>0</v>
      </c>
      <c r="E6127">
        <v>0</v>
      </c>
      <c r="F6127">
        <v>0</v>
      </c>
    </row>
    <row r="6128" spans="1:6" x14ac:dyDescent="0.25">
      <c r="A6128" s="1">
        <v>45108</v>
      </c>
      <c r="B6128" t="s">
        <v>118</v>
      </c>
      <c r="C6128" t="s">
        <v>308</v>
      </c>
      <c r="D6128" s="2">
        <v>4278324.12</v>
      </c>
      <c r="E6128" s="2">
        <v>397246.63</v>
      </c>
      <c r="F6128" s="2">
        <v>423667.4</v>
      </c>
    </row>
    <row r="6129" spans="1:6" x14ac:dyDescent="0.25">
      <c r="A6129" s="1">
        <v>45108</v>
      </c>
      <c r="B6129" t="s">
        <v>50</v>
      </c>
      <c r="C6129" t="s">
        <v>286</v>
      </c>
      <c r="D6129">
        <v>0</v>
      </c>
      <c r="E6129">
        <v>0</v>
      </c>
      <c r="F6129">
        <v>0</v>
      </c>
    </row>
    <row r="6130" spans="1:6" x14ac:dyDescent="0.25">
      <c r="A6130" s="1">
        <v>45108</v>
      </c>
      <c r="B6130" t="s">
        <v>426</v>
      </c>
      <c r="C6130" t="s">
        <v>427</v>
      </c>
      <c r="D6130" s="2">
        <v>343000000</v>
      </c>
      <c r="E6130" s="2">
        <v>257831729445.54999</v>
      </c>
      <c r="F6130" s="2">
        <v>257831729445.54999</v>
      </c>
    </row>
    <row r="6131" spans="1:6" x14ac:dyDescent="0.25">
      <c r="A6131" s="1">
        <v>45108</v>
      </c>
      <c r="B6131" t="s">
        <v>23</v>
      </c>
      <c r="C6131" t="s">
        <v>1004</v>
      </c>
      <c r="D6131" s="2">
        <v>585010.43000000005</v>
      </c>
      <c r="E6131">
        <v>-89.89</v>
      </c>
      <c r="F6131" s="2">
        <v>3311421.3</v>
      </c>
    </row>
    <row r="6132" spans="1:6" x14ac:dyDescent="0.25">
      <c r="A6132" s="1">
        <v>45108</v>
      </c>
      <c r="B6132" t="s">
        <v>21</v>
      </c>
      <c r="C6132" t="s">
        <v>211</v>
      </c>
      <c r="D6132">
        <v>0</v>
      </c>
      <c r="E6132">
        <v>0</v>
      </c>
      <c r="F6132">
        <v>0</v>
      </c>
    </row>
    <row r="6133" spans="1:6" x14ac:dyDescent="0.25">
      <c r="A6133" s="1">
        <v>45108</v>
      </c>
      <c r="B6133" t="s">
        <v>63</v>
      </c>
      <c r="C6133" t="s">
        <v>224</v>
      </c>
      <c r="D6133">
        <v>0</v>
      </c>
      <c r="E6133" s="2">
        <v>862900.9</v>
      </c>
      <c r="F6133" s="2">
        <v>862900.9</v>
      </c>
    </row>
    <row r="6134" spans="1:6" x14ac:dyDescent="0.25">
      <c r="A6134" s="1">
        <v>45108</v>
      </c>
      <c r="B6134" t="s">
        <v>40</v>
      </c>
      <c r="C6134" t="s">
        <v>459</v>
      </c>
      <c r="D6134" s="2">
        <v>604222612.50999999</v>
      </c>
      <c r="E6134" s="2">
        <v>2416734325.71</v>
      </c>
      <c r="F6134" s="2">
        <v>3467153998.9499998</v>
      </c>
    </row>
    <row r="6135" spans="1:6" x14ac:dyDescent="0.25">
      <c r="A6135" s="1">
        <v>45108</v>
      </c>
      <c r="B6135" t="s">
        <v>11</v>
      </c>
      <c r="C6135" t="s">
        <v>59</v>
      </c>
      <c r="D6135">
        <v>0</v>
      </c>
      <c r="E6135" s="2">
        <v>383598460.31</v>
      </c>
      <c r="F6135" s="2">
        <v>383598460.31</v>
      </c>
    </row>
    <row r="6136" spans="1:6" x14ac:dyDescent="0.25">
      <c r="A6136" s="1">
        <v>45108</v>
      </c>
      <c r="B6136" t="s">
        <v>42</v>
      </c>
      <c r="C6136" t="s">
        <v>110</v>
      </c>
      <c r="D6136" s="2">
        <v>7711510.8799999999</v>
      </c>
      <c r="E6136" s="2">
        <v>7711510.8799999999</v>
      </c>
      <c r="F6136" s="2">
        <v>7711510.8799999999</v>
      </c>
    </row>
    <row r="6137" spans="1:6" x14ac:dyDescent="0.25">
      <c r="A6137" s="1">
        <v>45108</v>
      </c>
      <c r="B6137" t="s">
        <v>40</v>
      </c>
      <c r="C6137" t="s">
        <v>1292</v>
      </c>
      <c r="D6137">
        <v>0</v>
      </c>
      <c r="E6137">
        <v>0</v>
      </c>
      <c r="F6137">
        <v>0</v>
      </c>
    </row>
    <row r="6138" spans="1:6" x14ac:dyDescent="0.25">
      <c r="A6138" s="1">
        <v>45108</v>
      </c>
      <c r="B6138" t="s">
        <v>98</v>
      </c>
      <c r="C6138" t="s">
        <v>1036</v>
      </c>
      <c r="D6138">
        <v>0</v>
      </c>
      <c r="E6138">
        <v>0</v>
      </c>
      <c r="F6138">
        <v>0</v>
      </c>
    </row>
    <row r="6139" spans="1:6" x14ac:dyDescent="0.25">
      <c r="A6139" s="1">
        <v>45108</v>
      </c>
      <c r="B6139" t="s">
        <v>21</v>
      </c>
      <c r="C6139" t="s">
        <v>524</v>
      </c>
      <c r="D6139">
        <v>0</v>
      </c>
      <c r="E6139" s="2">
        <v>84478.46</v>
      </c>
      <c r="F6139" s="2">
        <v>84478.46</v>
      </c>
    </row>
    <row r="6140" spans="1:6" x14ac:dyDescent="0.25">
      <c r="A6140" s="1">
        <v>45108</v>
      </c>
      <c r="B6140" t="s">
        <v>53</v>
      </c>
      <c r="C6140" t="s">
        <v>382</v>
      </c>
      <c r="D6140">
        <v>0</v>
      </c>
      <c r="E6140" s="2">
        <v>288671258.91000003</v>
      </c>
      <c r="F6140" s="2">
        <v>288671258.91000003</v>
      </c>
    </row>
    <row r="6141" spans="1:6" x14ac:dyDescent="0.25">
      <c r="A6141" s="1">
        <v>45108</v>
      </c>
      <c r="B6141" t="s">
        <v>23</v>
      </c>
      <c r="C6141" t="s">
        <v>496</v>
      </c>
      <c r="D6141" s="2">
        <v>-912054.22</v>
      </c>
      <c r="E6141" s="2">
        <v>3742582.6</v>
      </c>
      <c r="F6141" s="2">
        <v>2136993.89</v>
      </c>
    </row>
    <row r="6142" spans="1:6" x14ac:dyDescent="0.25">
      <c r="A6142" s="1">
        <v>45108</v>
      </c>
      <c r="B6142" t="s">
        <v>199</v>
      </c>
      <c r="C6142" t="s">
        <v>200</v>
      </c>
      <c r="D6142">
        <v>0</v>
      </c>
      <c r="E6142">
        <v>154.54</v>
      </c>
      <c r="F6142">
        <v>154.54</v>
      </c>
    </row>
    <row r="6143" spans="1:6" x14ac:dyDescent="0.25">
      <c r="A6143" s="1">
        <v>45108</v>
      </c>
      <c r="B6143" t="s">
        <v>53</v>
      </c>
      <c r="C6143" t="s">
        <v>237</v>
      </c>
      <c r="D6143">
        <v>0</v>
      </c>
      <c r="E6143" s="2">
        <v>6737417.29</v>
      </c>
      <c r="F6143" s="2">
        <v>6737417.29</v>
      </c>
    </row>
    <row r="6144" spans="1:6" x14ac:dyDescent="0.25">
      <c r="A6144" s="1">
        <v>45108</v>
      </c>
      <c r="B6144" t="s">
        <v>196</v>
      </c>
      <c r="C6144" t="s">
        <v>926</v>
      </c>
      <c r="D6144">
        <v>0</v>
      </c>
      <c r="E6144">
        <v>0</v>
      </c>
      <c r="F6144">
        <v>0</v>
      </c>
    </row>
    <row r="6145" spans="1:6" x14ac:dyDescent="0.25">
      <c r="A6145" s="1">
        <v>45108</v>
      </c>
      <c r="B6145" t="s">
        <v>234</v>
      </c>
      <c r="C6145" t="s">
        <v>1305</v>
      </c>
      <c r="D6145" s="2">
        <v>280000</v>
      </c>
      <c r="E6145">
        <v>0</v>
      </c>
      <c r="F6145">
        <v>0</v>
      </c>
    </row>
    <row r="6146" spans="1:6" x14ac:dyDescent="0.25">
      <c r="A6146" s="1">
        <v>45108</v>
      </c>
      <c r="B6146" t="s">
        <v>15</v>
      </c>
      <c r="C6146" t="s">
        <v>693</v>
      </c>
      <c r="D6146" s="2">
        <v>17809802.510000002</v>
      </c>
      <c r="E6146" s="2">
        <v>2555965.71</v>
      </c>
      <c r="F6146" s="2">
        <v>6409069.5499999998</v>
      </c>
    </row>
    <row r="6147" spans="1:6" x14ac:dyDescent="0.25">
      <c r="A6147" s="1">
        <v>45108</v>
      </c>
      <c r="B6147" t="s">
        <v>162</v>
      </c>
      <c r="C6147" t="s">
        <v>421</v>
      </c>
      <c r="D6147" s="2">
        <v>1483135.24</v>
      </c>
      <c r="E6147" s="2">
        <v>2554980.64</v>
      </c>
      <c r="F6147" s="2">
        <v>2944779.76</v>
      </c>
    </row>
    <row r="6148" spans="1:6" x14ac:dyDescent="0.25">
      <c r="A6148" s="1">
        <v>45108</v>
      </c>
      <c r="B6148" t="s">
        <v>23</v>
      </c>
      <c r="C6148" t="s">
        <v>368</v>
      </c>
      <c r="D6148" s="2">
        <v>568744.56000000006</v>
      </c>
      <c r="E6148" s="2">
        <v>393333.29</v>
      </c>
      <c r="F6148" s="2">
        <v>341492.88</v>
      </c>
    </row>
    <row r="6149" spans="1:6" x14ac:dyDescent="0.25">
      <c r="A6149" s="1">
        <v>45108</v>
      </c>
      <c r="B6149" t="s">
        <v>185</v>
      </c>
      <c r="C6149" t="s">
        <v>186</v>
      </c>
      <c r="D6149" s="2">
        <v>201483743.69</v>
      </c>
      <c r="E6149" s="2">
        <v>201784518.36000001</v>
      </c>
      <c r="F6149" s="2">
        <v>432753.53</v>
      </c>
    </row>
    <row r="6150" spans="1:6" x14ac:dyDescent="0.25">
      <c r="A6150" s="1">
        <v>45108</v>
      </c>
      <c r="B6150" t="s">
        <v>65</v>
      </c>
      <c r="C6150" t="s">
        <v>834</v>
      </c>
      <c r="D6150" s="2">
        <v>17716496.09</v>
      </c>
      <c r="E6150" s="2">
        <v>5053709.54</v>
      </c>
      <c r="F6150" s="2">
        <v>5016813.5</v>
      </c>
    </row>
    <row r="6151" spans="1:6" x14ac:dyDescent="0.25">
      <c r="A6151" s="1">
        <v>45108</v>
      </c>
      <c r="B6151" t="s">
        <v>37</v>
      </c>
      <c r="C6151" t="s">
        <v>721</v>
      </c>
      <c r="D6151">
        <v>0</v>
      </c>
      <c r="E6151">
        <v>0</v>
      </c>
      <c r="F6151">
        <v>0</v>
      </c>
    </row>
    <row r="6152" spans="1:6" x14ac:dyDescent="0.25">
      <c r="A6152" s="1">
        <v>45108</v>
      </c>
      <c r="B6152" t="s">
        <v>162</v>
      </c>
      <c r="C6152" t="s">
        <v>335</v>
      </c>
      <c r="D6152" s="2">
        <v>19108889.18</v>
      </c>
      <c r="E6152" s="2">
        <v>99992315.920000002</v>
      </c>
      <c r="F6152" s="2">
        <v>101302628.44</v>
      </c>
    </row>
    <row r="6153" spans="1:6" x14ac:dyDescent="0.25">
      <c r="A6153" s="1">
        <v>45108</v>
      </c>
      <c r="B6153" t="s">
        <v>31</v>
      </c>
      <c r="C6153" t="s">
        <v>1257</v>
      </c>
      <c r="D6153">
        <v>0</v>
      </c>
      <c r="E6153" s="2">
        <v>9391.92</v>
      </c>
      <c r="F6153" s="2">
        <v>9344.52</v>
      </c>
    </row>
    <row r="6154" spans="1:6" x14ac:dyDescent="0.25">
      <c r="A6154" s="1">
        <v>45108</v>
      </c>
      <c r="B6154" t="s">
        <v>196</v>
      </c>
      <c r="C6154" t="s">
        <v>348</v>
      </c>
      <c r="D6154">
        <v>0</v>
      </c>
      <c r="E6154">
        <v>0</v>
      </c>
      <c r="F6154">
        <v>0</v>
      </c>
    </row>
    <row r="6155" spans="1:6" x14ac:dyDescent="0.25">
      <c r="A6155" s="1">
        <v>45108</v>
      </c>
      <c r="B6155" t="s">
        <v>29</v>
      </c>
      <c r="C6155" t="s">
        <v>1155</v>
      </c>
      <c r="D6155" s="2">
        <v>10200</v>
      </c>
      <c r="E6155">
        <v>0</v>
      </c>
      <c r="F6155">
        <v>0</v>
      </c>
    </row>
    <row r="6156" spans="1:6" x14ac:dyDescent="0.25">
      <c r="A6156" s="1">
        <v>45108</v>
      </c>
      <c r="B6156" t="s">
        <v>44</v>
      </c>
      <c r="C6156" t="s">
        <v>228</v>
      </c>
      <c r="D6156" s="2">
        <v>1166380.78</v>
      </c>
      <c r="E6156" s="2">
        <v>97278.25</v>
      </c>
      <c r="F6156" s="2">
        <v>133585.19</v>
      </c>
    </row>
    <row r="6157" spans="1:6" x14ac:dyDescent="0.25">
      <c r="A6157" s="1">
        <v>45108</v>
      </c>
      <c r="B6157" t="s">
        <v>98</v>
      </c>
      <c r="C6157" t="s">
        <v>956</v>
      </c>
      <c r="D6157">
        <v>0</v>
      </c>
      <c r="E6157">
        <v>0</v>
      </c>
      <c r="F6157">
        <v>0</v>
      </c>
    </row>
    <row r="6158" spans="1:6" x14ac:dyDescent="0.25">
      <c r="A6158" s="1">
        <v>45108</v>
      </c>
      <c r="B6158" t="s">
        <v>44</v>
      </c>
      <c r="C6158" t="s">
        <v>579</v>
      </c>
      <c r="D6158" s="2">
        <v>804727.24</v>
      </c>
      <c r="E6158" s="2">
        <v>-49709.81</v>
      </c>
      <c r="F6158" s="2">
        <v>-58212.29</v>
      </c>
    </row>
    <row r="6159" spans="1:6" x14ac:dyDescent="0.25">
      <c r="A6159" s="1">
        <v>45108</v>
      </c>
      <c r="B6159" t="s">
        <v>154</v>
      </c>
      <c r="C6159" t="s">
        <v>354</v>
      </c>
      <c r="D6159">
        <v>0</v>
      </c>
      <c r="E6159" s="2">
        <v>808302.59</v>
      </c>
      <c r="F6159" s="2">
        <v>808302.59</v>
      </c>
    </row>
    <row r="6160" spans="1:6" x14ac:dyDescent="0.25">
      <c r="A6160" s="1">
        <v>45108</v>
      </c>
      <c r="B6160" t="s">
        <v>42</v>
      </c>
      <c r="C6160" t="s">
        <v>548</v>
      </c>
      <c r="D6160" s="2">
        <v>26911238.440000001</v>
      </c>
      <c r="E6160" s="2">
        <v>110425705.72</v>
      </c>
      <c r="F6160" s="2">
        <v>130092248.44</v>
      </c>
    </row>
    <row r="6161" spans="1:6" x14ac:dyDescent="0.25">
      <c r="A6161" s="1">
        <v>45108</v>
      </c>
      <c r="B6161" t="s">
        <v>40</v>
      </c>
      <c r="C6161" t="s">
        <v>1141</v>
      </c>
      <c r="D6161">
        <v>0</v>
      </c>
      <c r="E6161">
        <v>0</v>
      </c>
      <c r="F6161">
        <v>0</v>
      </c>
    </row>
    <row r="6162" spans="1:6" x14ac:dyDescent="0.25">
      <c r="A6162" s="1">
        <v>45108</v>
      </c>
      <c r="B6162" t="s">
        <v>40</v>
      </c>
      <c r="C6162" t="s">
        <v>692</v>
      </c>
      <c r="D6162">
        <v>0</v>
      </c>
      <c r="E6162">
        <v>0</v>
      </c>
      <c r="F6162">
        <v>0</v>
      </c>
    </row>
    <row r="6163" spans="1:6" x14ac:dyDescent="0.25">
      <c r="A6163" s="1">
        <v>45108</v>
      </c>
      <c r="B6163" t="s">
        <v>185</v>
      </c>
      <c r="C6163" t="s">
        <v>863</v>
      </c>
      <c r="D6163" s="2">
        <v>171604829.16</v>
      </c>
      <c r="E6163" s="2">
        <v>177352794.53999999</v>
      </c>
      <c r="F6163" s="2">
        <v>177352794.53999999</v>
      </c>
    </row>
    <row r="6164" spans="1:6" x14ac:dyDescent="0.25">
      <c r="A6164" s="1">
        <v>45108</v>
      </c>
      <c r="B6164" t="s">
        <v>132</v>
      </c>
      <c r="C6164" t="s">
        <v>429</v>
      </c>
      <c r="D6164" s="2">
        <v>8838312.6999999993</v>
      </c>
      <c r="E6164" s="2">
        <v>20786874.280000001</v>
      </c>
      <c r="F6164" s="2">
        <v>16535325.439999999</v>
      </c>
    </row>
    <row r="6165" spans="1:6" x14ac:dyDescent="0.25">
      <c r="A6165" s="1">
        <v>45108</v>
      </c>
      <c r="B6165" t="s">
        <v>19</v>
      </c>
      <c r="C6165" t="s">
        <v>20</v>
      </c>
      <c r="D6165" s="2">
        <v>6000</v>
      </c>
      <c r="E6165" s="2">
        <v>20832.82</v>
      </c>
      <c r="F6165" s="2">
        <v>20987.32</v>
      </c>
    </row>
    <row r="6166" spans="1:6" x14ac:dyDescent="0.25">
      <c r="A6166" s="1">
        <v>45108</v>
      </c>
      <c r="B6166" t="s">
        <v>1261</v>
      </c>
      <c r="C6166" t="s">
        <v>588</v>
      </c>
      <c r="D6166">
        <v>0</v>
      </c>
      <c r="E6166">
        <v>0</v>
      </c>
      <c r="F6166">
        <v>0</v>
      </c>
    </row>
    <row r="6167" spans="1:6" x14ac:dyDescent="0.25">
      <c r="A6167" s="1">
        <v>45108</v>
      </c>
      <c r="B6167" t="s">
        <v>143</v>
      </c>
      <c r="C6167" t="s">
        <v>413</v>
      </c>
      <c r="D6167">
        <v>0</v>
      </c>
      <c r="E6167">
        <v>0</v>
      </c>
      <c r="F6167">
        <v>0</v>
      </c>
    </row>
    <row r="6168" spans="1:6" x14ac:dyDescent="0.25">
      <c r="A6168" s="1">
        <v>45108</v>
      </c>
      <c r="B6168" t="s">
        <v>21</v>
      </c>
      <c r="C6168" t="s">
        <v>1201</v>
      </c>
      <c r="D6168">
        <v>0</v>
      </c>
      <c r="E6168">
        <v>0</v>
      </c>
      <c r="F6168">
        <v>0</v>
      </c>
    </row>
    <row r="6169" spans="1:6" x14ac:dyDescent="0.25">
      <c r="A6169" s="1">
        <v>45108</v>
      </c>
      <c r="B6169" t="s">
        <v>23</v>
      </c>
      <c r="C6169" t="s">
        <v>305</v>
      </c>
      <c r="D6169" s="2">
        <v>43810563.799999997</v>
      </c>
      <c r="E6169" s="2">
        <v>41094501.140000001</v>
      </c>
      <c r="F6169" s="2">
        <v>41271032.340000004</v>
      </c>
    </row>
    <row r="6170" spans="1:6" x14ac:dyDescent="0.25">
      <c r="A6170" s="1">
        <v>45108</v>
      </c>
      <c r="B6170" t="s">
        <v>23</v>
      </c>
      <c r="C6170" t="s">
        <v>370</v>
      </c>
      <c r="D6170" s="2">
        <v>-978906.63</v>
      </c>
      <c r="E6170" s="2">
        <v>218357.04</v>
      </c>
      <c r="F6170" s="2">
        <v>231809.09</v>
      </c>
    </row>
    <row r="6171" spans="1:6" x14ac:dyDescent="0.25">
      <c r="A6171" s="1">
        <v>45108</v>
      </c>
      <c r="B6171" t="s">
        <v>98</v>
      </c>
      <c r="C6171" t="s">
        <v>613</v>
      </c>
      <c r="D6171">
        <v>0</v>
      </c>
      <c r="E6171">
        <v>0</v>
      </c>
      <c r="F6171">
        <v>0</v>
      </c>
    </row>
    <row r="6172" spans="1:6" x14ac:dyDescent="0.25">
      <c r="A6172" s="1">
        <v>45108</v>
      </c>
      <c r="B6172" t="s">
        <v>40</v>
      </c>
      <c r="C6172" t="s">
        <v>455</v>
      </c>
      <c r="D6172">
        <v>0</v>
      </c>
      <c r="E6172">
        <v>0</v>
      </c>
      <c r="F6172">
        <v>0</v>
      </c>
    </row>
    <row r="6173" spans="1:6" x14ac:dyDescent="0.25">
      <c r="A6173" s="1">
        <v>45108</v>
      </c>
      <c r="B6173" t="s">
        <v>92</v>
      </c>
      <c r="C6173" t="s">
        <v>465</v>
      </c>
      <c r="D6173" s="2">
        <v>1908610.86</v>
      </c>
      <c r="E6173" s="2">
        <v>744240.54</v>
      </c>
      <c r="F6173" s="2">
        <v>744240.54</v>
      </c>
    </row>
    <row r="6174" spans="1:6" x14ac:dyDescent="0.25">
      <c r="A6174" s="1">
        <v>45108</v>
      </c>
      <c r="B6174" t="s">
        <v>27</v>
      </c>
      <c r="C6174" t="s">
        <v>983</v>
      </c>
      <c r="D6174">
        <v>0</v>
      </c>
      <c r="E6174" s="2">
        <v>7530.23</v>
      </c>
      <c r="F6174" s="2">
        <v>7530.23</v>
      </c>
    </row>
    <row r="6175" spans="1:6" x14ac:dyDescent="0.25">
      <c r="A6175" s="1">
        <v>45108</v>
      </c>
      <c r="B6175" t="s">
        <v>23</v>
      </c>
      <c r="C6175" t="s">
        <v>24</v>
      </c>
      <c r="D6175">
        <v>0</v>
      </c>
      <c r="E6175">
        <v>0</v>
      </c>
      <c r="F6175">
        <v>0</v>
      </c>
    </row>
    <row r="6176" spans="1:6" x14ac:dyDescent="0.25">
      <c r="A6176" s="1">
        <v>45108</v>
      </c>
      <c r="B6176" t="s">
        <v>13</v>
      </c>
      <c r="C6176" t="s">
        <v>266</v>
      </c>
      <c r="D6176" s="2">
        <v>5550000</v>
      </c>
      <c r="E6176" s="2">
        <v>3138352.16</v>
      </c>
      <c r="F6176" s="2">
        <v>4810576.2</v>
      </c>
    </row>
    <row r="6177" spans="1:6" x14ac:dyDescent="0.25">
      <c r="A6177" s="1">
        <v>45108</v>
      </c>
      <c r="B6177" t="s">
        <v>143</v>
      </c>
      <c r="C6177" t="s">
        <v>249</v>
      </c>
      <c r="D6177">
        <v>0</v>
      </c>
      <c r="E6177">
        <v>0</v>
      </c>
      <c r="F6177">
        <v>0</v>
      </c>
    </row>
    <row r="6178" spans="1:6" x14ac:dyDescent="0.25">
      <c r="A6178" s="1">
        <v>45108</v>
      </c>
      <c r="B6178" t="s">
        <v>187</v>
      </c>
      <c r="C6178" t="s">
        <v>830</v>
      </c>
      <c r="D6178" s="2">
        <v>5096804.18</v>
      </c>
      <c r="E6178" s="2">
        <v>1536311.74</v>
      </c>
      <c r="F6178" s="2">
        <v>1639149.09</v>
      </c>
    </row>
    <row r="6179" spans="1:6" x14ac:dyDescent="0.25">
      <c r="A6179" s="1">
        <v>45108</v>
      </c>
      <c r="B6179" t="s">
        <v>159</v>
      </c>
      <c r="C6179" t="s">
        <v>360</v>
      </c>
      <c r="D6179" s="2">
        <v>254890</v>
      </c>
      <c r="E6179" s="2">
        <v>50330.31</v>
      </c>
      <c r="F6179" s="2">
        <v>50330.31</v>
      </c>
    </row>
    <row r="6180" spans="1:6" x14ac:dyDescent="0.25">
      <c r="A6180" s="1">
        <v>45108</v>
      </c>
      <c r="B6180" t="s">
        <v>278</v>
      </c>
      <c r="C6180" t="s">
        <v>395</v>
      </c>
      <c r="D6180" s="2">
        <v>6526419.5199999996</v>
      </c>
      <c r="E6180" s="2">
        <v>3152368.69</v>
      </c>
      <c r="F6180" s="2">
        <v>3152368.69</v>
      </c>
    </row>
    <row r="6181" spans="1:6" x14ac:dyDescent="0.25">
      <c r="A6181" s="1">
        <v>45108</v>
      </c>
      <c r="B6181" t="s">
        <v>114</v>
      </c>
      <c r="C6181" t="s">
        <v>1070</v>
      </c>
      <c r="D6181">
        <v>0</v>
      </c>
      <c r="E6181">
        <v>0</v>
      </c>
      <c r="F6181">
        <v>0</v>
      </c>
    </row>
    <row r="6182" spans="1:6" x14ac:dyDescent="0.25">
      <c r="A6182" s="1">
        <v>45108</v>
      </c>
      <c r="B6182" t="s">
        <v>398</v>
      </c>
      <c r="C6182" t="s">
        <v>210</v>
      </c>
      <c r="D6182">
        <v>0</v>
      </c>
      <c r="E6182">
        <v>0</v>
      </c>
      <c r="F6182">
        <v>0</v>
      </c>
    </row>
    <row r="6183" spans="1:6" x14ac:dyDescent="0.25">
      <c r="A6183" s="1">
        <v>45108</v>
      </c>
      <c r="B6183" t="s">
        <v>648</v>
      </c>
      <c r="C6183" t="s">
        <v>442</v>
      </c>
      <c r="D6183" s="2">
        <v>76282155.5</v>
      </c>
      <c r="E6183">
        <v>0</v>
      </c>
      <c r="F6183">
        <v>0</v>
      </c>
    </row>
    <row r="6184" spans="1:6" x14ac:dyDescent="0.25">
      <c r="A6184" s="1">
        <v>45108</v>
      </c>
      <c r="B6184" t="s">
        <v>103</v>
      </c>
      <c r="C6184" t="s">
        <v>233</v>
      </c>
      <c r="D6184">
        <v>0</v>
      </c>
      <c r="E6184" s="2">
        <v>31296562.359999999</v>
      </c>
      <c r="F6184" s="2">
        <v>31296562.359999999</v>
      </c>
    </row>
    <row r="6185" spans="1:6" x14ac:dyDescent="0.25">
      <c r="A6185" s="1">
        <v>45108</v>
      </c>
      <c r="B6185" t="s">
        <v>929</v>
      </c>
      <c r="C6185" t="s">
        <v>678</v>
      </c>
      <c r="D6185">
        <v>0</v>
      </c>
      <c r="E6185">
        <v>0</v>
      </c>
      <c r="F6185">
        <v>0</v>
      </c>
    </row>
    <row r="6186" spans="1:6" x14ac:dyDescent="0.25">
      <c r="A6186" s="1">
        <v>45108</v>
      </c>
      <c r="B6186" t="s">
        <v>23</v>
      </c>
      <c r="C6186" t="s">
        <v>760</v>
      </c>
      <c r="D6186" s="2">
        <v>-1391222.79</v>
      </c>
      <c r="E6186" s="2">
        <v>59784165.789999999</v>
      </c>
      <c r="F6186" s="2">
        <v>59877423.689999998</v>
      </c>
    </row>
    <row r="6187" spans="1:6" x14ac:dyDescent="0.25">
      <c r="A6187" s="1">
        <v>45108</v>
      </c>
      <c r="B6187" t="s">
        <v>23</v>
      </c>
      <c r="C6187" t="s">
        <v>74</v>
      </c>
      <c r="D6187">
        <v>0</v>
      </c>
      <c r="E6187">
        <v>0</v>
      </c>
      <c r="F6187">
        <v>0</v>
      </c>
    </row>
    <row r="6188" spans="1:6" x14ac:dyDescent="0.25">
      <c r="A6188" s="1">
        <v>45108</v>
      </c>
      <c r="B6188" t="s">
        <v>105</v>
      </c>
      <c r="C6188" t="s">
        <v>336</v>
      </c>
      <c r="D6188" s="2">
        <v>673050.84</v>
      </c>
      <c r="E6188" s="2">
        <v>2003242.77</v>
      </c>
      <c r="F6188" s="2">
        <v>1773421.24</v>
      </c>
    </row>
    <row r="6189" spans="1:6" x14ac:dyDescent="0.25">
      <c r="A6189" s="1">
        <v>45108</v>
      </c>
      <c r="B6189" t="s">
        <v>21</v>
      </c>
      <c r="C6189" t="s">
        <v>526</v>
      </c>
      <c r="D6189">
        <v>0</v>
      </c>
      <c r="E6189" s="2">
        <v>855656.01</v>
      </c>
      <c r="F6189" s="2">
        <v>936437.35</v>
      </c>
    </row>
    <row r="6190" spans="1:6" x14ac:dyDescent="0.25">
      <c r="A6190" s="1">
        <v>45108</v>
      </c>
      <c r="B6190" t="s">
        <v>752</v>
      </c>
      <c r="C6190" t="s">
        <v>753</v>
      </c>
      <c r="D6190" s="2">
        <v>63163906.460000001</v>
      </c>
      <c r="E6190" s="2">
        <v>19641232.510000002</v>
      </c>
      <c r="F6190" s="2">
        <v>19778604.739999998</v>
      </c>
    </row>
    <row r="6191" spans="1:6" x14ac:dyDescent="0.25">
      <c r="A6191" s="1">
        <v>45108</v>
      </c>
      <c r="B6191" t="s">
        <v>196</v>
      </c>
      <c r="C6191" t="s">
        <v>897</v>
      </c>
      <c r="D6191">
        <v>0</v>
      </c>
      <c r="E6191">
        <v>0</v>
      </c>
      <c r="F6191">
        <v>0</v>
      </c>
    </row>
    <row r="6192" spans="1:6" x14ac:dyDescent="0.25">
      <c r="A6192" s="1">
        <v>45108</v>
      </c>
      <c r="B6192" t="s">
        <v>127</v>
      </c>
      <c r="C6192" t="s">
        <v>128</v>
      </c>
      <c r="D6192" s="2">
        <v>482082.57</v>
      </c>
      <c r="E6192" s="2">
        <v>25278.46</v>
      </c>
      <c r="F6192" s="2">
        <v>25278.46</v>
      </c>
    </row>
    <row r="6193" spans="1:6" x14ac:dyDescent="0.25">
      <c r="A6193" s="1">
        <v>45108</v>
      </c>
      <c r="B6193" t="s">
        <v>105</v>
      </c>
      <c r="C6193" t="s">
        <v>393</v>
      </c>
      <c r="D6193" s="2">
        <v>10560</v>
      </c>
      <c r="E6193" s="2">
        <v>69050.399999999994</v>
      </c>
      <c r="F6193" s="2">
        <v>63912.94</v>
      </c>
    </row>
    <row r="6194" spans="1:6" x14ac:dyDescent="0.25">
      <c r="A6194" s="1">
        <v>45108</v>
      </c>
      <c r="B6194" t="s">
        <v>17</v>
      </c>
      <c r="C6194" t="s">
        <v>782</v>
      </c>
      <c r="D6194" s="2">
        <v>776949</v>
      </c>
      <c r="E6194">
        <v>0</v>
      </c>
      <c r="F6194">
        <v>0</v>
      </c>
    </row>
    <row r="6195" spans="1:6" x14ac:dyDescent="0.25">
      <c r="A6195" s="1">
        <v>45108</v>
      </c>
      <c r="B6195" t="s">
        <v>162</v>
      </c>
      <c r="C6195" t="s">
        <v>291</v>
      </c>
      <c r="D6195" s="2">
        <v>386893287.24000001</v>
      </c>
      <c r="E6195" s="2">
        <v>206933618.74000001</v>
      </c>
      <c r="F6195" s="2">
        <v>203278568.38</v>
      </c>
    </row>
    <row r="6196" spans="1:6" x14ac:dyDescent="0.25">
      <c r="A6196" s="1">
        <v>45108</v>
      </c>
      <c r="B6196" t="s">
        <v>19</v>
      </c>
      <c r="C6196" t="s">
        <v>39</v>
      </c>
      <c r="D6196" s="2">
        <v>-34399.93</v>
      </c>
      <c r="E6196" s="2">
        <v>357189.78</v>
      </c>
      <c r="F6196" s="2">
        <v>364620.22</v>
      </c>
    </row>
    <row r="6197" spans="1:6" x14ac:dyDescent="0.25">
      <c r="A6197" s="1">
        <v>45108</v>
      </c>
      <c r="B6197" t="s">
        <v>40</v>
      </c>
      <c r="C6197" t="s">
        <v>604</v>
      </c>
      <c r="D6197" s="2">
        <v>1044477.53</v>
      </c>
      <c r="E6197" s="2">
        <v>80329440.489999995</v>
      </c>
      <c r="F6197" s="2">
        <v>114050815.18000001</v>
      </c>
    </row>
    <row r="6198" spans="1:6" x14ac:dyDescent="0.25">
      <c r="A6198" s="1">
        <v>45108</v>
      </c>
      <c r="B6198" t="s">
        <v>19</v>
      </c>
      <c r="C6198" t="s">
        <v>328</v>
      </c>
      <c r="D6198" s="2">
        <v>123097.35</v>
      </c>
      <c r="E6198" s="2">
        <v>3348742.61</v>
      </c>
      <c r="F6198" s="2">
        <v>3845885.63</v>
      </c>
    </row>
    <row r="6199" spans="1:6" x14ac:dyDescent="0.25">
      <c r="A6199" s="1">
        <v>45108</v>
      </c>
      <c r="B6199" t="s">
        <v>143</v>
      </c>
      <c r="C6199" t="s">
        <v>144</v>
      </c>
      <c r="D6199" s="2">
        <v>2042000</v>
      </c>
      <c r="E6199" s="2">
        <v>2042000</v>
      </c>
      <c r="F6199" s="2">
        <v>2042000</v>
      </c>
    </row>
    <row r="6200" spans="1:6" x14ac:dyDescent="0.25">
      <c r="A6200" s="1">
        <v>45108</v>
      </c>
      <c r="B6200" t="s">
        <v>90</v>
      </c>
      <c r="C6200" t="s">
        <v>428</v>
      </c>
      <c r="D6200" s="2">
        <v>185151374.19999999</v>
      </c>
      <c r="E6200" s="2">
        <v>32329963.91</v>
      </c>
      <c r="F6200" s="2">
        <v>32329963.91</v>
      </c>
    </row>
    <row r="6201" spans="1:6" x14ac:dyDescent="0.25">
      <c r="A6201" s="1">
        <v>45108</v>
      </c>
      <c r="B6201" t="s">
        <v>21</v>
      </c>
      <c r="C6201" t="s">
        <v>366</v>
      </c>
      <c r="D6201" s="2">
        <v>448326.83</v>
      </c>
      <c r="E6201" s="2">
        <v>297826.57</v>
      </c>
      <c r="F6201" s="2">
        <v>299528.96999999997</v>
      </c>
    </row>
    <row r="6202" spans="1:6" x14ac:dyDescent="0.25">
      <c r="A6202" s="1">
        <v>45108</v>
      </c>
      <c r="B6202" t="s">
        <v>107</v>
      </c>
      <c r="C6202" t="s">
        <v>506</v>
      </c>
      <c r="D6202" s="2">
        <v>1210000</v>
      </c>
      <c r="E6202">
        <v>0</v>
      </c>
      <c r="F6202">
        <v>0</v>
      </c>
    </row>
    <row r="6203" spans="1:6" x14ac:dyDescent="0.25">
      <c r="A6203" s="1">
        <v>45108</v>
      </c>
      <c r="B6203" t="s">
        <v>17</v>
      </c>
      <c r="C6203" t="s">
        <v>877</v>
      </c>
      <c r="D6203" s="2">
        <v>455000</v>
      </c>
      <c r="E6203" s="2">
        <v>745000</v>
      </c>
      <c r="F6203" s="2">
        <v>745000</v>
      </c>
    </row>
    <row r="6204" spans="1:6" x14ac:dyDescent="0.25">
      <c r="A6204" s="1">
        <v>45108</v>
      </c>
      <c r="B6204" t="s">
        <v>27</v>
      </c>
      <c r="C6204" t="s">
        <v>280</v>
      </c>
      <c r="D6204">
        <v>0</v>
      </c>
      <c r="E6204">
        <v>0</v>
      </c>
      <c r="F6204">
        <v>0</v>
      </c>
    </row>
    <row r="6205" spans="1:6" x14ac:dyDescent="0.25">
      <c r="A6205" s="1">
        <v>45108</v>
      </c>
      <c r="B6205" t="s">
        <v>398</v>
      </c>
      <c r="C6205" t="s">
        <v>437</v>
      </c>
      <c r="D6205">
        <v>0</v>
      </c>
      <c r="E6205" s="2">
        <v>51164.9</v>
      </c>
      <c r="F6205" s="2">
        <v>51164.9</v>
      </c>
    </row>
    <row r="6206" spans="1:6" x14ac:dyDescent="0.25">
      <c r="A6206" s="1">
        <v>45108</v>
      </c>
      <c r="B6206" t="s">
        <v>206</v>
      </c>
      <c r="C6206" t="s">
        <v>534</v>
      </c>
      <c r="D6206" s="2">
        <v>18881.599999999999</v>
      </c>
      <c r="E6206" s="2">
        <v>66740.759999999995</v>
      </c>
      <c r="F6206" s="2">
        <v>66740.759999999995</v>
      </c>
    </row>
    <row r="6207" spans="1:6" x14ac:dyDescent="0.25">
      <c r="A6207" s="1">
        <v>45108</v>
      </c>
      <c r="B6207" t="s">
        <v>40</v>
      </c>
      <c r="C6207" t="s">
        <v>805</v>
      </c>
      <c r="D6207" s="2">
        <v>12507.24</v>
      </c>
      <c r="E6207" s="2">
        <v>120687876.25</v>
      </c>
      <c r="F6207" s="2">
        <v>120560782.34999999</v>
      </c>
    </row>
    <row r="6208" spans="1:6" x14ac:dyDescent="0.25">
      <c r="A6208" s="1">
        <v>45108</v>
      </c>
      <c r="B6208" t="s">
        <v>31</v>
      </c>
      <c r="C6208" t="s">
        <v>32</v>
      </c>
      <c r="D6208" s="2">
        <v>-229171.97</v>
      </c>
      <c r="E6208">
        <v>0</v>
      </c>
      <c r="F6208">
        <v>0</v>
      </c>
    </row>
    <row r="6209" spans="1:6" x14ac:dyDescent="0.25">
      <c r="A6209" s="1">
        <v>45108</v>
      </c>
      <c r="B6209" t="s">
        <v>23</v>
      </c>
      <c r="C6209" t="s">
        <v>248</v>
      </c>
      <c r="D6209" s="2">
        <v>874492.28</v>
      </c>
      <c r="E6209" s="2">
        <v>1695322.73</v>
      </c>
      <c r="F6209" s="2">
        <v>1267220.8899999999</v>
      </c>
    </row>
    <row r="6210" spans="1:6" x14ac:dyDescent="0.25">
      <c r="A6210" s="1">
        <v>45108</v>
      </c>
      <c r="B6210" t="s">
        <v>518</v>
      </c>
      <c r="C6210" t="s">
        <v>936</v>
      </c>
      <c r="D6210" s="2">
        <v>28890</v>
      </c>
      <c r="E6210">
        <v>0</v>
      </c>
      <c r="F6210">
        <v>0</v>
      </c>
    </row>
    <row r="6211" spans="1:6" x14ac:dyDescent="0.25">
      <c r="A6211" s="1">
        <v>45108</v>
      </c>
      <c r="B6211" t="s">
        <v>27</v>
      </c>
      <c r="C6211" t="s">
        <v>748</v>
      </c>
      <c r="D6211">
        <v>0</v>
      </c>
      <c r="E6211" s="2">
        <v>11993</v>
      </c>
      <c r="F6211" s="2">
        <v>5353</v>
      </c>
    </row>
    <row r="6212" spans="1:6" x14ac:dyDescent="0.25">
      <c r="A6212" s="1">
        <v>45108</v>
      </c>
      <c r="B6212" t="s">
        <v>9</v>
      </c>
      <c r="C6212" t="s">
        <v>667</v>
      </c>
      <c r="D6212" s="2">
        <v>49125.4</v>
      </c>
      <c r="E6212" s="2">
        <v>75732.13</v>
      </c>
      <c r="F6212" s="2">
        <v>62550.13</v>
      </c>
    </row>
    <row r="6213" spans="1:6" x14ac:dyDescent="0.25">
      <c r="A6213" s="1">
        <v>45108</v>
      </c>
      <c r="B6213" t="s">
        <v>53</v>
      </c>
      <c r="C6213" t="s">
        <v>739</v>
      </c>
      <c r="D6213">
        <v>0</v>
      </c>
      <c r="E6213" s="2">
        <v>433006888.26999998</v>
      </c>
      <c r="F6213" s="2">
        <v>433006888.26999998</v>
      </c>
    </row>
    <row r="6214" spans="1:6" x14ac:dyDescent="0.25">
      <c r="A6214" s="1">
        <v>45108</v>
      </c>
      <c r="B6214" t="s">
        <v>48</v>
      </c>
      <c r="C6214" t="s">
        <v>1306</v>
      </c>
      <c r="D6214" s="2">
        <v>353426.1</v>
      </c>
      <c r="E6214" s="2">
        <v>353426.1</v>
      </c>
      <c r="F6214" s="2">
        <v>353426.1</v>
      </c>
    </row>
    <row r="6215" spans="1:6" x14ac:dyDescent="0.25">
      <c r="A6215" s="1">
        <v>45108</v>
      </c>
      <c r="B6215" t="s">
        <v>46</v>
      </c>
      <c r="C6215" t="s">
        <v>333</v>
      </c>
      <c r="D6215">
        <v>0</v>
      </c>
      <c r="E6215" s="2">
        <v>1714571.83</v>
      </c>
      <c r="F6215" s="2">
        <v>114571.83</v>
      </c>
    </row>
    <row r="6216" spans="1:6" x14ac:dyDescent="0.25">
      <c r="A6216" s="1">
        <v>45108</v>
      </c>
      <c r="B6216" t="s">
        <v>132</v>
      </c>
      <c r="C6216" t="s">
        <v>613</v>
      </c>
      <c r="D6216" s="2">
        <v>149352385.38999999</v>
      </c>
      <c r="E6216" s="2">
        <v>3596009.54</v>
      </c>
      <c r="F6216" s="2">
        <v>2496167.54</v>
      </c>
    </row>
    <row r="6217" spans="1:6" x14ac:dyDescent="0.25">
      <c r="A6217" s="1">
        <v>45108</v>
      </c>
      <c r="B6217" t="s">
        <v>15</v>
      </c>
      <c r="C6217" t="s">
        <v>1043</v>
      </c>
      <c r="D6217">
        <v>0</v>
      </c>
      <c r="E6217" s="2">
        <v>1242392.3600000001</v>
      </c>
      <c r="F6217">
        <v>0</v>
      </c>
    </row>
    <row r="6218" spans="1:6" x14ac:dyDescent="0.25">
      <c r="A6218" s="1">
        <v>45108</v>
      </c>
      <c r="B6218" t="s">
        <v>21</v>
      </c>
      <c r="C6218" t="s">
        <v>591</v>
      </c>
      <c r="D6218">
        <v>0</v>
      </c>
      <c r="E6218" s="2">
        <v>2248489.5499999998</v>
      </c>
      <c r="F6218" s="2">
        <v>4314156.63</v>
      </c>
    </row>
    <row r="6219" spans="1:6" x14ac:dyDescent="0.25">
      <c r="A6219" s="1">
        <v>45108</v>
      </c>
      <c r="B6219" t="s">
        <v>11</v>
      </c>
      <c r="C6219" t="s">
        <v>696</v>
      </c>
      <c r="D6219" s="2">
        <v>19584642.84</v>
      </c>
      <c r="E6219" s="2">
        <v>19635218.25</v>
      </c>
      <c r="F6219" s="2">
        <v>19676553.809999999</v>
      </c>
    </row>
    <row r="6220" spans="1:6" x14ac:dyDescent="0.25">
      <c r="A6220" s="1">
        <v>45108</v>
      </c>
      <c r="B6220" t="s">
        <v>21</v>
      </c>
      <c r="C6220" t="s">
        <v>516</v>
      </c>
      <c r="D6220" s="2">
        <v>62139029.799999997</v>
      </c>
      <c r="E6220">
        <v>0</v>
      </c>
      <c r="F6220">
        <v>0</v>
      </c>
    </row>
    <row r="6221" spans="1:6" x14ac:dyDescent="0.25">
      <c r="A6221" s="1">
        <v>45108</v>
      </c>
      <c r="B6221" t="s">
        <v>21</v>
      </c>
      <c r="C6221" t="s">
        <v>433</v>
      </c>
      <c r="D6221">
        <v>0</v>
      </c>
      <c r="E6221" s="2">
        <v>8435955.0299999993</v>
      </c>
      <c r="F6221" s="2">
        <v>8435955.0299999993</v>
      </c>
    </row>
    <row r="6222" spans="1:6" x14ac:dyDescent="0.25">
      <c r="A6222" s="1">
        <v>45108</v>
      </c>
      <c r="B6222" t="s">
        <v>37</v>
      </c>
      <c r="C6222" t="s">
        <v>208</v>
      </c>
      <c r="D6222" s="2">
        <v>-72127806.609999999</v>
      </c>
      <c r="E6222" s="2">
        <v>95506511.469999999</v>
      </c>
      <c r="F6222" s="2">
        <v>95506511.469999999</v>
      </c>
    </row>
    <row r="6223" spans="1:6" x14ac:dyDescent="0.25">
      <c r="A6223" s="1">
        <v>45108</v>
      </c>
      <c r="B6223" t="s">
        <v>63</v>
      </c>
      <c r="C6223" t="s">
        <v>1092</v>
      </c>
      <c r="D6223" s="2">
        <v>-17525.150000000001</v>
      </c>
      <c r="E6223">
        <v>0</v>
      </c>
      <c r="F6223">
        <v>0</v>
      </c>
    </row>
    <row r="6224" spans="1:6" x14ac:dyDescent="0.25">
      <c r="A6224" s="1">
        <v>45108</v>
      </c>
      <c r="B6224" t="s">
        <v>92</v>
      </c>
      <c r="C6224" t="s">
        <v>317</v>
      </c>
      <c r="D6224" s="2">
        <v>-101255.11</v>
      </c>
      <c r="E6224" s="2">
        <v>417359.53</v>
      </c>
      <c r="F6224" s="2">
        <v>417359.53</v>
      </c>
    </row>
    <row r="6225" spans="1:6" x14ac:dyDescent="0.25">
      <c r="A6225" s="1">
        <v>45108</v>
      </c>
      <c r="B6225" t="s">
        <v>11</v>
      </c>
      <c r="C6225" t="s">
        <v>12</v>
      </c>
      <c r="D6225">
        <v>0</v>
      </c>
      <c r="E6225" s="2">
        <v>4336848552.0799999</v>
      </c>
      <c r="F6225" s="2">
        <v>4336848552.0799999</v>
      </c>
    </row>
    <row r="6226" spans="1:6" x14ac:dyDescent="0.25">
      <c r="A6226" s="1">
        <v>45108</v>
      </c>
      <c r="B6226" t="s">
        <v>61</v>
      </c>
      <c r="C6226" t="s">
        <v>728</v>
      </c>
      <c r="D6226">
        <v>0</v>
      </c>
      <c r="E6226">
        <v>0</v>
      </c>
      <c r="F6226">
        <v>0</v>
      </c>
    </row>
    <row r="6227" spans="1:6" x14ac:dyDescent="0.25">
      <c r="A6227" s="1">
        <v>45108</v>
      </c>
      <c r="B6227" t="s">
        <v>118</v>
      </c>
      <c r="C6227" t="s">
        <v>172</v>
      </c>
      <c r="D6227" s="2">
        <v>24000</v>
      </c>
      <c r="E6227" s="2">
        <v>7500</v>
      </c>
      <c r="F6227" s="2">
        <v>7500</v>
      </c>
    </row>
    <row r="6228" spans="1:6" x14ac:dyDescent="0.25">
      <c r="A6228" s="1">
        <v>45108</v>
      </c>
      <c r="B6228" t="s">
        <v>132</v>
      </c>
      <c r="C6228" t="s">
        <v>285</v>
      </c>
      <c r="D6228" s="2">
        <v>5461986.9400000004</v>
      </c>
      <c r="E6228" s="2">
        <v>8605678.7799999993</v>
      </c>
      <c r="F6228" s="2">
        <v>7660334.25</v>
      </c>
    </row>
    <row r="6229" spans="1:6" x14ac:dyDescent="0.25">
      <c r="A6229" s="1">
        <v>45108</v>
      </c>
      <c r="B6229" t="s">
        <v>21</v>
      </c>
      <c r="C6229" t="s">
        <v>757</v>
      </c>
      <c r="D6229">
        <v>0</v>
      </c>
      <c r="E6229" s="2">
        <v>2275134.42</v>
      </c>
      <c r="F6229" s="2">
        <v>2456294.42</v>
      </c>
    </row>
    <row r="6230" spans="1:6" x14ac:dyDescent="0.25">
      <c r="A6230" s="1">
        <v>45108</v>
      </c>
      <c r="B6230" t="s">
        <v>92</v>
      </c>
      <c r="C6230" t="s">
        <v>93</v>
      </c>
      <c r="D6230" s="2">
        <v>88880.73</v>
      </c>
      <c r="E6230" s="2">
        <v>141299.46</v>
      </c>
      <c r="F6230" s="2">
        <v>544082.61</v>
      </c>
    </row>
    <row r="6231" spans="1:6" x14ac:dyDescent="0.25">
      <c r="A6231" s="1">
        <v>45108</v>
      </c>
      <c r="B6231" t="s">
        <v>70</v>
      </c>
      <c r="C6231" t="s">
        <v>141</v>
      </c>
      <c r="D6231" s="2">
        <v>1810261.82</v>
      </c>
      <c r="E6231" s="2">
        <v>3053267.61</v>
      </c>
      <c r="F6231" s="2">
        <v>3087991.76</v>
      </c>
    </row>
    <row r="6232" spans="1:6" x14ac:dyDescent="0.25">
      <c r="A6232" s="1">
        <v>45108</v>
      </c>
      <c r="B6232" t="s">
        <v>42</v>
      </c>
      <c r="C6232" t="s">
        <v>978</v>
      </c>
      <c r="D6232">
        <v>0</v>
      </c>
      <c r="E6232" s="2">
        <v>6649835.9100000001</v>
      </c>
      <c r="F6232" s="2">
        <v>8599521.4399999995</v>
      </c>
    </row>
    <row r="6233" spans="1:6" x14ac:dyDescent="0.25">
      <c r="A6233" s="1">
        <v>45108</v>
      </c>
      <c r="B6233" t="s">
        <v>37</v>
      </c>
      <c r="C6233" t="s">
        <v>38</v>
      </c>
      <c r="D6233" s="2">
        <v>-164551946.30000001</v>
      </c>
      <c r="E6233" s="2">
        <v>998292582.35000002</v>
      </c>
      <c r="F6233" s="2">
        <v>998292582.35000002</v>
      </c>
    </row>
    <row r="6234" spans="1:6" x14ac:dyDescent="0.25">
      <c r="A6234" s="1">
        <v>45108</v>
      </c>
      <c r="B6234" t="s">
        <v>11</v>
      </c>
      <c r="C6234" t="s">
        <v>1279</v>
      </c>
      <c r="D6234">
        <v>0</v>
      </c>
      <c r="E6234">
        <v>0</v>
      </c>
      <c r="F6234">
        <v>0</v>
      </c>
    </row>
    <row r="6235" spans="1:6" x14ac:dyDescent="0.25">
      <c r="A6235" s="1">
        <v>45108</v>
      </c>
      <c r="B6235" t="s">
        <v>143</v>
      </c>
      <c r="C6235" t="s">
        <v>1175</v>
      </c>
      <c r="D6235" s="2">
        <v>1995464955.0599999</v>
      </c>
      <c r="E6235" s="2">
        <v>1153100580</v>
      </c>
      <c r="F6235" s="2">
        <v>1153100580</v>
      </c>
    </row>
    <row r="6236" spans="1:6" x14ac:dyDescent="0.25">
      <c r="A6236" s="1">
        <v>45108</v>
      </c>
      <c r="B6236" t="s">
        <v>154</v>
      </c>
      <c r="C6236" t="s">
        <v>161</v>
      </c>
      <c r="D6236" s="2">
        <v>596799.13</v>
      </c>
      <c r="E6236" s="2">
        <v>819066.7</v>
      </c>
      <c r="F6236" s="2">
        <v>703051.68</v>
      </c>
    </row>
    <row r="6237" spans="1:6" x14ac:dyDescent="0.25">
      <c r="A6237" s="1">
        <v>45108</v>
      </c>
      <c r="B6237" t="s">
        <v>9</v>
      </c>
      <c r="C6237" t="s">
        <v>10</v>
      </c>
      <c r="D6237" s="2">
        <v>488762</v>
      </c>
      <c r="E6237" s="2">
        <v>-9022</v>
      </c>
      <c r="F6237" s="2">
        <v>-9022</v>
      </c>
    </row>
    <row r="6238" spans="1:6" x14ac:dyDescent="0.25">
      <c r="A6238" s="1">
        <v>45108</v>
      </c>
      <c r="B6238" t="s">
        <v>15</v>
      </c>
      <c r="C6238" t="s">
        <v>359</v>
      </c>
      <c r="D6238" s="2">
        <v>127246.39999999999</v>
      </c>
      <c r="E6238" s="2">
        <v>76549.350000000006</v>
      </c>
      <c r="F6238" s="2">
        <v>76549.350000000006</v>
      </c>
    </row>
    <row r="6239" spans="1:6" x14ac:dyDescent="0.25">
      <c r="A6239" s="1">
        <v>45108</v>
      </c>
      <c r="B6239" t="s">
        <v>103</v>
      </c>
      <c r="C6239" t="s">
        <v>259</v>
      </c>
      <c r="D6239" s="2">
        <v>-20000</v>
      </c>
      <c r="E6239" s="2">
        <v>69124.61</v>
      </c>
      <c r="F6239" s="2">
        <v>69124.61</v>
      </c>
    </row>
    <row r="6240" spans="1:6" x14ac:dyDescent="0.25">
      <c r="A6240" s="1">
        <v>45108</v>
      </c>
      <c r="B6240" t="s">
        <v>1137</v>
      </c>
      <c r="C6240" t="s">
        <v>1138</v>
      </c>
      <c r="D6240" s="2">
        <v>34300665.259999998</v>
      </c>
      <c r="E6240" s="2">
        <v>34300665.259999998</v>
      </c>
      <c r="F6240" s="2">
        <v>34300665.259999998</v>
      </c>
    </row>
    <row r="6241" spans="1:6" x14ac:dyDescent="0.25">
      <c r="A6241" s="1">
        <v>45108</v>
      </c>
      <c r="B6241" t="s">
        <v>159</v>
      </c>
      <c r="C6241" t="s">
        <v>986</v>
      </c>
      <c r="D6241" s="2">
        <v>201024999.99000001</v>
      </c>
      <c r="E6241" s="2">
        <v>220517218.81999999</v>
      </c>
      <c r="F6241" s="2">
        <v>220517218.81999999</v>
      </c>
    </row>
    <row r="6242" spans="1:6" x14ac:dyDescent="0.25">
      <c r="A6242" s="1">
        <v>45108</v>
      </c>
      <c r="B6242" t="s">
        <v>23</v>
      </c>
      <c r="C6242" t="s">
        <v>482</v>
      </c>
      <c r="D6242" s="2">
        <v>570637.15</v>
      </c>
      <c r="E6242" s="2">
        <v>608088.68999999994</v>
      </c>
      <c r="F6242" s="2">
        <v>594074.56999999995</v>
      </c>
    </row>
    <row r="6243" spans="1:6" x14ac:dyDescent="0.25">
      <c r="A6243" s="1">
        <v>45108</v>
      </c>
      <c r="B6243" t="s">
        <v>42</v>
      </c>
      <c r="C6243" t="s">
        <v>670</v>
      </c>
      <c r="D6243">
        <v>0</v>
      </c>
      <c r="E6243" s="2">
        <v>138102.07</v>
      </c>
      <c r="F6243" s="2">
        <v>50212.05</v>
      </c>
    </row>
    <row r="6244" spans="1:6" x14ac:dyDescent="0.25">
      <c r="A6244" s="1">
        <v>45108</v>
      </c>
      <c r="B6244" t="s">
        <v>17</v>
      </c>
      <c r="C6244" t="s">
        <v>18</v>
      </c>
      <c r="D6244" s="2">
        <v>21602297.870000001</v>
      </c>
      <c r="E6244" s="2">
        <v>21602297.870000001</v>
      </c>
      <c r="F6244" s="2">
        <v>21602297.870000001</v>
      </c>
    </row>
    <row r="6245" spans="1:6" x14ac:dyDescent="0.25">
      <c r="A6245" s="1">
        <v>45108</v>
      </c>
      <c r="B6245" t="s">
        <v>92</v>
      </c>
      <c r="C6245" t="s">
        <v>488</v>
      </c>
      <c r="D6245" s="2">
        <v>-70213.41</v>
      </c>
      <c r="E6245" s="2">
        <v>147274.54</v>
      </c>
      <c r="F6245" s="2">
        <v>157274.54</v>
      </c>
    </row>
    <row r="6246" spans="1:6" x14ac:dyDescent="0.25">
      <c r="A6246" s="1">
        <v>45108</v>
      </c>
      <c r="B6246" t="s">
        <v>44</v>
      </c>
      <c r="C6246" t="s">
        <v>872</v>
      </c>
      <c r="D6246" s="2">
        <v>303633.55</v>
      </c>
      <c r="E6246" s="2">
        <v>183574.16</v>
      </c>
      <c r="F6246" s="2">
        <v>236300.99</v>
      </c>
    </row>
    <row r="6247" spans="1:6" x14ac:dyDescent="0.25">
      <c r="A6247" s="1">
        <v>45108</v>
      </c>
      <c r="B6247" t="s">
        <v>105</v>
      </c>
      <c r="C6247" t="s">
        <v>922</v>
      </c>
      <c r="D6247" s="2">
        <v>150000</v>
      </c>
      <c r="E6247">
        <v>0</v>
      </c>
      <c r="F6247">
        <v>0</v>
      </c>
    </row>
    <row r="6248" spans="1:6" x14ac:dyDescent="0.25">
      <c r="A6248" s="1">
        <v>45108</v>
      </c>
      <c r="B6248" t="s">
        <v>27</v>
      </c>
      <c r="C6248" t="s">
        <v>783</v>
      </c>
      <c r="D6248" s="2">
        <v>393384.96000000002</v>
      </c>
      <c r="E6248" s="2">
        <v>488064.33</v>
      </c>
      <c r="F6248" s="2">
        <v>455678.32</v>
      </c>
    </row>
    <row r="6249" spans="1:6" x14ac:dyDescent="0.25">
      <c r="A6249" s="1">
        <v>45108</v>
      </c>
      <c r="B6249" t="s">
        <v>44</v>
      </c>
      <c r="C6249" t="s">
        <v>723</v>
      </c>
      <c r="D6249" s="2">
        <v>219225</v>
      </c>
      <c r="E6249" s="2">
        <v>252797.81</v>
      </c>
      <c r="F6249" s="2">
        <v>281458.18</v>
      </c>
    </row>
    <row r="6250" spans="1:6" x14ac:dyDescent="0.25">
      <c r="A6250" s="1">
        <v>45108</v>
      </c>
      <c r="B6250" t="s">
        <v>40</v>
      </c>
      <c r="C6250" t="s">
        <v>528</v>
      </c>
      <c r="D6250" s="2">
        <v>82956.3</v>
      </c>
      <c r="E6250" s="2">
        <v>96374.9</v>
      </c>
      <c r="F6250" s="2">
        <v>107550.21</v>
      </c>
    </row>
    <row r="6251" spans="1:6" x14ac:dyDescent="0.25">
      <c r="A6251" s="1">
        <v>45108</v>
      </c>
      <c r="B6251" t="s">
        <v>92</v>
      </c>
      <c r="C6251" t="s">
        <v>1130</v>
      </c>
      <c r="D6251">
        <v>225.6</v>
      </c>
      <c r="E6251">
        <v>201.17</v>
      </c>
      <c r="F6251">
        <v>201.17</v>
      </c>
    </row>
    <row r="6252" spans="1:6" x14ac:dyDescent="0.25">
      <c r="A6252" s="1">
        <v>45108</v>
      </c>
      <c r="B6252" t="s">
        <v>162</v>
      </c>
      <c r="C6252" t="s">
        <v>605</v>
      </c>
      <c r="D6252">
        <v>401.68</v>
      </c>
      <c r="E6252" s="2">
        <v>206092.7</v>
      </c>
      <c r="F6252" s="2">
        <v>204825.7</v>
      </c>
    </row>
    <row r="6253" spans="1:6" x14ac:dyDescent="0.25">
      <c r="A6253" s="1">
        <v>45108</v>
      </c>
      <c r="B6253" t="s">
        <v>40</v>
      </c>
      <c r="C6253" t="s">
        <v>762</v>
      </c>
      <c r="D6253" s="2">
        <v>7838.7</v>
      </c>
      <c r="E6253" s="2">
        <v>7838.7</v>
      </c>
      <c r="F6253">
        <v>0</v>
      </c>
    </row>
    <row r="6254" spans="1:6" x14ac:dyDescent="0.25">
      <c r="A6254" s="1">
        <v>45108</v>
      </c>
      <c r="B6254" t="s">
        <v>90</v>
      </c>
      <c r="C6254" t="s">
        <v>91</v>
      </c>
      <c r="D6254">
        <v>0</v>
      </c>
      <c r="E6254">
        <v>0</v>
      </c>
      <c r="F6254">
        <v>0</v>
      </c>
    </row>
    <row r="6255" spans="1:6" x14ac:dyDescent="0.25">
      <c r="A6255" s="1">
        <v>45108</v>
      </c>
      <c r="B6255" t="s">
        <v>476</v>
      </c>
      <c r="C6255" t="s">
        <v>477</v>
      </c>
      <c r="D6255">
        <v>0</v>
      </c>
      <c r="E6255">
        <v>0</v>
      </c>
      <c r="F6255">
        <v>0</v>
      </c>
    </row>
    <row r="6256" spans="1:6" x14ac:dyDescent="0.25">
      <c r="A6256" s="1">
        <v>45108</v>
      </c>
      <c r="B6256" t="s">
        <v>53</v>
      </c>
      <c r="C6256" t="s">
        <v>54</v>
      </c>
      <c r="D6256">
        <v>0</v>
      </c>
      <c r="E6256" s="2">
        <v>288671258.91000003</v>
      </c>
      <c r="F6256" s="2">
        <v>288671258.91000003</v>
      </c>
    </row>
    <row r="6257" spans="1:6" x14ac:dyDescent="0.25">
      <c r="A6257" s="1">
        <v>45108</v>
      </c>
      <c r="B6257" t="s">
        <v>40</v>
      </c>
      <c r="C6257" t="s">
        <v>718</v>
      </c>
      <c r="D6257" s="2">
        <v>4886379.95</v>
      </c>
      <c r="E6257" s="2">
        <v>8321290.5700000003</v>
      </c>
      <c r="F6257" s="2">
        <v>7784861.6900000004</v>
      </c>
    </row>
    <row r="6258" spans="1:6" x14ac:dyDescent="0.25">
      <c r="A6258" s="1">
        <v>45108</v>
      </c>
      <c r="B6258" t="s">
        <v>40</v>
      </c>
      <c r="C6258" t="s">
        <v>555</v>
      </c>
      <c r="D6258" s="2">
        <v>206265303.11000001</v>
      </c>
      <c r="E6258" s="2">
        <v>5462598.6500000004</v>
      </c>
      <c r="F6258" s="2">
        <v>67122.539999999994</v>
      </c>
    </row>
    <row r="6259" spans="1:6" x14ac:dyDescent="0.25">
      <c r="A6259" s="1">
        <v>45108</v>
      </c>
      <c r="B6259" t="s">
        <v>185</v>
      </c>
      <c r="C6259" t="s">
        <v>190</v>
      </c>
      <c r="D6259" s="2">
        <v>48007701.109999999</v>
      </c>
      <c r="E6259" s="2">
        <v>48040730.799999997</v>
      </c>
      <c r="F6259" s="2">
        <v>76846.58</v>
      </c>
    </row>
    <row r="6260" spans="1:6" x14ac:dyDescent="0.25">
      <c r="A6260" s="1">
        <v>45108</v>
      </c>
      <c r="B6260" t="s">
        <v>21</v>
      </c>
      <c r="C6260" t="s">
        <v>191</v>
      </c>
      <c r="D6260">
        <v>0</v>
      </c>
      <c r="E6260" s="2">
        <v>2224783.14</v>
      </c>
      <c r="F6260">
        <v>0</v>
      </c>
    </row>
    <row r="6261" spans="1:6" x14ac:dyDescent="0.25">
      <c r="A6261" s="1">
        <v>45108</v>
      </c>
      <c r="B6261" t="s">
        <v>11</v>
      </c>
      <c r="C6261" t="s">
        <v>204</v>
      </c>
      <c r="D6261">
        <v>0</v>
      </c>
      <c r="E6261" s="2">
        <v>147254712.81</v>
      </c>
      <c r="F6261" s="2">
        <v>147254712.81</v>
      </c>
    </row>
    <row r="6262" spans="1:6" x14ac:dyDescent="0.25">
      <c r="A6262" s="1">
        <v>45108</v>
      </c>
      <c r="B6262" t="s">
        <v>23</v>
      </c>
      <c r="C6262" t="s">
        <v>575</v>
      </c>
      <c r="D6262" s="2">
        <v>-364538.41</v>
      </c>
      <c r="E6262" s="2">
        <v>-544107.18999999994</v>
      </c>
      <c r="F6262" s="2">
        <v>-461970.95</v>
      </c>
    </row>
    <row r="6263" spans="1:6" x14ac:dyDescent="0.25">
      <c r="A6263" s="1">
        <v>45108</v>
      </c>
      <c r="B6263" t="s">
        <v>225</v>
      </c>
      <c r="C6263" t="s">
        <v>1284</v>
      </c>
      <c r="D6263">
        <v>0</v>
      </c>
      <c r="E6263" s="2">
        <v>92458081.879999995</v>
      </c>
      <c r="F6263" s="2">
        <v>92458081.879999995</v>
      </c>
    </row>
    <row r="6264" spans="1:6" x14ac:dyDescent="0.25">
      <c r="A6264" s="1">
        <v>45108</v>
      </c>
      <c r="B6264" t="s">
        <v>48</v>
      </c>
      <c r="C6264" t="s">
        <v>175</v>
      </c>
      <c r="D6264" s="2">
        <v>5162926</v>
      </c>
      <c r="E6264" s="2">
        <v>4556098.01</v>
      </c>
      <c r="F6264" s="2">
        <v>4556098.01</v>
      </c>
    </row>
    <row r="6265" spans="1:6" x14ac:dyDescent="0.25">
      <c r="A6265" s="1">
        <v>45108</v>
      </c>
      <c r="B6265" t="s">
        <v>44</v>
      </c>
      <c r="C6265" t="s">
        <v>838</v>
      </c>
      <c r="D6265" s="2">
        <v>18532000.289999999</v>
      </c>
      <c r="E6265" s="2">
        <v>9751385.8200000003</v>
      </c>
      <c r="F6265" s="2">
        <v>9790773.0399999991</v>
      </c>
    </row>
    <row r="6266" spans="1:6" x14ac:dyDescent="0.25">
      <c r="A6266" s="1">
        <v>45108</v>
      </c>
      <c r="B6266" t="s">
        <v>92</v>
      </c>
      <c r="C6266" t="s">
        <v>1239</v>
      </c>
      <c r="D6266" s="2">
        <v>-6792.22</v>
      </c>
      <c r="E6266" s="2">
        <v>-6792.22</v>
      </c>
      <c r="F6266" s="2">
        <v>-6792.22</v>
      </c>
    </row>
    <row r="6267" spans="1:6" x14ac:dyDescent="0.25">
      <c r="A6267" s="1">
        <v>45108</v>
      </c>
      <c r="B6267" t="s">
        <v>402</v>
      </c>
      <c r="C6267" t="s">
        <v>1096</v>
      </c>
      <c r="D6267">
        <v>0</v>
      </c>
      <c r="E6267">
        <v>0</v>
      </c>
      <c r="F6267">
        <v>0</v>
      </c>
    </row>
    <row r="6268" spans="1:6" x14ac:dyDescent="0.25">
      <c r="A6268" s="1">
        <v>45108</v>
      </c>
      <c r="B6268" t="s">
        <v>90</v>
      </c>
      <c r="C6268" t="s">
        <v>895</v>
      </c>
      <c r="D6268" s="2">
        <v>62905.8</v>
      </c>
      <c r="E6268" s="2">
        <v>581198.87</v>
      </c>
      <c r="F6268" s="2">
        <v>542082.97</v>
      </c>
    </row>
    <row r="6269" spans="1:6" x14ac:dyDescent="0.25">
      <c r="A6269" s="1">
        <v>45108</v>
      </c>
      <c r="B6269" t="s">
        <v>17</v>
      </c>
      <c r="C6269" t="s">
        <v>303</v>
      </c>
      <c r="D6269" s="2">
        <v>29310668.760000002</v>
      </c>
      <c r="E6269" s="2">
        <v>29848198.91</v>
      </c>
      <c r="F6269" s="2">
        <v>41436093.060000002</v>
      </c>
    </row>
    <row r="6270" spans="1:6" x14ac:dyDescent="0.25">
      <c r="A6270" s="1">
        <v>45108</v>
      </c>
      <c r="B6270" t="s">
        <v>296</v>
      </c>
      <c r="C6270" t="s">
        <v>552</v>
      </c>
      <c r="D6270">
        <v>0</v>
      </c>
      <c r="E6270" s="2">
        <v>3059979.41</v>
      </c>
      <c r="F6270" s="2">
        <v>2999296.34</v>
      </c>
    </row>
    <row r="6271" spans="1:6" x14ac:dyDescent="0.25">
      <c r="A6271" s="1">
        <v>45108</v>
      </c>
      <c r="B6271" t="s">
        <v>278</v>
      </c>
      <c r="C6271" t="s">
        <v>688</v>
      </c>
      <c r="D6271" s="2">
        <v>800000</v>
      </c>
      <c r="E6271" s="2">
        <v>3378232323.1399999</v>
      </c>
      <c r="F6271" s="2">
        <v>3373976463.1300001</v>
      </c>
    </row>
    <row r="6272" spans="1:6" x14ac:dyDescent="0.25">
      <c r="A6272" s="1">
        <v>45108</v>
      </c>
      <c r="B6272" t="s">
        <v>21</v>
      </c>
      <c r="C6272" t="s">
        <v>123</v>
      </c>
      <c r="D6272">
        <v>0</v>
      </c>
      <c r="E6272" s="2">
        <v>19199705.09</v>
      </c>
      <c r="F6272" s="2">
        <v>15723106.859999999</v>
      </c>
    </row>
    <row r="6273" spans="1:6" x14ac:dyDescent="0.25">
      <c r="A6273" s="1">
        <v>45108</v>
      </c>
      <c r="B6273" t="s">
        <v>42</v>
      </c>
      <c r="C6273" t="s">
        <v>719</v>
      </c>
      <c r="D6273" s="2">
        <v>-166075</v>
      </c>
      <c r="E6273" s="2">
        <v>9924049.7799999993</v>
      </c>
      <c r="F6273" s="2">
        <v>11171801.029999999</v>
      </c>
    </row>
    <row r="6274" spans="1:6" x14ac:dyDescent="0.25">
      <c r="A6274" s="1">
        <v>45108</v>
      </c>
      <c r="B6274" t="s">
        <v>118</v>
      </c>
      <c r="C6274" t="s">
        <v>486</v>
      </c>
      <c r="D6274">
        <v>0</v>
      </c>
      <c r="E6274">
        <v>0</v>
      </c>
      <c r="F6274">
        <v>0</v>
      </c>
    </row>
    <row r="6275" spans="1:6" x14ac:dyDescent="0.25">
      <c r="A6275" s="1">
        <v>45108</v>
      </c>
      <c r="B6275" t="s">
        <v>23</v>
      </c>
      <c r="C6275" t="s">
        <v>203</v>
      </c>
      <c r="D6275">
        <v>0</v>
      </c>
      <c r="E6275">
        <v>0</v>
      </c>
      <c r="F6275">
        <v>0</v>
      </c>
    </row>
    <row r="6276" spans="1:6" x14ac:dyDescent="0.25">
      <c r="A6276" s="1">
        <v>45108</v>
      </c>
      <c r="B6276" t="s">
        <v>422</v>
      </c>
      <c r="C6276" t="s">
        <v>473</v>
      </c>
      <c r="D6276" s="2">
        <v>38298.080000000002</v>
      </c>
      <c r="E6276" s="2">
        <v>38298.080000000002</v>
      </c>
      <c r="F6276" s="2">
        <v>1538298.08</v>
      </c>
    </row>
    <row r="6277" spans="1:6" x14ac:dyDescent="0.25">
      <c r="A6277" s="1">
        <v>45108</v>
      </c>
      <c r="B6277" t="s">
        <v>15</v>
      </c>
      <c r="C6277" t="s">
        <v>1173</v>
      </c>
      <c r="D6277">
        <v>0</v>
      </c>
      <c r="E6277">
        <v>0</v>
      </c>
      <c r="F6277">
        <v>0</v>
      </c>
    </row>
    <row r="6278" spans="1:6" x14ac:dyDescent="0.25">
      <c r="A6278" s="1">
        <v>45108</v>
      </c>
      <c r="B6278" t="s">
        <v>21</v>
      </c>
      <c r="C6278" t="s">
        <v>559</v>
      </c>
      <c r="D6278" s="2">
        <v>34003185.920000002</v>
      </c>
      <c r="E6278" s="2">
        <v>11539246.91</v>
      </c>
      <c r="F6278" s="2">
        <v>11539246.91</v>
      </c>
    </row>
    <row r="6279" spans="1:6" x14ac:dyDescent="0.25">
      <c r="A6279" s="1">
        <v>45108</v>
      </c>
      <c r="B6279" t="s">
        <v>402</v>
      </c>
      <c r="C6279" t="s">
        <v>1140</v>
      </c>
      <c r="D6279">
        <v>0</v>
      </c>
      <c r="E6279">
        <v>0</v>
      </c>
      <c r="F6279">
        <v>0</v>
      </c>
    </row>
    <row r="6280" spans="1:6" x14ac:dyDescent="0.25">
      <c r="A6280" s="1">
        <v>45108</v>
      </c>
      <c r="B6280" t="s">
        <v>27</v>
      </c>
      <c r="C6280" t="s">
        <v>811</v>
      </c>
      <c r="D6280" s="2">
        <v>185570.86</v>
      </c>
      <c r="E6280" s="2">
        <v>107791.93</v>
      </c>
      <c r="F6280" s="2">
        <v>110594.35</v>
      </c>
    </row>
    <row r="6281" spans="1:6" x14ac:dyDescent="0.25">
      <c r="A6281" s="1">
        <v>45108</v>
      </c>
      <c r="B6281" t="s">
        <v>118</v>
      </c>
      <c r="C6281" t="s">
        <v>298</v>
      </c>
      <c r="D6281" s="2">
        <v>3014000</v>
      </c>
      <c r="E6281" s="2">
        <v>469643.34</v>
      </c>
      <c r="F6281" s="2">
        <v>200513.11</v>
      </c>
    </row>
    <row r="6282" spans="1:6" x14ac:dyDescent="0.25">
      <c r="A6282" s="1">
        <v>45108</v>
      </c>
      <c r="B6282" t="s">
        <v>40</v>
      </c>
      <c r="C6282" t="s">
        <v>591</v>
      </c>
      <c r="D6282" s="2">
        <v>15718586.67</v>
      </c>
      <c r="E6282" s="2">
        <v>16238604.16</v>
      </c>
      <c r="F6282" s="2">
        <v>15649753.4</v>
      </c>
    </row>
    <row r="6283" spans="1:6" x14ac:dyDescent="0.25">
      <c r="A6283" s="1">
        <v>45108</v>
      </c>
      <c r="B6283" t="s">
        <v>132</v>
      </c>
      <c r="C6283" t="s">
        <v>589</v>
      </c>
      <c r="D6283">
        <v>0</v>
      </c>
      <c r="E6283">
        <v>0</v>
      </c>
      <c r="F6283">
        <v>0</v>
      </c>
    </row>
    <row r="6284" spans="1:6" x14ac:dyDescent="0.25">
      <c r="A6284" s="1">
        <v>45108</v>
      </c>
      <c r="B6284" t="s">
        <v>118</v>
      </c>
      <c r="C6284" t="s">
        <v>971</v>
      </c>
      <c r="D6284" s="2">
        <v>175410</v>
      </c>
      <c r="E6284">
        <v>0</v>
      </c>
      <c r="F6284">
        <v>0</v>
      </c>
    </row>
    <row r="6285" spans="1:6" x14ac:dyDescent="0.25">
      <c r="A6285" s="1">
        <v>45108</v>
      </c>
      <c r="B6285" t="s">
        <v>164</v>
      </c>
      <c r="C6285" t="s">
        <v>840</v>
      </c>
      <c r="D6285">
        <v>0</v>
      </c>
      <c r="E6285">
        <v>0</v>
      </c>
      <c r="F6285">
        <v>0</v>
      </c>
    </row>
    <row r="6286" spans="1:6" x14ac:dyDescent="0.25">
      <c r="A6286" s="1">
        <v>45108</v>
      </c>
      <c r="B6286" t="s">
        <v>23</v>
      </c>
      <c r="C6286" t="s">
        <v>603</v>
      </c>
      <c r="D6286" s="2">
        <v>1698843.36</v>
      </c>
      <c r="E6286" s="2">
        <v>725012.62</v>
      </c>
      <c r="F6286" s="2">
        <v>879957.62</v>
      </c>
    </row>
    <row r="6287" spans="1:6" x14ac:dyDescent="0.25">
      <c r="A6287" s="1">
        <v>45108</v>
      </c>
      <c r="B6287" t="s">
        <v>107</v>
      </c>
      <c r="C6287" t="s">
        <v>514</v>
      </c>
      <c r="D6287" s="2">
        <v>4774275.1500000004</v>
      </c>
      <c r="E6287" s="2">
        <v>4776000</v>
      </c>
      <c r="F6287" s="2">
        <v>4774275.1500000004</v>
      </c>
    </row>
    <row r="6288" spans="1:6" x14ac:dyDescent="0.25">
      <c r="A6288" s="1">
        <v>45108</v>
      </c>
      <c r="B6288" t="s">
        <v>40</v>
      </c>
      <c r="C6288" t="s">
        <v>772</v>
      </c>
      <c r="D6288" s="2">
        <v>370000</v>
      </c>
      <c r="E6288" s="2">
        <v>453286.16</v>
      </c>
      <c r="F6288" s="2">
        <v>444962.19</v>
      </c>
    </row>
    <row r="6289" spans="1:6" x14ac:dyDescent="0.25">
      <c r="A6289" s="1">
        <v>45108</v>
      </c>
      <c r="B6289" t="s">
        <v>40</v>
      </c>
      <c r="C6289" t="s">
        <v>666</v>
      </c>
      <c r="D6289" s="2">
        <v>100000</v>
      </c>
      <c r="E6289" s="2">
        <v>17227.68</v>
      </c>
      <c r="F6289" s="2">
        <v>17227.68</v>
      </c>
    </row>
    <row r="6290" spans="1:6" x14ac:dyDescent="0.25">
      <c r="A6290" s="1">
        <v>45108</v>
      </c>
      <c r="B6290" t="s">
        <v>40</v>
      </c>
      <c r="C6290" t="s">
        <v>1082</v>
      </c>
      <c r="D6290" s="2">
        <v>-3727.36</v>
      </c>
      <c r="E6290">
        <v>0</v>
      </c>
      <c r="F6290">
        <v>0</v>
      </c>
    </row>
    <row r="6291" spans="1:6" x14ac:dyDescent="0.25">
      <c r="A6291" s="1">
        <v>45108</v>
      </c>
      <c r="B6291" t="s">
        <v>107</v>
      </c>
      <c r="C6291" t="s">
        <v>687</v>
      </c>
      <c r="D6291" s="2">
        <v>9180</v>
      </c>
      <c r="E6291" s="2">
        <v>53947.35</v>
      </c>
      <c r="F6291" s="2">
        <v>43301.14</v>
      </c>
    </row>
    <row r="6292" spans="1:6" x14ac:dyDescent="0.25">
      <c r="A6292" s="1">
        <v>45108</v>
      </c>
      <c r="B6292" t="s">
        <v>37</v>
      </c>
      <c r="C6292" t="s">
        <v>577</v>
      </c>
      <c r="D6292" s="2">
        <v>71922.460000000006</v>
      </c>
      <c r="E6292" s="2">
        <v>16421.39</v>
      </c>
      <c r="F6292" s="2">
        <v>16224.46</v>
      </c>
    </row>
    <row r="6293" spans="1:6" x14ac:dyDescent="0.25">
      <c r="A6293" s="1">
        <v>45108</v>
      </c>
      <c r="B6293" t="s">
        <v>50</v>
      </c>
      <c r="C6293" t="s">
        <v>287</v>
      </c>
      <c r="D6293" s="2">
        <v>283035</v>
      </c>
      <c r="E6293" s="2">
        <v>13681.8</v>
      </c>
      <c r="F6293" s="2">
        <v>2562.5300000000002</v>
      </c>
    </row>
    <row r="6294" spans="1:6" x14ac:dyDescent="0.25">
      <c r="A6294" s="1">
        <v>45108</v>
      </c>
      <c r="B6294" t="s">
        <v>162</v>
      </c>
      <c r="C6294" t="s">
        <v>178</v>
      </c>
      <c r="D6294" s="2">
        <v>109643863.81</v>
      </c>
      <c r="E6294" s="2">
        <v>109801874.84999999</v>
      </c>
      <c r="F6294" s="2">
        <v>109801874.84999999</v>
      </c>
    </row>
    <row r="6295" spans="1:6" x14ac:dyDescent="0.25">
      <c r="A6295" s="1">
        <v>45108</v>
      </c>
      <c r="B6295" t="s">
        <v>23</v>
      </c>
      <c r="C6295" t="s">
        <v>365</v>
      </c>
      <c r="D6295" s="2">
        <v>693647.27</v>
      </c>
      <c r="E6295" s="2">
        <v>1098486.44</v>
      </c>
      <c r="F6295" s="2">
        <v>1049213.79</v>
      </c>
    </row>
    <row r="6296" spans="1:6" x14ac:dyDescent="0.25">
      <c r="A6296" s="1">
        <v>45108</v>
      </c>
      <c r="B6296" t="s">
        <v>29</v>
      </c>
      <c r="C6296" t="s">
        <v>30</v>
      </c>
      <c r="D6296" s="2">
        <v>767540.54</v>
      </c>
      <c r="E6296">
        <v>0</v>
      </c>
      <c r="F6296">
        <v>0</v>
      </c>
    </row>
    <row r="6297" spans="1:6" x14ac:dyDescent="0.25">
      <c r="A6297" s="1">
        <v>45108</v>
      </c>
      <c r="B6297" t="s">
        <v>42</v>
      </c>
      <c r="C6297" t="s">
        <v>952</v>
      </c>
      <c r="D6297" s="2">
        <v>50390476.920000002</v>
      </c>
      <c r="E6297" s="2">
        <v>11984901.449999999</v>
      </c>
      <c r="F6297" s="2">
        <v>11984901.449999999</v>
      </c>
    </row>
    <row r="6298" spans="1:6" x14ac:dyDescent="0.25">
      <c r="A6298" s="1">
        <v>45108</v>
      </c>
      <c r="B6298" t="s">
        <v>114</v>
      </c>
      <c r="C6298" t="s">
        <v>547</v>
      </c>
      <c r="D6298" s="2">
        <v>562142.26</v>
      </c>
      <c r="E6298" s="2">
        <v>431695.01</v>
      </c>
      <c r="F6298" s="2">
        <v>395865.55</v>
      </c>
    </row>
    <row r="6299" spans="1:6" x14ac:dyDescent="0.25">
      <c r="A6299" s="1">
        <v>45108</v>
      </c>
      <c r="B6299" t="s">
        <v>23</v>
      </c>
      <c r="C6299" t="s">
        <v>879</v>
      </c>
      <c r="D6299" s="2">
        <v>287372.83</v>
      </c>
      <c r="E6299" s="2">
        <v>297526.89</v>
      </c>
      <c r="F6299" s="2">
        <v>269462.52</v>
      </c>
    </row>
    <row r="6300" spans="1:6" x14ac:dyDescent="0.25">
      <c r="A6300" s="1">
        <v>45108</v>
      </c>
      <c r="B6300" t="s">
        <v>309</v>
      </c>
      <c r="C6300" t="s">
        <v>310</v>
      </c>
      <c r="D6300">
        <v>0</v>
      </c>
      <c r="E6300">
        <v>0</v>
      </c>
      <c r="F6300">
        <v>0</v>
      </c>
    </row>
    <row r="6301" spans="1:6" x14ac:dyDescent="0.25">
      <c r="A6301" s="1">
        <v>45108</v>
      </c>
      <c r="B6301" t="s">
        <v>549</v>
      </c>
      <c r="C6301" t="s">
        <v>95</v>
      </c>
      <c r="D6301">
        <v>0</v>
      </c>
      <c r="E6301">
        <v>0</v>
      </c>
      <c r="F6301">
        <v>0</v>
      </c>
    </row>
    <row r="6302" spans="1:6" x14ac:dyDescent="0.25">
      <c r="A6302" s="1">
        <v>45108</v>
      </c>
      <c r="B6302" t="s">
        <v>107</v>
      </c>
      <c r="C6302" t="s">
        <v>505</v>
      </c>
      <c r="D6302" s="2">
        <v>104630710.08</v>
      </c>
      <c r="E6302" s="2">
        <v>106303461.68000001</v>
      </c>
      <c r="F6302" s="2">
        <v>106303461.68000001</v>
      </c>
    </row>
    <row r="6303" spans="1:6" x14ac:dyDescent="0.25">
      <c r="A6303" s="1">
        <v>45108</v>
      </c>
      <c r="B6303" t="s">
        <v>966</v>
      </c>
      <c r="C6303" t="s">
        <v>1060</v>
      </c>
      <c r="D6303">
        <v>0</v>
      </c>
      <c r="E6303">
        <v>0</v>
      </c>
      <c r="F6303">
        <v>0</v>
      </c>
    </row>
    <row r="6304" spans="1:6" x14ac:dyDescent="0.25">
      <c r="A6304" s="1">
        <v>45108</v>
      </c>
      <c r="B6304" t="s">
        <v>21</v>
      </c>
      <c r="C6304" t="s">
        <v>985</v>
      </c>
      <c r="D6304" s="2">
        <v>28088373</v>
      </c>
      <c r="E6304" s="2">
        <v>203922.58</v>
      </c>
      <c r="F6304" s="2">
        <v>203922.58</v>
      </c>
    </row>
    <row r="6305" spans="1:6" x14ac:dyDescent="0.25">
      <c r="A6305" s="1">
        <v>45108</v>
      </c>
      <c r="B6305" t="s">
        <v>398</v>
      </c>
      <c r="C6305" t="s">
        <v>564</v>
      </c>
      <c r="D6305">
        <v>0</v>
      </c>
      <c r="E6305">
        <v>0</v>
      </c>
      <c r="F6305">
        <v>0</v>
      </c>
    </row>
    <row r="6306" spans="1:6" x14ac:dyDescent="0.25">
      <c r="A6306" s="1">
        <v>45108</v>
      </c>
      <c r="B6306" t="s">
        <v>682</v>
      </c>
      <c r="C6306" t="s">
        <v>1067</v>
      </c>
      <c r="D6306" s="2">
        <v>51315.35</v>
      </c>
      <c r="E6306" s="2">
        <v>28089.279999999999</v>
      </c>
      <c r="F6306" s="2">
        <v>26726.5</v>
      </c>
    </row>
    <row r="6307" spans="1:6" x14ac:dyDescent="0.25">
      <c r="A6307" s="1">
        <v>45108</v>
      </c>
      <c r="B6307" t="s">
        <v>13</v>
      </c>
      <c r="C6307" t="s">
        <v>635</v>
      </c>
      <c r="D6307" s="2">
        <v>-18652.75</v>
      </c>
      <c r="E6307" s="2">
        <v>10072.82</v>
      </c>
      <c r="F6307" s="2">
        <v>18076</v>
      </c>
    </row>
    <row r="6308" spans="1:6" x14ac:dyDescent="0.25">
      <c r="A6308" s="1">
        <v>45108</v>
      </c>
      <c r="B6308" t="s">
        <v>9</v>
      </c>
      <c r="C6308" t="s">
        <v>130</v>
      </c>
      <c r="D6308" s="2">
        <v>33600000</v>
      </c>
      <c r="E6308">
        <v>0</v>
      </c>
      <c r="F6308">
        <v>0</v>
      </c>
    </row>
    <row r="6309" spans="1:6" x14ac:dyDescent="0.25">
      <c r="A6309" s="1">
        <v>45108</v>
      </c>
      <c r="B6309" t="s">
        <v>17</v>
      </c>
      <c r="C6309" t="s">
        <v>1025</v>
      </c>
      <c r="D6309" s="2">
        <v>2340000</v>
      </c>
      <c r="E6309">
        <v>0</v>
      </c>
      <c r="F6309">
        <v>0</v>
      </c>
    </row>
    <row r="6310" spans="1:6" x14ac:dyDescent="0.25">
      <c r="A6310" s="1">
        <v>45108</v>
      </c>
      <c r="B6310" t="s">
        <v>831</v>
      </c>
      <c r="C6310" t="s">
        <v>95</v>
      </c>
      <c r="D6310">
        <v>0</v>
      </c>
      <c r="E6310">
        <v>0</v>
      </c>
      <c r="F6310">
        <v>0</v>
      </c>
    </row>
    <row r="6311" spans="1:6" x14ac:dyDescent="0.25">
      <c r="A6311" s="1">
        <v>45108</v>
      </c>
      <c r="B6311" t="s">
        <v>29</v>
      </c>
      <c r="C6311" t="s">
        <v>717</v>
      </c>
      <c r="D6311" s="2">
        <v>6501529.6500000004</v>
      </c>
      <c r="E6311" s="2">
        <v>120288871.92</v>
      </c>
      <c r="F6311" s="2">
        <v>115241669.45</v>
      </c>
    </row>
    <row r="6312" spans="1:6" x14ac:dyDescent="0.25">
      <c r="A6312" s="1">
        <v>45108</v>
      </c>
      <c r="B6312" t="s">
        <v>17</v>
      </c>
      <c r="C6312" t="s">
        <v>327</v>
      </c>
      <c r="D6312" s="2">
        <v>20000</v>
      </c>
      <c r="E6312" s="2">
        <v>22521.07</v>
      </c>
      <c r="F6312" s="2">
        <v>22521.07</v>
      </c>
    </row>
    <row r="6313" spans="1:6" x14ac:dyDescent="0.25">
      <c r="A6313" s="1">
        <v>45108</v>
      </c>
      <c r="B6313" t="s">
        <v>40</v>
      </c>
      <c r="C6313" t="s">
        <v>747</v>
      </c>
      <c r="D6313" s="2">
        <v>931290.47</v>
      </c>
      <c r="E6313">
        <v>0</v>
      </c>
      <c r="F6313" s="2">
        <v>347000</v>
      </c>
    </row>
    <row r="6314" spans="1:6" x14ac:dyDescent="0.25">
      <c r="A6314" s="1">
        <v>45108</v>
      </c>
      <c r="B6314" t="s">
        <v>29</v>
      </c>
      <c r="C6314" t="s">
        <v>60</v>
      </c>
      <c r="D6314">
        <v>3</v>
      </c>
      <c r="E6314" s="2">
        <v>156908.65</v>
      </c>
      <c r="F6314" s="2">
        <v>155498.82</v>
      </c>
    </row>
    <row r="6315" spans="1:6" x14ac:dyDescent="0.25">
      <c r="A6315" s="1">
        <v>45108</v>
      </c>
      <c r="B6315" t="s">
        <v>17</v>
      </c>
      <c r="C6315" t="s">
        <v>432</v>
      </c>
      <c r="D6315" s="2">
        <v>6383440.75</v>
      </c>
      <c r="E6315" s="2">
        <v>6811825.1200000001</v>
      </c>
      <c r="F6315" s="2">
        <v>6777128.1200000001</v>
      </c>
    </row>
    <row r="6316" spans="1:6" x14ac:dyDescent="0.25">
      <c r="A6316" s="1">
        <v>45108</v>
      </c>
      <c r="B6316" t="s">
        <v>27</v>
      </c>
      <c r="C6316" t="s">
        <v>28</v>
      </c>
      <c r="D6316" s="2">
        <v>-407207.9</v>
      </c>
      <c r="E6316" s="2">
        <v>4733164.5199999996</v>
      </c>
      <c r="F6316" s="2">
        <v>4375546.6399999997</v>
      </c>
    </row>
    <row r="6317" spans="1:6" x14ac:dyDescent="0.25">
      <c r="A6317" s="1">
        <v>45108</v>
      </c>
      <c r="B6317" t="s">
        <v>107</v>
      </c>
      <c r="C6317" t="s">
        <v>189</v>
      </c>
      <c r="D6317" s="2">
        <v>7783300</v>
      </c>
      <c r="E6317" s="2">
        <v>19927600</v>
      </c>
      <c r="F6317" s="2">
        <v>27419700</v>
      </c>
    </row>
    <row r="6318" spans="1:6" x14ac:dyDescent="0.25">
      <c r="A6318" s="1">
        <v>45108</v>
      </c>
      <c r="B6318" t="s">
        <v>114</v>
      </c>
      <c r="C6318" t="s">
        <v>628</v>
      </c>
      <c r="D6318" s="2">
        <v>38506386.329999998</v>
      </c>
      <c r="E6318" s="2">
        <v>3692038.47</v>
      </c>
      <c r="F6318" s="2">
        <v>3765947.3</v>
      </c>
    </row>
    <row r="6319" spans="1:6" x14ac:dyDescent="0.25">
      <c r="A6319" s="1">
        <v>45108</v>
      </c>
      <c r="B6319" t="s">
        <v>37</v>
      </c>
      <c r="C6319" t="s">
        <v>1033</v>
      </c>
      <c r="D6319" s="2">
        <v>1479054.08</v>
      </c>
      <c r="E6319" s="2">
        <v>56450.3</v>
      </c>
      <c r="F6319" s="2">
        <v>4660.26</v>
      </c>
    </row>
    <row r="6320" spans="1:6" x14ac:dyDescent="0.25">
      <c r="A6320" s="1">
        <v>45108</v>
      </c>
      <c r="B6320" t="s">
        <v>120</v>
      </c>
      <c r="C6320" t="s">
        <v>121</v>
      </c>
      <c r="D6320" s="2">
        <v>38909.47</v>
      </c>
      <c r="E6320" s="2">
        <v>143054.84</v>
      </c>
      <c r="F6320" s="2">
        <v>136185.09</v>
      </c>
    </row>
    <row r="6321" spans="1:6" x14ac:dyDescent="0.25">
      <c r="A6321" s="1">
        <v>45108</v>
      </c>
      <c r="B6321" t="s">
        <v>40</v>
      </c>
      <c r="C6321" t="s">
        <v>457</v>
      </c>
      <c r="D6321" s="2">
        <v>105556395.84999999</v>
      </c>
      <c r="E6321" s="2">
        <v>23557830.09</v>
      </c>
      <c r="F6321" s="2">
        <v>25314251.280000001</v>
      </c>
    </row>
    <row r="6322" spans="1:6" x14ac:dyDescent="0.25">
      <c r="A6322" s="1">
        <v>45108</v>
      </c>
      <c r="B6322" t="s">
        <v>726</v>
      </c>
      <c r="C6322" t="s">
        <v>961</v>
      </c>
      <c r="D6322">
        <v>0</v>
      </c>
      <c r="E6322" s="2">
        <v>18072.89</v>
      </c>
      <c r="F6322" s="2">
        <v>18072.89</v>
      </c>
    </row>
    <row r="6323" spans="1:6" x14ac:dyDescent="0.25">
      <c r="A6323" s="1">
        <v>45108</v>
      </c>
      <c r="B6323" t="s">
        <v>46</v>
      </c>
      <c r="C6323" t="s">
        <v>424</v>
      </c>
      <c r="D6323" s="2">
        <v>1800000</v>
      </c>
      <c r="E6323" s="2">
        <v>1760507.32</v>
      </c>
      <c r="F6323" s="2">
        <v>1656572.93</v>
      </c>
    </row>
    <row r="6324" spans="1:6" x14ac:dyDescent="0.25">
      <c r="A6324" s="1">
        <v>45108</v>
      </c>
      <c r="B6324" t="s">
        <v>98</v>
      </c>
      <c r="C6324" t="s">
        <v>1307</v>
      </c>
      <c r="D6324">
        <v>0</v>
      </c>
      <c r="E6324">
        <v>0</v>
      </c>
      <c r="F6324">
        <v>0</v>
      </c>
    </row>
    <row r="6325" spans="1:6" x14ac:dyDescent="0.25">
      <c r="A6325" s="1">
        <v>45108</v>
      </c>
      <c r="B6325" t="s">
        <v>107</v>
      </c>
      <c r="C6325" t="s">
        <v>108</v>
      </c>
      <c r="D6325">
        <v>0</v>
      </c>
      <c r="E6325" s="2">
        <v>2091294.72</v>
      </c>
      <c r="F6325" s="2">
        <v>2091294.72</v>
      </c>
    </row>
    <row r="6326" spans="1:6" x14ac:dyDescent="0.25">
      <c r="A6326" s="1">
        <v>45108</v>
      </c>
      <c r="B6326" t="s">
        <v>23</v>
      </c>
      <c r="C6326" t="s">
        <v>710</v>
      </c>
      <c r="D6326" s="2">
        <v>-80685.13</v>
      </c>
      <c r="E6326">
        <v>0</v>
      </c>
      <c r="F6326" s="2">
        <v>31522.87</v>
      </c>
    </row>
    <row r="6327" spans="1:6" x14ac:dyDescent="0.25">
      <c r="A6327" s="1">
        <v>45108</v>
      </c>
      <c r="B6327" t="s">
        <v>50</v>
      </c>
      <c r="C6327" t="s">
        <v>596</v>
      </c>
      <c r="D6327" s="2">
        <v>458000</v>
      </c>
      <c r="E6327" s="2">
        <v>552278.4</v>
      </c>
      <c r="F6327" s="2">
        <v>533420.93000000005</v>
      </c>
    </row>
    <row r="6328" spans="1:6" x14ac:dyDescent="0.25">
      <c r="A6328" s="1">
        <v>45108</v>
      </c>
      <c r="B6328" t="s">
        <v>21</v>
      </c>
      <c r="C6328" t="s">
        <v>184</v>
      </c>
      <c r="D6328">
        <v>0</v>
      </c>
      <c r="E6328">
        <v>0</v>
      </c>
      <c r="F6328">
        <v>0</v>
      </c>
    </row>
    <row r="6329" spans="1:6" x14ac:dyDescent="0.25">
      <c r="A6329" s="1">
        <v>45108</v>
      </c>
      <c r="B6329" t="s">
        <v>17</v>
      </c>
      <c r="C6329" t="s">
        <v>935</v>
      </c>
      <c r="D6329" s="2">
        <v>2150000</v>
      </c>
      <c r="E6329" s="2">
        <v>1507699.99</v>
      </c>
      <c r="F6329" s="2">
        <v>1499999.99</v>
      </c>
    </row>
    <row r="6330" spans="1:6" x14ac:dyDescent="0.25">
      <c r="A6330" s="1">
        <v>45108</v>
      </c>
      <c r="B6330" t="s">
        <v>23</v>
      </c>
      <c r="C6330" t="s">
        <v>776</v>
      </c>
      <c r="D6330" s="2">
        <v>6081472.6399999997</v>
      </c>
      <c r="E6330" s="2">
        <v>44521922.469999999</v>
      </c>
      <c r="F6330" s="2">
        <v>47582328.640000001</v>
      </c>
    </row>
    <row r="6331" spans="1:6" x14ac:dyDescent="0.25">
      <c r="A6331" s="1">
        <v>45108</v>
      </c>
      <c r="B6331" t="s">
        <v>21</v>
      </c>
      <c r="C6331" t="s">
        <v>939</v>
      </c>
      <c r="D6331">
        <v>0</v>
      </c>
      <c r="E6331" s="2">
        <v>210235.12</v>
      </c>
      <c r="F6331" s="2">
        <v>210235.12</v>
      </c>
    </row>
    <row r="6332" spans="1:6" x14ac:dyDescent="0.25">
      <c r="A6332" s="1">
        <v>45108</v>
      </c>
      <c r="B6332" t="s">
        <v>40</v>
      </c>
      <c r="C6332" t="s">
        <v>629</v>
      </c>
      <c r="D6332" s="2">
        <v>541300</v>
      </c>
      <c r="E6332" s="2">
        <v>243247.32</v>
      </c>
      <c r="F6332" s="2">
        <v>252219.72</v>
      </c>
    </row>
    <row r="6333" spans="1:6" x14ac:dyDescent="0.25">
      <c r="A6333" s="1">
        <v>45108</v>
      </c>
      <c r="B6333" t="s">
        <v>23</v>
      </c>
      <c r="C6333" t="s">
        <v>157</v>
      </c>
      <c r="D6333" s="2">
        <v>62983.75</v>
      </c>
      <c r="E6333" s="2">
        <v>44975.42</v>
      </c>
      <c r="F6333" s="2">
        <v>44444.43</v>
      </c>
    </row>
    <row r="6334" spans="1:6" x14ac:dyDescent="0.25">
      <c r="A6334" s="1">
        <v>45108</v>
      </c>
      <c r="B6334" t="s">
        <v>37</v>
      </c>
      <c r="C6334" t="s">
        <v>387</v>
      </c>
      <c r="D6334" s="2">
        <v>138342525.22</v>
      </c>
      <c r="E6334" s="2">
        <v>149113926.44</v>
      </c>
      <c r="F6334" s="2">
        <v>122947849.09999999</v>
      </c>
    </row>
    <row r="6335" spans="1:6" x14ac:dyDescent="0.25">
      <c r="A6335" s="1">
        <v>45108</v>
      </c>
      <c r="B6335" t="s">
        <v>19</v>
      </c>
      <c r="C6335" t="s">
        <v>1050</v>
      </c>
      <c r="D6335">
        <v>0</v>
      </c>
      <c r="E6335" s="2">
        <v>45947.44</v>
      </c>
      <c r="F6335" s="2">
        <v>45947.44</v>
      </c>
    </row>
    <row r="6336" spans="1:6" x14ac:dyDescent="0.25">
      <c r="A6336" s="1">
        <v>45108</v>
      </c>
      <c r="B6336" t="s">
        <v>101</v>
      </c>
      <c r="C6336" t="s">
        <v>849</v>
      </c>
      <c r="D6336" s="2">
        <v>148502.39000000001</v>
      </c>
      <c r="E6336" s="2">
        <v>1172475.44</v>
      </c>
      <c r="F6336" s="2">
        <v>1016861.41</v>
      </c>
    </row>
    <row r="6337" spans="1:6" x14ac:dyDescent="0.25">
      <c r="A6337" s="1">
        <v>45108</v>
      </c>
      <c r="B6337" t="s">
        <v>11</v>
      </c>
      <c r="C6337" t="s">
        <v>479</v>
      </c>
      <c r="D6337">
        <v>0</v>
      </c>
      <c r="E6337" s="2">
        <v>373073009.16000003</v>
      </c>
      <c r="F6337" s="2">
        <v>373073009.16000003</v>
      </c>
    </row>
    <row r="6338" spans="1:6" x14ac:dyDescent="0.25">
      <c r="A6338" s="1">
        <v>45108</v>
      </c>
      <c r="B6338" t="s">
        <v>422</v>
      </c>
      <c r="C6338" t="s">
        <v>1045</v>
      </c>
      <c r="D6338" s="2">
        <v>24737600.850000001</v>
      </c>
      <c r="E6338">
        <v>0</v>
      </c>
      <c r="F6338">
        <v>0</v>
      </c>
    </row>
    <row r="6339" spans="1:6" x14ac:dyDescent="0.25">
      <c r="A6339" s="1">
        <v>45108</v>
      </c>
      <c r="B6339" t="s">
        <v>40</v>
      </c>
      <c r="C6339" t="s">
        <v>766</v>
      </c>
      <c r="D6339" s="2">
        <v>24063036.789999999</v>
      </c>
      <c r="E6339" s="2">
        <v>3782596.99</v>
      </c>
      <c r="F6339" s="2">
        <v>3506744.74</v>
      </c>
    </row>
    <row r="6340" spans="1:6" x14ac:dyDescent="0.25">
      <c r="A6340" s="1">
        <v>45108</v>
      </c>
      <c r="B6340" t="s">
        <v>46</v>
      </c>
      <c r="C6340" t="s">
        <v>584</v>
      </c>
      <c r="D6340" s="2">
        <v>138081.63</v>
      </c>
      <c r="E6340" s="2">
        <v>3688771.27</v>
      </c>
      <c r="F6340" s="2">
        <v>3336502.92</v>
      </c>
    </row>
    <row r="6341" spans="1:6" x14ac:dyDescent="0.25">
      <c r="A6341" s="1">
        <v>45108</v>
      </c>
      <c r="B6341" t="s">
        <v>37</v>
      </c>
      <c r="C6341" t="s">
        <v>676</v>
      </c>
      <c r="D6341" s="2">
        <v>-207811.25</v>
      </c>
      <c r="E6341" s="2">
        <v>1483430.29</v>
      </c>
      <c r="F6341" s="2">
        <v>1502646.97</v>
      </c>
    </row>
    <row r="6342" spans="1:6" x14ac:dyDescent="0.25">
      <c r="A6342" s="1">
        <v>45108</v>
      </c>
      <c r="B6342" t="s">
        <v>17</v>
      </c>
      <c r="C6342" t="s">
        <v>256</v>
      </c>
      <c r="D6342" s="2">
        <v>22677447.449999999</v>
      </c>
      <c r="E6342" s="2">
        <v>3769346.14</v>
      </c>
      <c r="F6342" s="2">
        <v>2702192.54</v>
      </c>
    </row>
    <row r="6343" spans="1:6" x14ac:dyDescent="0.25">
      <c r="A6343" s="1">
        <v>45108</v>
      </c>
      <c r="B6343" t="s">
        <v>278</v>
      </c>
      <c r="C6343" t="s">
        <v>481</v>
      </c>
      <c r="D6343" s="2">
        <v>95234773.060000002</v>
      </c>
      <c r="E6343" s="2">
        <v>100536002.03</v>
      </c>
      <c r="F6343" s="2">
        <v>100540200.02</v>
      </c>
    </row>
    <row r="6344" spans="1:6" x14ac:dyDescent="0.25">
      <c r="A6344" s="1">
        <v>45108</v>
      </c>
      <c r="B6344" t="s">
        <v>251</v>
      </c>
      <c r="C6344" t="s">
        <v>725</v>
      </c>
      <c r="D6344" s="2">
        <v>29755987.489999998</v>
      </c>
      <c r="E6344" s="2">
        <v>39477918.119999997</v>
      </c>
      <c r="F6344" s="2">
        <v>39477918.119999997</v>
      </c>
    </row>
    <row r="6345" spans="1:6" x14ac:dyDescent="0.25">
      <c r="A6345" s="1">
        <v>45108</v>
      </c>
      <c r="B6345" t="s">
        <v>98</v>
      </c>
      <c r="C6345" t="s">
        <v>1161</v>
      </c>
      <c r="D6345">
        <v>0</v>
      </c>
      <c r="E6345">
        <v>0</v>
      </c>
      <c r="F6345">
        <v>0</v>
      </c>
    </row>
    <row r="6346" spans="1:6" x14ac:dyDescent="0.25">
      <c r="A6346" s="1">
        <v>45108</v>
      </c>
      <c r="B6346" t="s">
        <v>23</v>
      </c>
      <c r="C6346" t="s">
        <v>874</v>
      </c>
      <c r="D6346" s="2">
        <v>3362565.12</v>
      </c>
      <c r="E6346" s="2">
        <v>455891.38</v>
      </c>
      <c r="F6346" s="2">
        <v>518496.54</v>
      </c>
    </row>
    <row r="6347" spans="1:6" x14ac:dyDescent="0.25">
      <c r="A6347" s="1">
        <v>45108</v>
      </c>
      <c r="B6347" t="s">
        <v>773</v>
      </c>
      <c r="C6347" t="s">
        <v>774</v>
      </c>
      <c r="D6347" s="2">
        <v>106247219.84</v>
      </c>
      <c r="E6347" s="2">
        <v>84311263.219999999</v>
      </c>
      <c r="F6347" s="2">
        <v>81298941.959999993</v>
      </c>
    </row>
    <row r="6348" spans="1:6" x14ac:dyDescent="0.25">
      <c r="A6348" s="1">
        <v>45108</v>
      </c>
      <c r="B6348" t="s">
        <v>40</v>
      </c>
      <c r="C6348" t="s">
        <v>1238</v>
      </c>
      <c r="D6348">
        <v>0</v>
      </c>
      <c r="E6348">
        <v>0</v>
      </c>
      <c r="F6348">
        <v>0</v>
      </c>
    </row>
    <row r="6349" spans="1:6" x14ac:dyDescent="0.25">
      <c r="A6349" s="1">
        <v>45108</v>
      </c>
      <c r="B6349" t="s">
        <v>50</v>
      </c>
      <c r="C6349" t="s">
        <v>243</v>
      </c>
      <c r="D6349">
        <v>0</v>
      </c>
      <c r="E6349" s="2">
        <v>8212811.9900000002</v>
      </c>
      <c r="F6349" s="2">
        <v>4178386.11</v>
      </c>
    </row>
    <row r="6350" spans="1:6" x14ac:dyDescent="0.25">
      <c r="A6350" s="1">
        <v>45108</v>
      </c>
      <c r="B6350" t="s">
        <v>23</v>
      </c>
      <c r="C6350" t="s">
        <v>343</v>
      </c>
      <c r="D6350" s="2">
        <v>486807914.54000002</v>
      </c>
      <c r="E6350" s="2">
        <v>39727476.049999997</v>
      </c>
      <c r="F6350" s="2">
        <v>39727476.049999997</v>
      </c>
    </row>
    <row r="6351" spans="1:6" x14ac:dyDescent="0.25">
      <c r="A6351" s="1">
        <v>45108</v>
      </c>
      <c r="B6351" t="s">
        <v>50</v>
      </c>
      <c r="C6351" t="s">
        <v>767</v>
      </c>
      <c r="D6351" s="2">
        <v>54212.6</v>
      </c>
      <c r="E6351" s="2">
        <v>148707.85</v>
      </c>
      <c r="F6351" s="2">
        <v>97449.18</v>
      </c>
    </row>
    <row r="6352" spans="1:6" x14ac:dyDescent="0.25">
      <c r="A6352" s="1">
        <v>45108</v>
      </c>
      <c r="B6352" t="s">
        <v>35</v>
      </c>
      <c r="C6352" t="s">
        <v>293</v>
      </c>
      <c r="D6352" s="2">
        <v>5168072.0999999996</v>
      </c>
      <c r="E6352" s="2">
        <v>16387913.470000001</v>
      </c>
      <c r="F6352" s="2">
        <v>15991298.949999999</v>
      </c>
    </row>
    <row r="6353" spans="1:6" x14ac:dyDescent="0.25">
      <c r="A6353" s="1">
        <v>45108</v>
      </c>
      <c r="B6353" t="s">
        <v>185</v>
      </c>
      <c r="C6353" t="s">
        <v>493</v>
      </c>
      <c r="D6353" s="2">
        <v>593522459.66999996</v>
      </c>
      <c r="E6353" s="2">
        <v>373342890.12</v>
      </c>
      <c r="F6353" s="2">
        <v>253865829.47</v>
      </c>
    </row>
    <row r="6354" spans="1:6" x14ac:dyDescent="0.25">
      <c r="A6354" s="1">
        <v>45108</v>
      </c>
      <c r="B6354" t="s">
        <v>25</v>
      </c>
      <c r="C6354" t="s">
        <v>373</v>
      </c>
      <c r="D6354" s="2">
        <v>317996.79999999999</v>
      </c>
      <c r="E6354" s="2">
        <v>79513.89</v>
      </c>
      <c r="F6354" s="2">
        <v>64339.63</v>
      </c>
    </row>
    <row r="6355" spans="1:6" x14ac:dyDescent="0.25">
      <c r="A6355" s="1">
        <v>45108</v>
      </c>
      <c r="B6355" t="s">
        <v>23</v>
      </c>
      <c r="C6355" t="s">
        <v>1015</v>
      </c>
      <c r="D6355" s="2">
        <v>126414.31</v>
      </c>
      <c r="E6355" s="2">
        <v>16203.54</v>
      </c>
      <c r="F6355" s="2">
        <v>16203.54</v>
      </c>
    </row>
    <row r="6356" spans="1:6" x14ac:dyDescent="0.25">
      <c r="A6356" s="1">
        <v>45108</v>
      </c>
      <c r="B6356" t="s">
        <v>25</v>
      </c>
      <c r="C6356" t="s">
        <v>865</v>
      </c>
      <c r="D6356" s="2">
        <v>2547767.58</v>
      </c>
      <c r="E6356" s="2">
        <v>551127.64</v>
      </c>
      <c r="F6356" s="2">
        <v>1746871.34</v>
      </c>
    </row>
    <row r="6357" spans="1:6" x14ac:dyDescent="0.25">
      <c r="A6357" s="1">
        <v>45108</v>
      </c>
      <c r="B6357" t="s">
        <v>17</v>
      </c>
      <c r="C6357" t="s">
        <v>1057</v>
      </c>
      <c r="D6357" s="2">
        <v>3319271.82</v>
      </c>
      <c r="E6357" s="2">
        <v>719271.82</v>
      </c>
      <c r="F6357" s="2">
        <v>719271.82</v>
      </c>
    </row>
    <row r="6358" spans="1:6" x14ac:dyDescent="0.25">
      <c r="A6358" s="1">
        <v>45108</v>
      </c>
      <c r="B6358" t="s">
        <v>933</v>
      </c>
      <c r="C6358" t="s">
        <v>934</v>
      </c>
      <c r="D6358">
        <v>0</v>
      </c>
      <c r="E6358" s="2">
        <v>1931.11</v>
      </c>
      <c r="F6358" s="2">
        <v>1931.11</v>
      </c>
    </row>
    <row r="6359" spans="1:6" x14ac:dyDescent="0.25">
      <c r="A6359" s="1">
        <v>45108</v>
      </c>
      <c r="B6359" t="s">
        <v>40</v>
      </c>
      <c r="C6359" t="s">
        <v>470</v>
      </c>
      <c r="D6359" s="2">
        <v>3081101.46</v>
      </c>
      <c r="E6359">
        <v>0</v>
      </c>
      <c r="F6359">
        <v>0</v>
      </c>
    </row>
    <row r="6360" spans="1:6" x14ac:dyDescent="0.25">
      <c r="A6360" s="1">
        <v>45108</v>
      </c>
      <c r="B6360" t="s">
        <v>29</v>
      </c>
      <c r="C6360" t="s">
        <v>653</v>
      </c>
      <c r="D6360" s="2">
        <v>1312000</v>
      </c>
      <c r="E6360" s="2">
        <v>1229035.6499999999</v>
      </c>
      <c r="F6360" s="2">
        <v>1229035.6499999999</v>
      </c>
    </row>
    <row r="6361" spans="1:6" x14ac:dyDescent="0.25">
      <c r="A6361" s="1">
        <v>45108</v>
      </c>
      <c r="B6361" t="s">
        <v>50</v>
      </c>
      <c r="C6361" t="s">
        <v>320</v>
      </c>
      <c r="D6361" s="2">
        <v>50007326.009999998</v>
      </c>
      <c r="E6361" s="2">
        <v>843584.38</v>
      </c>
      <c r="F6361" s="2">
        <v>843193.72</v>
      </c>
    </row>
    <row r="6362" spans="1:6" x14ac:dyDescent="0.25">
      <c r="A6362" s="1">
        <v>45108</v>
      </c>
      <c r="B6362" t="s">
        <v>46</v>
      </c>
      <c r="C6362" t="s">
        <v>86</v>
      </c>
      <c r="D6362" s="2">
        <v>474519.57</v>
      </c>
      <c r="E6362" s="2">
        <v>2259094.88</v>
      </c>
      <c r="F6362" s="2">
        <v>1933497.45</v>
      </c>
    </row>
    <row r="6363" spans="1:6" x14ac:dyDescent="0.25">
      <c r="A6363" s="1">
        <v>45108</v>
      </c>
      <c r="B6363" t="s">
        <v>23</v>
      </c>
      <c r="C6363" t="s">
        <v>347</v>
      </c>
      <c r="D6363" s="2">
        <v>2717512.06</v>
      </c>
      <c r="E6363" s="2">
        <v>102286114.2</v>
      </c>
      <c r="F6363" s="2">
        <v>102286114.2</v>
      </c>
    </row>
    <row r="6364" spans="1:6" x14ac:dyDescent="0.25">
      <c r="A6364" s="1">
        <v>45108</v>
      </c>
      <c r="B6364" t="s">
        <v>118</v>
      </c>
      <c r="C6364" t="s">
        <v>742</v>
      </c>
      <c r="D6364" s="2">
        <v>-22761.91</v>
      </c>
      <c r="E6364" s="2">
        <v>893917.74</v>
      </c>
      <c r="F6364" s="2">
        <v>1047732.11</v>
      </c>
    </row>
    <row r="6365" spans="1:6" x14ac:dyDescent="0.25">
      <c r="A6365" s="1">
        <v>45108</v>
      </c>
      <c r="B6365" t="s">
        <v>101</v>
      </c>
      <c r="C6365" t="s">
        <v>984</v>
      </c>
      <c r="D6365" s="2">
        <v>1305954.31</v>
      </c>
      <c r="E6365" s="2">
        <v>470288.79</v>
      </c>
      <c r="F6365" s="2">
        <v>470046.79</v>
      </c>
    </row>
    <row r="6366" spans="1:6" x14ac:dyDescent="0.25">
      <c r="A6366" s="1">
        <v>45108</v>
      </c>
      <c r="B6366" t="s">
        <v>118</v>
      </c>
      <c r="C6366" t="s">
        <v>1308</v>
      </c>
      <c r="D6366" s="2">
        <v>52885492</v>
      </c>
      <c r="E6366">
        <v>0</v>
      </c>
      <c r="F6366">
        <v>0</v>
      </c>
    </row>
    <row r="6367" spans="1:6" x14ac:dyDescent="0.25">
      <c r="A6367" s="1">
        <v>45108</v>
      </c>
      <c r="B6367" t="s">
        <v>21</v>
      </c>
      <c r="C6367" t="s">
        <v>652</v>
      </c>
      <c r="D6367" s="2">
        <v>41239152.32</v>
      </c>
      <c r="E6367" s="2">
        <v>20060286.300000001</v>
      </c>
      <c r="F6367" s="2">
        <v>17592217.039999999</v>
      </c>
    </row>
    <row r="6368" spans="1:6" x14ac:dyDescent="0.25">
      <c r="A6368" s="1">
        <v>45108</v>
      </c>
      <c r="B6368" t="s">
        <v>9</v>
      </c>
      <c r="C6368" t="s">
        <v>1151</v>
      </c>
      <c r="D6368" s="2">
        <v>1025656062</v>
      </c>
      <c r="E6368" s="2">
        <v>200000000</v>
      </c>
      <c r="F6368" s="2">
        <v>237740302</v>
      </c>
    </row>
    <row r="6369" spans="1:6" x14ac:dyDescent="0.25">
      <c r="A6369" s="1">
        <v>45108</v>
      </c>
      <c r="B6369" t="s">
        <v>23</v>
      </c>
      <c r="C6369" t="s">
        <v>854</v>
      </c>
      <c r="D6369" s="2">
        <v>-23752345.940000001</v>
      </c>
      <c r="E6369" s="2">
        <v>25250697.309999999</v>
      </c>
      <c r="F6369" s="2">
        <v>38286637.039999999</v>
      </c>
    </row>
    <row r="6370" spans="1:6" x14ac:dyDescent="0.25">
      <c r="A6370" s="1">
        <v>45108</v>
      </c>
      <c r="B6370" t="s">
        <v>185</v>
      </c>
      <c r="C6370" t="s">
        <v>304</v>
      </c>
      <c r="D6370" s="2">
        <v>126289033.48</v>
      </c>
      <c r="E6370" s="2">
        <v>213876153.59</v>
      </c>
      <c r="F6370" s="2">
        <v>241066883.09</v>
      </c>
    </row>
    <row r="6371" spans="1:6" x14ac:dyDescent="0.25">
      <c r="A6371" s="1">
        <v>45108</v>
      </c>
      <c r="B6371" t="s">
        <v>518</v>
      </c>
      <c r="C6371" t="s">
        <v>892</v>
      </c>
      <c r="D6371" s="2">
        <v>26490.81</v>
      </c>
      <c r="E6371" s="2">
        <v>95191.92</v>
      </c>
      <c r="F6371" s="2">
        <v>91440.68</v>
      </c>
    </row>
    <row r="6372" spans="1:6" x14ac:dyDescent="0.25">
      <c r="A6372" s="1">
        <v>45108</v>
      </c>
      <c r="B6372" t="s">
        <v>132</v>
      </c>
      <c r="C6372" t="s">
        <v>1309</v>
      </c>
      <c r="D6372" s="2">
        <v>28998</v>
      </c>
      <c r="E6372">
        <v>0</v>
      </c>
      <c r="F6372">
        <v>0</v>
      </c>
    </row>
    <row r="6373" spans="1:6" x14ac:dyDescent="0.25">
      <c r="A6373" s="1">
        <v>45108</v>
      </c>
      <c r="B6373" t="s">
        <v>125</v>
      </c>
      <c r="C6373" t="s">
        <v>126</v>
      </c>
      <c r="D6373" s="2">
        <v>1291144.78</v>
      </c>
      <c r="E6373" s="2">
        <v>1288893.28</v>
      </c>
      <c r="F6373" s="2">
        <v>1288893.28</v>
      </c>
    </row>
    <row r="6374" spans="1:6" x14ac:dyDescent="0.25">
      <c r="A6374" s="1">
        <v>45108</v>
      </c>
      <c r="B6374" t="s">
        <v>70</v>
      </c>
      <c r="C6374" t="s">
        <v>71</v>
      </c>
      <c r="D6374" s="2">
        <v>11737831</v>
      </c>
      <c r="E6374" s="2">
        <v>6596044.9199999999</v>
      </c>
      <c r="F6374" s="2">
        <v>10127301.99</v>
      </c>
    </row>
    <row r="6375" spans="1:6" x14ac:dyDescent="0.25">
      <c r="A6375" s="1">
        <v>45108</v>
      </c>
      <c r="B6375" t="s">
        <v>46</v>
      </c>
      <c r="C6375" t="s">
        <v>409</v>
      </c>
      <c r="D6375">
        <v>0</v>
      </c>
      <c r="E6375" s="2">
        <v>168696.29</v>
      </c>
      <c r="F6375" s="2">
        <v>169744.14</v>
      </c>
    </row>
    <row r="6376" spans="1:6" x14ac:dyDescent="0.25">
      <c r="A6376" s="1">
        <v>45108</v>
      </c>
      <c r="B6376" t="s">
        <v>31</v>
      </c>
      <c r="C6376" t="s">
        <v>855</v>
      </c>
      <c r="D6376" s="2">
        <v>-223116.51</v>
      </c>
      <c r="E6376">
        <v>0</v>
      </c>
      <c r="F6376">
        <v>0</v>
      </c>
    </row>
    <row r="6377" spans="1:6" x14ac:dyDescent="0.25">
      <c r="A6377" s="1">
        <v>45108</v>
      </c>
      <c r="B6377" t="s">
        <v>196</v>
      </c>
      <c r="C6377" t="s">
        <v>468</v>
      </c>
      <c r="D6377">
        <v>0</v>
      </c>
      <c r="E6377">
        <v>0</v>
      </c>
      <c r="F6377">
        <v>0</v>
      </c>
    </row>
    <row r="6378" spans="1:6" x14ac:dyDescent="0.25">
      <c r="A6378" s="1">
        <v>45108</v>
      </c>
      <c r="B6378" t="s">
        <v>154</v>
      </c>
      <c r="C6378" t="s">
        <v>467</v>
      </c>
      <c r="D6378" s="2">
        <v>239459.09</v>
      </c>
      <c r="E6378" s="2">
        <v>895796.52</v>
      </c>
      <c r="F6378" s="2">
        <v>718655.38</v>
      </c>
    </row>
    <row r="6379" spans="1:6" x14ac:dyDescent="0.25">
      <c r="A6379" s="1">
        <v>45108</v>
      </c>
      <c r="B6379" t="s">
        <v>966</v>
      </c>
      <c r="C6379" t="s">
        <v>416</v>
      </c>
      <c r="D6379">
        <v>0</v>
      </c>
      <c r="E6379">
        <v>0</v>
      </c>
      <c r="F6379">
        <v>0</v>
      </c>
    </row>
    <row r="6380" spans="1:6" x14ac:dyDescent="0.25">
      <c r="A6380" s="1">
        <v>45108</v>
      </c>
      <c r="B6380" t="s">
        <v>21</v>
      </c>
      <c r="C6380" t="s">
        <v>1133</v>
      </c>
      <c r="D6380" s="2">
        <v>1710294.49</v>
      </c>
      <c r="E6380" s="2">
        <v>409975.51</v>
      </c>
      <c r="F6380" s="2">
        <v>397174.04</v>
      </c>
    </row>
    <row r="6381" spans="1:6" x14ac:dyDescent="0.25">
      <c r="A6381" s="1">
        <v>45108</v>
      </c>
      <c r="B6381" t="s">
        <v>50</v>
      </c>
      <c r="C6381" t="s">
        <v>594</v>
      </c>
      <c r="D6381" s="2">
        <v>2598245.9700000002</v>
      </c>
      <c r="E6381" s="2">
        <v>10967125.41</v>
      </c>
      <c r="F6381" s="2">
        <v>10867167.6</v>
      </c>
    </row>
    <row r="6382" spans="1:6" x14ac:dyDescent="0.25">
      <c r="A6382" s="1">
        <v>45108</v>
      </c>
      <c r="B6382" t="s">
        <v>132</v>
      </c>
      <c r="C6382" t="s">
        <v>469</v>
      </c>
      <c r="D6382" s="2">
        <v>60072670.090000004</v>
      </c>
      <c r="E6382" s="2">
        <v>95350391.950000003</v>
      </c>
      <c r="F6382" s="2">
        <v>103165513.09</v>
      </c>
    </row>
    <row r="6383" spans="1:6" x14ac:dyDescent="0.25">
      <c r="A6383" s="1">
        <v>45108</v>
      </c>
      <c r="B6383" t="s">
        <v>278</v>
      </c>
      <c r="C6383" t="s">
        <v>572</v>
      </c>
      <c r="D6383" s="2">
        <v>180396606.47999999</v>
      </c>
      <c r="E6383" s="2">
        <v>271491073.30000001</v>
      </c>
      <c r="F6383" s="2">
        <v>271491073.30000001</v>
      </c>
    </row>
    <row r="6384" spans="1:6" x14ac:dyDescent="0.25">
      <c r="A6384" s="1">
        <v>45108</v>
      </c>
      <c r="B6384" t="s">
        <v>19</v>
      </c>
      <c r="C6384" t="s">
        <v>168</v>
      </c>
      <c r="D6384" s="2">
        <v>770756.84</v>
      </c>
      <c r="E6384" s="2">
        <v>380804.66</v>
      </c>
      <c r="F6384" s="2">
        <v>404691.28</v>
      </c>
    </row>
    <row r="6385" spans="1:6" x14ac:dyDescent="0.25">
      <c r="A6385" s="1">
        <v>45108</v>
      </c>
      <c r="B6385" t="s">
        <v>114</v>
      </c>
      <c r="C6385" t="s">
        <v>597</v>
      </c>
      <c r="D6385" s="2">
        <v>35011290.07</v>
      </c>
      <c r="E6385" s="2">
        <v>1664032.04</v>
      </c>
      <c r="F6385" s="2">
        <v>1799984.6</v>
      </c>
    </row>
    <row r="6386" spans="1:6" x14ac:dyDescent="0.25">
      <c r="A6386" s="1">
        <v>45108</v>
      </c>
      <c r="B6386" t="s">
        <v>251</v>
      </c>
      <c r="C6386" t="s">
        <v>808</v>
      </c>
      <c r="D6386" s="2">
        <v>21800482.309999999</v>
      </c>
      <c r="E6386" s="2">
        <v>134454767.47999999</v>
      </c>
      <c r="F6386" s="2">
        <v>135811539.21000001</v>
      </c>
    </row>
    <row r="6387" spans="1:6" x14ac:dyDescent="0.25">
      <c r="A6387" s="1">
        <v>45108</v>
      </c>
      <c r="B6387" t="s">
        <v>40</v>
      </c>
      <c r="C6387" t="s">
        <v>450</v>
      </c>
      <c r="D6387" s="2">
        <v>19584.16</v>
      </c>
      <c r="E6387" s="2">
        <v>569781.01</v>
      </c>
      <c r="F6387" s="2">
        <v>564867.13</v>
      </c>
    </row>
    <row r="6388" spans="1:6" x14ac:dyDescent="0.25">
      <c r="A6388" s="1">
        <v>45108</v>
      </c>
      <c r="B6388" t="s">
        <v>114</v>
      </c>
      <c r="C6388" t="s">
        <v>136</v>
      </c>
      <c r="D6388" s="2">
        <v>18287926.550000001</v>
      </c>
      <c r="E6388" s="2">
        <v>1725278.95</v>
      </c>
      <c r="F6388" s="2">
        <v>1725344.47</v>
      </c>
    </row>
    <row r="6389" spans="1:6" x14ac:dyDescent="0.25">
      <c r="A6389" s="1">
        <v>45108</v>
      </c>
      <c r="B6389" t="s">
        <v>19</v>
      </c>
      <c r="C6389" t="s">
        <v>1002</v>
      </c>
      <c r="D6389" s="2">
        <v>85000</v>
      </c>
      <c r="E6389" s="2">
        <v>56786.14</v>
      </c>
      <c r="F6389" s="2">
        <v>60112.62</v>
      </c>
    </row>
    <row r="6390" spans="1:6" x14ac:dyDescent="0.25">
      <c r="A6390" s="1">
        <v>45108</v>
      </c>
      <c r="B6390" t="s">
        <v>422</v>
      </c>
      <c r="C6390" t="s">
        <v>678</v>
      </c>
      <c r="D6390">
        <v>0</v>
      </c>
      <c r="E6390">
        <v>0</v>
      </c>
      <c r="F6390">
        <v>0</v>
      </c>
    </row>
    <row r="6391" spans="1:6" x14ac:dyDescent="0.25">
      <c r="A6391" s="1">
        <v>45108</v>
      </c>
      <c r="B6391" t="s">
        <v>23</v>
      </c>
      <c r="C6391" t="s">
        <v>1012</v>
      </c>
      <c r="D6391" s="2">
        <v>-132724.49</v>
      </c>
      <c r="E6391" s="2">
        <v>210401.87</v>
      </c>
      <c r="F6391" s="2">
        <v>217252.78</v>
      </c>
    </row>
    <row r="6392" spans="1:6" x14ac:dyDescent="0.25">
      <c r="A6392" s="1">
        <v>45108</v>
      </c>
      <c r="B6392" t="s">
        <v>46</v>
      </c>
      <c r="C6392" t="s">
        <v>712</v>
      </c>
      <c r="D6392" s="2">
        <v>300000</v>
      </c>
      <c r="E6392" s="2">
        <v>867924.39</v>
      </c>
      <c r="F6392" s="2">
        <v>27165537.620000001</v>
      </c>
    </row>
    <row r="6393" spans="1:6" x14ac:dyDescent="0.25">
      <c r="A6393" s="1">
        <v>45108</v>
      </c>
      <c r="B6393" t="s">
        <v>118</v>
      </c>
      <c r="C6393" t="s">
        <v>277</v>
      </c>
      <c r="D6393" s="2">
        <v>307025.8</v>
      </c>
      <c r="E6393" s="2">
        <v>308131.55</v>
      </c>
      <c r="F6393" s="2">
        <v>306969.21999999997</v>
      </c>
    </row>
    <row r="6394" spans="1:6" x14ac:dyDescent="0.25">
      <c r="A6394" s="1">
        <v>45108</v>
      </c>
      <c r="B6394" t="s">
        <v>23</v>
      </c>
      <c r="C6394" t="s">
        <v>715</v>
      </c>
      <c r="D6394" s="2">
        <v>140682.16</v>
      </c>
      <c r="E6394" s="2">
        <v>760107.32</v>
      </c>
      <c r="F6394" s="2">
        <v>512797.64</v>
      </c>
    </row>
    <row r="6395" spans="1:6" x14ac:dyDescent="0.25">
      <c r="A6395" s="1">
        <v>45108</v>
      </c>
      <c r="B6395" t="s">
        <v>402</v>
      </c>
      <c r="C6395" t="s">
        <v>403</v>
      </c>
      <c r="D6395">
        <v>0</v>
      </c>
      <c r="E6395">
        <v>0</v>
      </c>
      <c r="F6395">
        <v>0</v>
      </c>
    </row>
    <row r="6396" spans="1:6" x14ac:dyDescent="0.25">
      <c r="A6396" s="1">
        <v>45108</v>
      </c>
      <c r="B6396" t="s">
        <v>17</v>
      </c>
      <c r="C6396" t="s">
        <v>350</v>
      </c>
      <c r="D6396" s="2">
        <v>16735545.15</v>
      </c>
      <c r="E6396" s="2">
        <v>7754363.9900000002</v>
      </c>
      <c r="F6396" s="2">
        <v>6245875.9900000002</v>
      </c>
    </row>
    <row r="6397" spans="1:6" x14ac:dyDescent="0.25">
      <c r="A6397" s="1">
        <v>45108</v>
      </c>
      <c r="B6397" t="s">
        <v>75</v>
      </c>
      <c r="C6397" t="s">
        <v>85</v>
      </c>
      <c r="D6397" s="2">
        <v>225587.15</v>
      </c>
      <c r="E6397" s="2">
        <v>629880.06000000006</v>
      </c>
      <c r="F6397" s="2">
        <v>166604.79999999999</v>
      </c>
    </row>
    <row r="6398" spans="1:6" x14ac:dyDescent="0.25">
      <c r="A6398" s="1">
        <v>45108</v>
      </c>
      <c r="B6398" t="s">
        <v>13</v>
      </c>
      <c r="C6398" t="s">
        <v>446</v>
      </c>
      <c r="D6398" s="2">
        <v>41900851.920000002</v>
      </c>
      <c r="E6398" s="2">
        <v>33419585.109999999</v>
      </c>
      <c r="F6398" s="2">
        <v>35950511.710000001</v>
      </c>
    </row>
    <row r="6399" spans="1:6" x14ac:dyDescent="0.25">
      <c r="A6399" s="1">
        <v>45108</v>
      </c>
      <c r="B6399" t="s">
        <v>63</v>
      </c>
      <c r="C6399" t="s">
        <v>142</v>
      </c>
      <c r="D6399" s="2">
        <v>1320232.56</v>
      </c>
      <c r="E6399">
        <v>0</v>
      </c>
      <c r="F6399">
        <v>0</v>
      </c>
    </row>
    <row r="6400" spans="1:6" x14ac:dyDescent="0.25">
      <c r="A6400" s="1">
        <v>45108</v>
      </c>
      <c r="B6400" t="s">
        <v>68</v>
      </c>
      <c r="C6400" t="s">
        <v>810</v>
      </c>
      <c r="D6400" s="2">
        <v>2141794.06</v>
      </c>
      <c r="E6400" s="2">
        <v>2385582.8199999998</v>
      </c>
      <c r="F6400" s="2">
        <v>2329536.6800000002</v>
      </c>
    </row>
    <row r="6401" spans="1:6" x14ac:dyDescent="0.25">
      <c r="A6401" s="1">
        <v>45108</v>
      </c>
      <c r="B6401" t="s">
        <v>63</v>
      </c>
      <c r="C6401" t="s">
        <v>483</v>
      </c>
      <c r="D6401" s="2">
        <v>10077969</v>
      </c>
      <c r="E6401">
        <v>0</v>
      </c>
      <c r="F6401">
        <v>0</v>
      </c>
    </row>
    <row r="6402" spans="1:6" x14ac:dyDescent="0.25">
      <c r="A6402" s="1">
        <v>45108</v>
      </c>
      <c r="B6402" t="s">
        <v>40</v>
      </c>
      <c r="C6402" t="s">
        <v>815</v>
      </c>
      <c r="D6402">
        <v>90.22</v>
      </c>
      <c r="E6402" s="2">
        <v>42016.62</v>
      </c>
      <c r="F6402" s="2">
        <v>42016.62</v>
      </c>
    </row>
    <row r="6403" spans="1:6" x14ac:dyDescent="0.25">
      <c r="A6403" s="1">
        <v>45108</v>
      </c>
      <c r="B6403" t="s">
        <v>53</v>
      </c>
      <c r="C6403" t="s">
        <v>495</v>
      </c>
      <c r="D6403" s="2">
        <v>234400</v>
      </c>
      <c r="E6403" s="2">
        <v>376400</v>
      </c>
      <c r="F6403" s="2">
        <v>376400</v>
      </c>
    </row>
    <row r="6404" spans="1:6" x14ac:dyDescent="0.25">
      <c r="A6404" s="1">
        <v>45108</v>
      </c>
      <c r="B6404" t="s">
        <v>196</v>
      </c>
      <c r="C6404" t="s">
        <v>806</v>
      </c>
      <c r="D6404">
        <v>0</v>
      </c>
      <c r="E6404">
        <v>0</v>
      </c>
      <c r="F6404">
        <v>0</v>
      </c>
    </row>
    <row r="6405" spans="1:6" x14ac:dyDescent="0.25">
      <c r="A6405" s="1">
        <v>45108</v>
      </c>
      <c r="B6405" t="s">
        <v>79</v>
      </c>
      <c r="C6405" t="s">
        <v>80</v>
      </c>
      <c r="D6405">
        <v>0</v>
      </c>
      <c r="E6405">
        <v>0</v>
      </c>
      <c r="F6405">
        <v>0</v>
      </c>
    </row>
    <row r="6406" spans="1:6" x14ac:dyDescent="0.25">
      <c r="A6406" s="1">
        <v>45108</v>
      </c>
      <c r="B6406" t="s">
        <v>15</v>
      </c>
      <c r="C6406" t="s">
        <v>732</v>
      </c>
      <c r="D6406" s="2">
        <v>2200000</v>
      </c>
      <c r="E6406">
        <v>0</v>
      </c>
      <c r="F6406">
        <v>0</v>
      </c>
    </row>
    <row r="6407" spans="1:6" x14ac:dyDescent="0.25">
      <c r="A6407" s="1">
        <v>45108</v>
      </c>
      <c r="B6407" t="s">
        <v>21</v>
      </c>
      <c r="C6407" t="s">
        <v>527</v>
      </c>
      <c r="D6407" s="2">
        <v>69307.05</v>
      </c>
      <c r="E6407" s="2">
        <v>6383025.0300000003</v>
      </c>
      <c r="F6407" s="2">
        <v>5695284.5599999996</v>
      </c>
    </row>
    <row r="6408" spans="1:6" x14ac:dyDescent="0.25">
      <c r="A6408" s="1">
        <v>45108</v>
      </c>
      <c r="B6408" t="s">
        <v>92</v>
      </c>
      <c r="C6408" t="s">
        <v>381</v>
      </c>
      <c r="D6408" s="2">
        <v>99694.99</v>
      </c>
      <c r="E6408" s="2">
        <v>492269.43</v>
      </c>
      <c r="F6408" s="2">
        <v>492664.64</v>
      </c>
    </row>
    <row r="6409" spans="1:6" x14ac:dyDescent="0.25">
      <c r="A6409" s="1">
        <v>45108</v>
      </c>
      <c r="B6409" t="s">
        <v>40</v>
      </c>
      <c r="C6409" t="s">
        <v>388</v>
      </c>
      <c r="D6409" s="2">
        <v>127000</v>
      </c>
      <c r="E6409" s="2">
        <v>184425.12</v>
      </c>
      <c r="F6409" s="2">
        <v>184425.12</v>
      </c>
    </row>
    <row r="6410" spans="1:6" x14ac:dyDescent="0.25">
      <c r="A6410" s="1">
        <v>45108</v>
      </c>
      <c r="B6410" t="s">
        <v>23</v>
      </c>
      <c r="C6410" t="s">
        <v>580</v>
      </c>
      <c r="D6410" s="2">
        <v>8086.98</v>
      </c>
      <c r="E6410" s="2">
        <v>44768.24</v>
      </c>
      <c r="F6410" s="2">
        <v>67618.2</v>
      </c>
    </row>
    <row r="6411" spans="1:6" x14ac:dyDescent="0.25">
      <c r="A6411" s="1">
        <v>45108</v>
      </c>
      <c r="B6411" t="s">
        <v>422</v>
      </c>
      <c r="C6411" t="s">
        <v>1035</v>
      </c>
      <c r="D6411">
        <v>0</v>
      </c>
      <c r="E6411">
        <v>-50</v>
      </c>
      <c r="F6411">
        <v>-50</v>
      </c>
    </row>
    <row r="6412" spans="1:6" x14ac:dyDescent="0.25">
      <c r="A6412" s="1">
        <v>45108</v>
      </c>
      <c r="B6412" t="s">
        <v>619</v>
      </c>
      <c r="C6412" t="s">
        <v>848</v>
      </c>
      <c r="D6412" s="2">
        <v>531079.57999999996</v>
      </c>
      <c r="E6412" s="2">
        <v>725641.08</v>
      </c>
      <c r="F6412" s="2">
        <v>658718.51</v>
      </c>
    </row>
    <row r="6413" spans="1:6" x14ac:dyDescent="0.25">
      <c r="A6413" s="1">
        <v>45108</v>
      </c>
      <c r="B6413" t="s">
        <v>23</v>
      </c>
      <c r="C6413" t="s">
        <v>807</v>
      </c>
      <c r="D6413" s="2">
        <v>3471919.33</v>
      </c>
      <c r="E6413" s="2">
        <v>442794.37</v>
      </c>
      <c r="F6413" s="2">
        <v>366938.41</v>
      </c>
    </row>
    <row r="6414" spans="1:6" x14ac:dyDescent="0.25">
      <c r="A6414" s="1">
        <v>45108</v>
      </c>
      <c r="B6414" t="s">
        <v>726</v>
      </c>
      <c r="C6414" t="s">
        <v>871</v>
      </c>
      <c r="D6414" s="2">
        <v>335391.48</v>
      </c>
      <c r="E6414" s="2">
        <v>352238.05</v>
      </c>
      <c r="F6414" s="2">
        <v>839064.6</v>
      </c>
    </row>
    <row r="6415" spans="1:6" x14ac:dyDescent="0.25">
      <c r="A6415" s="1">
        <v>45108</v>
      </c>
      <c r="B6415" t="s">
        <v>19</v>
      </c>
      <c r="C6415" t="s">
        <v>733</v>
      </c>
      <c r="D6415">
        <v>0</v>
      </c>
      <c r="E6415" s="2">
        <v>1456.06</v>
      </c>
      <c r="F6415" s="2">
        <v>1428.68</v>
      </c>
    </row>
    <row r="6416" spans="1:6" x14ac:dyDescent="0.25">
      <c r="A6416" s="1">
        <v>45108</v>
      </c>
      <c r="B6416" t="s">
        <v>50</v>
      </c>
      <c r="C6416" t="s">
        <v>689</v>
      </c>
      <c r="D6416" s="2">
        <v>19442.88</v>
      </c>
      <c r="E6416" s="2">
        <v>286590.96999999997</v>
      </c>
      <c r="F6416" s="2">
        <v>279064.06</v>
      </c>
    </row>
    <row r="6417" spans="1:6" x14ac:dyDescent="0.25">
      <c r="A6417" s="1">
        <v>45108</v>
      </c>
      <c r="B6417" t="s">
        <v>42</v>
      </c>
      <c r="C6417" t="s">
        <v>1087</v>
      </c>
      <c r="D6417" s="2">
        <v>20526</v>
      </c>
      <c r="E6417" s="2">
        <v>20526</v>
      </c>
      <c r="F6417" s="2">
        <v>20526</v>
      </c>
    </row>
    <row r="6418" spans="1:6" x14ac:dyDescent="0.25">
      <c r="A6418" s="1">
        <v>45108</v>
      </c>
      <c r="B6418" t="s">
        <v>98</v>
      </c>
      <c r="C6418" t="s">
        <v>322</v>
      </c>
      <c r="D6418">
        <v>0</v>
      </c>
      <c r="E6418">
        <v>0</v>
      </c>
      <c r="F6418">
        <v>0</v>
      </c>
    </row>
    <row r="6419" spans="1:6" x14ac:dyDescent="0.25">
      <c r="A6419" s="1">
        <v>45108</v>
      </c>
      <c r="B6419" t="s">
        <v>216</v>
      </c>
      <c r="C6419" t="s">
        <v>217</v>
      </c>
      <c r="D6419">
        <v>0</v>
      </c>
      <c r="E6419">
        <v>0</v>
      </c>
      <c r="F6419">
        <v>0</v>
      </c>
    </row>
    <row r="6420" spans="1:6" x14ac:dyDescent="0.25">
      <c r="A6420" s="1">
        <v>45108</v>
      </c>
      <c r="B6420" t="s">
        <v>40</v>
      </c>
      <c r="C6420" t="s">
        <v>931</v>
      </c>
      <c r="D6420">
        <v>0</v>
      </c>
      <c r="E6420" s="2">
        <v>63867.81</v>
      </c>
      <c r="F6420" s="2">
        <v>69739.61</v>
      </c>
    </row>
    <row r="6421" spans="1:6" x14ac:dyDescent="0.25">
      <c r="A6421" s="1">
        <v>45108</v>
      </c>
      <c r="B6421" t="s">
        <v>17</v>
      </c>
      <c r="C6421" t="s">
        <v>1034</v>
      </c>
      <c r="D6421">
        <v>0</v>
      </c>
      <c r="E6421">
        <v>0</v>
      </c>
      <c r="F6421">
        <v>0</v>
      </c>
    </row>
    <row r="6422" spans="1:6" x14ac:dyDescent="0.25">
      <c r="A6422" s="1">
        <v>45108</v>
      </c>
      <c r="B6422" t="s">
        <v>44</v>
      </c>
      <c r="C6422" t="s">
        <v>684</v>
      </c>
      <c r="D6422" s="2">
        <v>1410583.14</v>
      </c>
      <c r="E6422" s="2">
        <v>702242.95</v>
      </c>
      <c r="F6422" s="2">
        <v>699642.24</v>
      </c>
    </row>
    <row r="6423" spans="1:6" x14ac:dyDescent="0.25">
      <c r="A6423" s="1">
        <v>45108</v>
      </c>
      <c r="B6423" t="s">
        <v>23</v>
      </c>
      <c r="C6423" t="s">
        <v>371</v>
      </c>
      <c r="D6423">
        <v>334.83</v>
      </c>
      <c r="E6423" s="2">
        <v>9067.42</v>
      </c>
      <c r="F6423" s="2">
        <v>2625.47</v>
      </c>
    </row>
    <row r="6424" spans="1:6" x14ac:dyDescent="0.25">
      <c r="A6424" s="1">
        <v>45108</v>
      </c>
      <c r="B6424" t="s">
        <v>132</v>
      </c>
      <c r="C6424" t="s">
        <v>375</v>
      </c>
      <c r="D6424" s="2">
        <v>1090000</v>
      </c>
      <c r="E6424" s="2">
        <v>1090000</v>
      </c>
      <c r="F6424" s="2">
        <v>1090000</v>
      </c>
    </row>
    <row r="6425" spans="1:6" x14ac:dyDescent="0.25">
      <c r="A6425" s="1">
        <v>45108</v>
      </c>
      <c r="B6425" t="s">
        <v>50</v>
      </c>
      <c r="C6425" t="s">
        <v>438</v>
      </c>
      <c r="D6425">
        <v>0</v>
      </c>
      <c r="E6425" s="2">
        <v>9236.1299999999992</v>
      </c>
      <c r="F6425" s="2">
        <v>110361.43</v>
      </c>
    </row>
    <row r="6426" spans="1:6" x14ac:dyDescent="0.25">
      <c r="A6426" s="1">
        <v>45108</v>
      </c>
      <c r="B6426" t="s">
        <v>101</v>
      </c>
      <c r="C6426" t="s">
        <v>780</v>
      </c>
      <c r="D6426" s="2">
        <v>5932708.9000000004</v>
      </c>
      <c r="E6426" s="2">
        <v>1930120.31</v>
      </c>
      <c r="F6426" s="2">
        <v>1702900.92</v>
      </c>
    </row>
    <row r="6427" spans="1:6" x14ac:dyDescent="0.25">
      <c r="A6427" s="1">
        <v>45108</v>
      </c>
      <c r="B6427" t="s">
        <v>118</v>
      </c>
      <c r="C6427" t="s">
        <v>639</v>
      </c>
      <c r="D6427" s="2">
        <v>8952913.8900000006</v>
      </c>
      <c r="E6427" s="2">
        <v>1550974.81</v>
      </c>
      <c r="F6427" s="2">
        <v>3148117.92</v>
      </c>
    </row>
    <row r="6428" spans="1:6" x14ac:dyDescent="0.25">
      <c r="A6428" s="1">
        <v>45108</v>
      </c>
      <c r="B6428" t="s">
        <v>648</v>
      </c>
      <c r="C6428" t="s">
        <v>1219</v>
      </c>
      <c r="D6428">
        <v>0</v>
      </c>
      <c r="E6428" s="2">
        <v>3244777.6</v>
      </c>
      <c r="F6428" s="2">
        <v>3244777.6</v>
      </c>
    </row>
    <row r="6429" spans="1:6" x14ac:dyDescent="0.25">
      <c r="A6429" s="1">
        <v>45108</v>
      </c>
      <c r="B6429" t="s">
        <v>42</v>
      </c>
      <c r="C6429" t="s">
        <v>1207</v>
      </c>
      <c r="D6429">
        <v>0</v>
      </c>
      <c r="E6429" s="2">
        <v>-36502.42</v>
      </c>
      <c r="F6429" s="2">
        <v>-36502.42</v>
      </c>
    </row>
    <row r="6430" spans="1:6" x14ac:dyDescent="0.25">
      <c r="A6430" s="1">
        <v>45108</v>
      </c>
      <c r="B6430" t="s">
        <v>196</v>
      </c>
      <c r="C6430" t="s">
        <v>890</v>
      </c>
      <c r="D6430">
        <v>0</v>
      </c>
      <c r="E6430">
        <v>0</v>
      </c>
      <c r="F6430">
        <v>0</v>
      </c>
    </row>
    <row r="6431" spans="1:6" x14ac:dyDescent="0.25">
      <c r="A6431" s="1">
        <v>45108</v>
      </c>
      <c r="B6431" t="s">
        <v>21</v>
      </c>
      <c r="C6431" t="s">
        <v>790</v>
      </c>
      <c r="D6431" s="2">
        <v>4732009.32</v>
      </c>
      <c r="E6431" s="2">
        <v>7633360.54</v>
      </c>
      <c r="F6431" s="2">
        <v>9024414.2599999998</v>
      </c>
    </row>
    <row r="6432" spans="1:6" x14ac:dyDescent="0.25">
      <c r="A6432" s="1">
        <v>45108</v>
      </c>
      <c r="B6432" t="s">
        <v>92</v>
      </c>
      <c r="C6432" t="s">
        <v>862</v>
      </c>
      <c r="D6432" s="2">
        <v>449062.98</v>
      </c>
      <c r="E6432" s="2">
        <v>536615.38</v>
      </c>
      <c r="F6432" s="2">
        <v>536615.38</v>
      </c>
    </row>
    <row r="6433" spans="1:6" x14ac:dyDescent="0.25">
      <c r="A6433" s="1">
        <v>45108</v>
      </c>
      <c r="B6433" t="s">
        <v>23</v>
      </c>
      <c r="C6433" t="s">
        <v>1020</v>
      </c>
      <c r="D6433" s="2">
        <v>35934.629999999997</v>
      </c>
      <c r="E6433" s="2">
        <v>365686.94</v>
      </c>
      <c r="F6433" s="2">
        <v>50155.22</v>
      </c>
    </row>
    <row r="6434" spans="1:6" x14ac:dyDescent="0.25">
      <c r="A6434" s="1">
        <v>45108</v>
      </c>
      <c r="B6434" t="s">
        <v>68</v>
      </c>
      <c r="C6434" t="s">
        <v>69</v>
      </c>
      <c r="D6434">
        <v>0</v>
      </c>
      <c r="E6434">
        <v>0</v>
      </c>
      <c r="F6434">
        <v>0</v>
      </c>
    </row>
    <row r="6435" spans="1:6" x14ac:dyDescent="0.25">
      <c r="A6435" s="1">
        <v>45108</v>
      </c>
      <c r="B6435" t="s">
        <v>251</v>
      </c>
      <c r="C6435" t="s">
        <v>332</v>
      </c>
      <c r="D6435">
        <v>0</v>
      </c>
      <c r="E6435" s="2">
        <v>52261555.810000002</v>
      </c>
      <c r="F6435" s="2">
        <v>52261555.810000002</v>
      </c>
    </row>
    <row r="6436" spans="1:6" x14ac:dyDescent="0.25">
      <c r="A6436" s="1">
        <v>45108</v>
      </c>
      <c r="B6436" t="s">
        <v>154</v>
      </c>
      <c r="C6436" t="s">
        <v>716</v>
      </c>
      <c r="D6436" s="2">
        <v>194891.93</v>
      </c>
      <c r="E6436" s="2">
        <v>1021403.52</v>
      </c>
      <c r="F6436" s="2">
        <v>1018708.96</v>
      </c>
    </row>
    <row r="6437" spans="1:6" x14ac:dyDescent="0.25">
      <c r="A6437" s="1">
        <v>45108</v>
      </c>
      <c r="B6437" t="s">
        <v>17</v>
      </c>
      <c r="C6437" t="s">
        <v>67</v>
      </c>
      <c r="D6437" s="2">
        <v>47200</v>
      </c>
      <c r="E6437" s="2">
        <v>92900</v>
      </c>
      <c r="F6437" s="2">
        <v>45700</v>
      </c>
    </row>
    <row r="6438" spans="1:6" x14ac:dyDescent="0.25">
      <c r="A6438" s="1">
        <v>45108</v>
      </c>
      <c r="B6438" t="s">
        <v>65</v>
      </c>
      <c r="C6438" t="s">
        <v>883</v>
      </c>
      <c r="D6438" s="2">
        <v>289073432.66000003</v>
      </c>
      <c r="E6438" s="2">
        <v>5363354.74</v>
      </c>
      <c r="F6438" s="2">
        <v>5283591.45</v>
      </c>
    </row>
    <row r="6439" spans="1:6" x14ac:dyDescent="0.25">
      <c r="A6439" s="1">
        <v>45108</v>
      </c>
      <c r="B6439" t="s">
        <v>11</v>
      </c>
      <c r="C6439" t="s">
        <v>195</v>
      </c>
      <c r="D6439" s="2">
        <v>173611115.06999999</v>
      </c>
      <c r="E6439" s="2">
        <v>173602513.88</v>
      </c>
      <c r="F6439" s="2">
        <v>248215952.83000001</v>
      </c>
    </row>
    <row r="6440" spans="1:6" x14ac:dyDescent="0.25">
      <c r="A6440" s="1">
        <v>45108</v>
      </c>
      <c r="B6440" t="s">
        <v>46</v>
      </c>
      <c r="C6440" t="s">
        <v>295</v>
      </c>
      <c r="D6440" s="2">
        <v>2291893.31</v>
      </c>
      <c r="E6440" s="2">
        <v>1171016</v>
      </c>
      <c r="F6440" s="2">
        <v>902239.05</v>
      </c>
    </row>
    <row r="6441" spans="1:6" x14ac:dyDescent="0.25">
      <c r="A6441" s="1">
        <v>45108</v>
      </c>
      <c r="B6441" t="s">
        <v>13</v>
      </c>
      <c r="C6441" t="s">
        <v>475</v>
      </c>
      <c r="D6441" s="2">
        <v>144500</v>
      </c>
      <c r="E6441" s="2">
        <v>368938.97</v>
      </c>
      <c r="F6441" s="2">
        <v>377704.55</v>
      </c>
    </row>
    <row r="6442" spans="1:6" x14ac:dyDescent="0.25">
      <c r="A6442" s="1">
        <v>45108</v>
      </c>
      <c r="B6442" t="s">
        <v>40</v>
      </c>
      <c r="C6442" t="s">
        <v>802</v>
      </c>
      <c r="D6442" s="2">
        <v>-5096325.2</v>
      </c>
      <c r="E6442" s="2">
        <v>119949920.78</v>
      </c>
      <c r="F6442" s="2">
        <v>172929756.03999999</v>
      </c>
    </row>
    <row r="6443" spans="1:6" x14ac:dyDescent="0.25">
      <c r="A6443" s="1">
        <v>45108</v>
      </c>
      <c r="B6443" t="s">
        <v>441</v>
      </c>
      <c r="C6443" t="s">
        <v>1273</v>
      </c>
      <c r="D6443">
        <v>0</v>
      </c>
      <c r="E6443">
        <v>0</v>
      </c>
      <c r="F6443">
        <v>0</v>
      </c>
    </row>
    <row r="6444" spans="1:6" x14ac:dyDescent="0.25">
      <c r="A6444" s="1">
        <v>45108</v>
      </c>
      <c r="B6444" t="s">
        <v>65</v>
      </c>
      <c r="C6444" t="s">
        <v>623</v>
      </c>
      <c r="D6444" s="2">
        <v>166064.56</v>
      </c>
      <c r="E6444">
        <v>0</v>
      </c>
      <c r="F6444">
        <v>0</v>
      </c>
    </row>
    <row r="6445" spans="1:6" x14ac:dyDescent="0.25">
      <c r="A6445" s="1">
        <v>45108</v>
      </c>
      <c r="B6445" t="s">
        <v>490</v>
      </c>
      <c r="C6445" t="s">
        <v>538</v>
      </c>
      <c r="D6445">
        <v>0</v>
      </c>
      <c r="E6445" s="2">
        <v>95236270</v>
      </c>
      <c r="F6445" s="2">
        <v>103354870</v>
      </c>
    </row>
    <row r="6446" spans="1:6" x14ac:dyDescent="0.25">
      <c r="A6446" s="1">
        <v>45108</v>
      </c>
      <c r="B6446" t="s">
        <v>17</v>
      </c>
      <c r="C6446" t="s">
        <v>1051</v>
      </c>
      <c r="D6446" s="2">
        <v>10735044.52</v>
      </c>
      <c r="E6446" s="2">
        <v>500000</v>
      </c>
      <c r="F6446" s="2">
        <v>500000</v>
      </c>
    </row>
    <row r="6447" spans="1:6" x14ac:dyDescent="0.25">
      <c r="A6447" s="1">
        <v>45108</v>
      </c>
      <c r="B6447" t="s">
        <v>726</v>
      </c>
      <c r="C6447" t="s">
        <v>727</v>
      </c>
      <c r="D6447" s="2">
        <v>2566039.8199999998</v>
      </c>
      <c r="E6447" s="2">
        <v>839099.74</v>
      </c>
      <c r="F6447" s="2">
        <v>1361809.04</v>
      </c>
    </row>
    <row r="6448" spans="1:6" x14ac:dyDescent="0.25">
      <c r="A6448" s="1">
        <v>45108</v>
      </c>
      <c r="B6448" t="s">
        <v>90</v>
      </c>
      <c r="C6448" t="s">
        <v>73</v>
      </c>
      <c r="D6448" s="2">
        <v>7995395.9699999997</v>
      </c>
      <c r="E6448">
        <v>0</v>
      </c>
      <c r="F6448">
        <v>0</v>
      </c>
    </row>
    <row r="6449" spans="1:6" x14ac:dyDescent="0.25">
      <c r="A6449" s="1">
        <v>45108</v>
      </c>
      <c r="B6449" t="s">
        <v>9</v>
      </c>
      <c r="C6449" t="s">
        <v>636</v>
      </c>
      <c r="D6449" s="2">
        <v>1303367</v>
      </c>
      <c r="E6449">
        <v>0</v>
      </c>
      <c r="F6449">
        <v>0</v>
      </c>
    </row>
    <row r="6450" spans="1:6" x14ac:dyDescent="0.25">
      <c r="A6450" s="1">
        <v>45108</v>
      </c>
      <c r="B6450" t="s">
        <v>15</v>
      </c>
      <c r="C6450" t="s">
        <v>614</v>
      </c>
      <c r="D6450" s="2">
        <v>114540</v>
      </c>
      <c r="E6450" s="2">
        <v>3503997.9</v>
      </c>
      <c r="F6450" s="2">
        <v>3512433.9</v>
      </c>
    </row>
    <row r="6451" spans="1:6" x14ac:dyDescent="0.25">
      <c r="A6451" s="1">
        <v>45108</v>
      </c>
      <c r="B6451" t="s">
        <v>37</v>
      </c>
      <c r="C6451" t="s">
        <v>685</v>
      </c>
      <c r="D6451" s="2">
        <v>3666585.56</v>
      </c>
      <c r="E6451" s="2">
        <v>89005.38</v>
      </c>
      <c r="F6451" s="2">
        <v>82707.27</v>
      </c>
    </row>
    <row r="6452" spans="1:6" x14ac:dyDescent="0.25">
      <c r="A6452" s="1">
        <v>45108</v>
      </c>
      <c r="B6452" t="s">
        <v>398</v>
      </c>
      <c r="C6452" t="s">
        <v>826</v>
      </c>
      <c r="D6452" s="2">
        <v>9456102.8499999996</v>
      </c>
      <c r="E6452" s="2">
        <v>2279721.88</v>
      </c>
      <c r="F6452" s="2">
        <v>2315724.87</v>
      </c>
    </row>
    <row r="6453" spans="1:6" x14ac:dyDescent="0.25">
      <c r="A6453" s="1">
        <v>45108</v>
      </c>
      <c r="B6453" t="s">
        <v>187</v>
      </c>
      <c r="C6453" t="s">
        <v>812</v>
      </c>
      <c r="D6453" s="2">
        <v>1780318.95</v>
      </c>
      <c r="E6453" s="2">
        <v>3192919.58</v>
      </c>
      <c r="F6453" s="2">
        <v>3980695.66</v>
      </c>
    </row>
    <row r="6454" spans="1:6" x14ac:dyDescent="0.25">
      <c r="A6454" s="1">
        <v>45108</v>
      </c>
      <c r="B6454" t="s">
        <v>154</v>
      </c>
      <c r="C6454" t="s">
        <v>785</v>
      </c>
      <c r="D6454">
        <v>0</v>
      </c>
      <c r="E6454" s="2">
        <v>12669120.83</v>
      </c>
      <c r="F6454" s="2">
        <v>12691178.59</v>
      </c>
    </row>
    <row r="6455" spans="1:6" x14ac:dyDescent="0.25">
      <c r="A6455" s="1">
        <v>45108</v>
      </c>
      <c r="B6455" t="s">
        <v>407</v>
      </c>
      <c r="C6455" t="s">
        <v>1029</v>
      </c>
      <c r="D6455" s="2">
        <v>3021621</v>
      </c>
      <c r="E6455">
        <v>0</v>
      </c>
      <c r="F6455">
        <v>0</v>
      </c>
    </row>
    <row r="6456" spans="1:6" x14ac:dyDescent="0.25">
      <c r="A6456" s="1">
        <v>45108</v>
      </c>
      <c r="B6456" t="s">
        <v>15</v>
      </c>
      <c r="C6456" t="s">
        <v>948</v>
      </c>
      <c r="D6456" s="2">
        <v>418700</v>
      </c>
      <c r="E6456" s="2">
        <v>-873395.44</v>
      </c>
      <c r="F6456" s="2">
        <v>3427064.93</v>
      </c>
    </row>
    <row r="6457" spans="1:6" x14ac:dyDescent="0.25">
      <c r="A6457" s="1">
        <v>45108</v>
      </c>
      <c r="B6457" t="s">
        <v>27</v>
      </c>
      <c r="C6457" t="s">
        <v>607</v>
      </c>
      <c r="D6457">
        <v>0</v>
      </c>
      <c r="E6457" s="2">
        <v>38498.68</v>
      </c>
      <c r="F6457" s="2">
        <v>38498.68</v>
      </c>
    </row>
    <row r="6458" spans="1:6" x14ac:dyDescent="0.25">
      <c r="A6458" s="1">
        <v>45108</v>
      </c>
      <c r="B6458" t="s">
        <v>726</v>
      </c>
      <c r="C6458" t="s">
        <v>876</v>
      </c>
      <c r="D6458" s="2">
        <v>97483.01</v>
      </c>
      <c r="E6458" s="2">
        <v>55109.43</v>
      </c>
      <c r="F6458" s="2">
        <v>69266.81</v>
      </c>
    </row>
    <row r="6459" spans="1:6" x14ac:dyDescent="0.25">
      <c r="A6459" s="1">
        <v>45108</v>
      </c>
      <c r="B6459" t="s">
        <v>31</v>
      </c>
      <c r="C6459" t="s">
        <v>833</v>
      </c>
      <c r="D6459" s="2">
        <v>-38545.57</v>
      </c>
      <c r="E6459">
        <v>0</v>
      </c>
      <c r="F6459">
        <v>0</v>
      </c>
    </row>
    <row r="6460" spans="1:6" x14ac:dyDescent="0.25">
      <c r="A6460" s="1">
        <v>45108</v>
      </c>
      <c r="B6460" t="s">
        <v>101</v>
      </c>
      <c r="C6460" t="s">
        <v>102</v>
      </c>
      <c r="D6460">
        <v>0</v>
      </c>
      <c r="E6460" s="2">
        <v>52994.76</v>
      </c>
      <c r="F6460" s="2">
        <v>79296.75</v>
      </c>
    </row>
    <row r="6461" spans="1:6" x14ac:dyDescent="0.25">
      <c r="A6461" s="1">
        <v>45108</v>
      </c>
      <c r="B6461" t="s">
        <v>40</v>
      </c>
      <c r="C6461" t="s">
        <v>41</v>
      </c>
      <c r="D6461" s="2">
        <v>3793953.83</v>
      </c>
      <c r="E6461" s="2">
        <v>2909972.24</v>
      </c>
      <c r="F6461" s="2">
        <v>2826708.93</v>
      </c>
    </row>
    <row r="6462" spans="1:6" x14ac:dyDescent="0.25">
      <c r="A6462" s="1">
        <v>45108</v>
      </c>
      <c r="B6462" t="s">
        <v>7</v>
      </c>
      <c r="C6462" t="s">
        <v>8</v>
      </c>
      <c r="D6462" s="2">
        <v>30431376094.830002</v>
      </c>
      <c r="E6462" s="2">
        <v>48438169357.230003</v>
      </c>
      <c r="F6462" s="2">
        <v>48438169357.230003</v>
      </c>
    </row>
    <row r="6463" spans="1:6" x14ac:dyDescent="0.25">
      <c r="A6463" s="1">
        <v>45108</v>
      </c>
      <c r="B6463" t="s">
        <v>518</v>
      </c>
      <c r="C6463" t="s">
        <v>906</v>
      </c>
      <c r="D6463" s="2">
        <v>51089.05</v>
      </c>
      <c r="E6463" s="2">
        <v>46743.87</v>
      </c>
      <c r="F6463" s="2">
        <v>36523.94</v>
      </c>
    </row>
    <row r="6464" spans="1:6" x14ac:dyDescent="0.25">
      <c r="A6464" s="1">
        <v>45108</v>
      </c>
      <c r="B6464" t="s">
        <v>50</v>
      </c>
      <c r="C6464" t="s">
        <v>735</v>
      </c>
      <c r="D6464" s="2">
        <v>48596.63</v>
      </c>
      <c r="E6464" s="2">
        <v>107479.01</v>
      </c>
      <c r="F6464" s="2">
        <v>108345.79</v>
      </c>
    </row>
    <row r="6465" spans="1:6" x14ac:dyDescent="0.25">
      <c r="A6465" s="1">
        <v>45108</v>
      </c>
      <c r="B6465" t="s">
        <v>40</v>
      </c>
      <c r="C6465" t="s">
        <v>651</v>
      </c>
      <c r="D6465">
        <v>0</v>
      </c>
      <c r="E6465" s="2">
        <v>1970.36</v>
      </c>
      <c r="F6465" s="2">
        <v>1970.36</v>
      </c>
    </row>
    <row r="6466" spans="1:6" x14ac:dyDescent="0.25">
      <c r="A6466" s="1">
        <v>45108</v>
      </c>
      <c r="B6466" t="s">
        <v>29</v>
      </c>
      <c r="C6466" t="s">
        <v>180</v>
      </c>
      <c r="D6466" s="2">
        <v>101653.75</v>
      </c>
      <c r="E6466">
        <v>0</v>
      </c>
      <c r="F6466">
        <v>0</v>
      </c>
    </row>
    <row r="6467" spans="1:6" x14ac:dyDescent="0.25">
      <c r="A6467" s="1">
        <v>45108</v>
      </c>
      <c r="B6467" t="s">
        <v>234</v>
      </c>
      <c r="C6467" t="s">
        <v>412</v>
      </c>
      <c r="D6467" s="2">
        <v>746583.89</v>
      </c>
      <c r="E6467" s="2">
        <v>425194.69</v>
      </c>
      <c r="F6467" s="2">
        <v>425194.69</v>
      </c>
    </row>
    <row r="6468" spans="1:6" x14ac:dyDescent="0.25">
      <c r="A6468" s="1">
        <v>45108</v>
      </c>
      <c r="B6468" t="s">
        <v>13</v>
      </c>
      <c r="C6468" t="s">
        <v>737</v>
      </c>
      <c r="D6468" s="2">
        <v>2200000</v>
      </c>
      <c r="E6468" s="2">
        <v>5494974.04</v>
      </c>
      <c r="F6468" s="2">
        <v>5512316</v>
      </c>
    </row>
    <row r="6469" spans="1:6" x14ac:dyDescent="0.25">
      <c r="A6469" s="1">
        <v>45108</v>
      </c>
      <c r="B6469" t="s">
        <v>46</v>
      </c>
      <c r="C6469" t="s">
        <v>674</v>
      </c>
      <c r="D6469" s="2">
        <v>32020309.239999998</v>
      </c>
      <c r="E6469" s="2">
        <v>13894896.5</v>
      </c>
      <c r="F6469" s="2">
        <v>13824534.560000001</v>
      </c>
    </row>
    <row r="6470" spans="1:6" x14ac:dyDescent="0.25">
      <c r="A6470" s="1">
        <v>45108</v>
      </c>
      <c r="B6470" t="s">
        <v>9</v>
      </c>
      <c r="C6470" t="s">
        <v>663</v>
      </c>
      <c r="D6470" s="2">
        <v>3392361.66</v>
      </c>
      <c r="E6470" s="2">
        <v>7390312.7199999997</v>
      </c>
      <c r="F6470" s="2">
        <v>7853592.5300000003</v>
      </c>
    </row>
    <row r="6471" spans="1:6" x14ac:dyDescent="0.25">
      <c r="A6471" s="1">
        <v>45108</v>
      </c>
      <c r="B6471" t="s">
        <v>101</v>
      </c>
      <c r="C6471" t="s">
        <v>203</v>
      </c>
      <c r="D6471" s="2">
        <v>217727373.77000001</v>
      </c>
      <c r="E6471" s="2">
        <v>2342400</v>
      </c>
      <c r="F6471">
        <v>0</v>
      </c>
    </row>
    <row r="6472" spans="1:6" x14ac:dyDescent="0.25">
      <c r="A6472" s="1">
        <v>45108</v>
      </c>
      <c r="B6472" t="s">
        <v>13</v>
      </c>
      <c r="C6472" t="s">
        <v>791</v>
      </c>
      <c r="D6472" s="2">
        <v>148672057191.69</v>
      </c>
      <c r="E6472" s="2">
        <v>64450836302.160004</v>
      </c>
      <c r="F6472" s="2">
        <v>88454628228.009995</v>
      </c>
    </row>
    <row r="6473" spans="1:6" x14ac:dyDescent="0.25">
      <c r="A6473" s="1">
        <v>45108</v>
      </c>
      <c r="B6473" t="s">
        <v>769</v>
      </c>
      <c r="C6473" t="s">
        <v>770</v>
      </c>
      <c r="D6473" s="2">
        <v>25085648.59</v>
      </c>
      <c r="E6473" s="2">
        <v>34183504.100000001</v>
      </c>
      <c r="F6473" s="2">
        <v>33126617.379999999</v>
      </c>
    </row>
    <row r="6474" spans="1:6" x14ac:dyDescent="0.25">
      <c r="A6474" s="1">
        <v>45108</v>
      </c>
      <c r="B6474" t="s">
        <v>37</v>
      </c>
      <c r="C6474" t="s">
        <v>88</v>
      </c>
      <c r="D6474" s="2">
        <v>176500.15</v>
      </c>
      <c r="E6474" s="2">
        <v>176500.15</v>
      </c>
      <c r="F6474" s="2">
        <v>176500.15</v>
      </c>
    </row>
    <row r="6475" spans="1:6" x14ac:dyDescent="0.25">
      <c r="A6475" s="1">
        <v>45108</v>
      </c>
      <c r="B6475" t="s">
        <v>143</v>
      </c>
      <c r="C6475" t="s">
        <v>858</v>
      </c>
      <c r="D6475" s="2">
        <v>132644020.43000001</v>
      </c>
      <c r="E6475" s="2">
        <v>166797268.63999999</v>
      </c>
      <c r="F6475" s="2">
        <v>117174867.53</v>
      </c>
    </row>
    <row r="6476" spans="1:6" x14ac:dyDescent="0.25">
      <c r="A6476" s="1">
        <v>45108</v>
      </c>
      <c r="B6476" t="s">
        <v>726</v>
      </c>
      <c r="C6476" t="s">
        <v>789</v>
      </c>
      <c r="D6476" s="2">
        <v>910851.14</v>
      </c>
      <c r="E6476" s="2">
        <v>559033.44999999995</v>
      </c>
      <c r="F6476" s="2">
        <v>727862.12</v>
      </c>
    </row>
    <row r="6477" spans="1:6" x14ac:dyDescent="0.25">
      <c r="A6477" s="1">
        <v>45108</v>
      </c>
      <c r="B6477" t="s">
        <v>37</v>
      </c>
      <c r="C6477" t="s">
        <v>743</v>
      </c>
      <c r="D6477" s="2">
        <v>13254.83</v>
      </c>
      <c r="E6477" s="2">
        <v>26301.5</v>
      </c>
      <c r="F6477" s="2">
        <v>20188.79</v>
      </c>
    </row>
    <row r="6478" spans="1:6" x14ac:dyDescent="0.25">
      <c r="A6478" s="1">
        <v>45108</v>
      </c>
      <c r="B6478" t="s">
        <v>37</v>
      </c>
      <c r="C6478" t="s">
        <v>728</v>
      </c>
      <c r="D6478" s="2">
        <v>1729334.23</v>
      </c>
      <c r="E6478" s="2">
        <v>654803.96</v>
      </c>
      <c r="F6478" s="2">
        <v>603531.03</v>
      </c>
    </row>
    <row r="6479" spans="1:6" x14ac:dyDescent="0.25">
      <c r="A6479" s="1">
        <v>45108</v>
      </c>
      <c r="B6479" t="s">
        <v>37</v>
      </c>
      <c r="C6479" t="s">
        <v>570</v>
      </c>
      <c r="D6479" s="2">
        <v>19504.48</v>
      </c>
      <c r="E6479" s="2">
        <v>40294.99</v>
      </c>
      <c r="F6479" s="2">
        <v>35818.68</v>
      </c>
    </row>
    <row r="6480" spans="1:6" x14ac:dyDescent="0.25">
      <c r="A6480" s="1">
        <v>45108</v>
      </c>
      <c r="B6480" t="s">
        <v>105</v>
      </c>
      <c r="C6480" t="s">
        <v>645</v>
      </c>
      <c r="D6480" s="2">
        <v>33667695.670000002</v>
      </c>
      <c r="E6480" s="2">
        <v>3697909</v>
      </c>
      <c r="F6480" s="2">
        <v>3697909</v>
      </c>
    </row>
    <row r="6481" spans="1:6" x14ac:dyDescent="0.25">
      <c r="A6481" s="1">
        <v>45108</v>
      </c>
      <c r="B6481" t="s">
        <v>101</v>
      </c>
      <c r="C6481" t="s">
        <v>536</v>
      </c>
      <c r="D6481" s="2">
        <v>408320.33</v>
      </c>
      <c r="E6481" s="2">
        <v>341595.89</v>
      </c>
      <c r="F6481" s="2">
        <v>471955.81</v>
      </c>
    </row>
    <row r="6482" spans="1:6" x14ac:dyDescent="0.25">
      <c r="A6482" s="1">
        <v>45108</v>
      </c>
      <c r="B6482" t="s">
        <v>1117</v>
      </c>
      <c r="C6482" t="s">
        <v>95</v>
      </c>
      <c r="D6482">
        <v>0</v>
      </c>
      <c r="E6482">
        <v>0</v>
      </c>
      <c r="F6482">
        <v>0</v>
      </c>
    </row>
    <row r="6483" spans="1:6" x14ac:dyDescent="0.25">
      <c r="A6483" s="1">
        <v>45108</v>
      </c>
      <c r="B6483" t="s">
        <v>50</v>
      </c>
      <c r="C6483" t="s">
        <v>977</v>
      </c>
      <c r="D6483" s="2">
        <v>26600000</v>
      </c>
      <c r="E6483" s="2">
        <v>48833820.859999999</v>
      </c>
      <c r="F6483" s="2">
        <v>16031500</v>
      </c>
    </row>
    <row r="6484" spans="1:6" x14ac:dyDescent="0.25">
      <c r="A6484" s="1">
        <v>45108</v>
      </c>
      <c r="B6484" t="s">
        <v>143</v>
      </c>
      <c r="C6484" t="s">
        <v>899</v>
      </c>
      <c r="D6484">
        <v>0</v>
      </c>
      <c r="E6484">
        <v>0</v>
      </c>
      <c r="F6484">
        <v>0</v>
      </c>
    </row>
    <row r="6485" spans="1:6" x14ac:dyDescent="0.25">
      <c r="A6485" s="1">
        <v>45108</v>
      </c>
      <c r="B6485" t="s">
        <v>213</v>
      </c>
      <c r="C6485" t="s">
        <v>533</v>
      </c>
      <c r="D6485" s="2">
        <v>250224387.21000001</v>
      </c>
      <c r="E6485">
        <v>0</v>
      </c>
      <c r="F6485">
        <v>0</v>
      </c>
    </row>
    <row r="6486" spans="1:6" x14ac:dyDescent="0.25">
      <c r="A6486" s="1">
        <v>45108</v>
      </c>
      <c r="B6486" t="s">
        <v>25</v>
      </c>
      <c r="C6486" t="s">
        <v>257</v>
      </c>
      <c r="D6486" s="2">
        <v>251413.91</v>
      </c>
      <c r="E6486" s="2">
        <v>15771.94</v>
      </c>
      <c r="F6486" s="2">
        <v>29278.57</v>
      </c>
    </row>
    <row r="6487" spans="1:6" x14ac:dyDescent="0.25">
      <c r="A6487" s="1">
        <v>45108</v>
      </c>
      <c r="B6487" t="s">
        <v>37</v>
      </c>
      <c r="C6487" t="s">
        <v>647</v>
      </c>
      <c r="D6487" s="2">
        <v>119421.44</v>
      </c>
      <c r="E6487" s="2">
        <v>27801.360000000001</v>
      </c>
      <c r="F6487" s="2">
        <v>32361.360000000001</v>
      </c>
    </row>
    <row r="6488" spans="1:6" x14ac:dyDescent="0.25">
      <c r="A6488" s="1">
        <v>45108</v>
      </c>
      <c r="B6488" t="s">
        <v>40</v>
      </c>
      <c r="C6488" t="s">
        <v>1123</v>
      </c>
      <c r="D6488" s="2">
        <v>3327876.98</v>
      </c>
      <c r="E6488" s="2">
        <v>2000702.65</v>
      </c>
      <c r="F6488" s="2">
        <v>90338.95</v>
      </c>
    </row>
    <row r="6489" spans="1:6" x14ac:dyDescent="0.25">
      <c r="A6489" s="1">
        <v>45108</v>
      </c>
      <c r="B6489" t="s">
        <v>31</v>
      </c>
      <c r="C6489" t="s">
        <v>1038</v>
      </c>
      <c r="D6489" s="2">
        <v>-23417.200000000001</v>
      </c>
      <c r="E6489" s="2">
        <v>22445.57</v>
      </c>
      <c r="F6489" s="2">
        <v>54115.38</v>
      </c>
    </row>
    <row r="6490" spans="1:6" x14ac:dyDescent="0.25">
      <c r="A6490" s="1">
        <v>45108</v>
      </c>
      <c r="B6490" t="s">
        <v>94</v>
      </c>
      <c r="C6490" t="s">
        <v>95</v>
      </c>
      <c r="D6490">
        <v>0</v>
      </c>
      <c r="E6490">
        <v>0</v>
      </c>
      <c r="F6490">
        <v>0</v>
      </c>
    </row>
    <row r="6491" spans="1:6" x14ac:dyDescent="0.25">
      <c r="A6491" s="1">
        <v>45108</v>
      </c>
      <c r="B6491" t="s">
        <v>13</v>
      </c>
      <c r="C6491" t="s">
        <v>711</v>
      </c>
      <c r="D6491" s="2">
        <v>-813672.71</v>
      </c>
      <c r="E6491" s="2">
        <v>1471140.3</v>
      </c>
      <c r="F6491" s="2">
        <v>1556889.17</v>
      </c>
    </row>
    <row r="6492" spans="1:6" x14ac:dyDescent="0.25">
      <c r="A6492" s="1">
        <v>45108</v>
      </c>
      <c r="B6492" t="s">
        <v>196</v>
      </c>
      <c r="C6492" t="s">
        <v>638</v>
      </c>
      <c r="D6492">
        <v>0</v>
      </c>
      <c r="E6492">
        <v>0</v>
      </c>
      <c r="F6492">
        <v>0</v>
      </c>
    </row>
    <row r="6493" spans="1:6" x14ac:dyDescent="0.25">
      <c r="A6493" s="1">
        <v>45108</v>
      </c>
      <c r="B6493" t="s">
        <v>13</v>
      </c>
      <c r="C6493" t="s">
        <v>868</v>
      </c>
      <c r="D6493" s="2">
        <v>6695457.4800000004</v>
      </c>
      <c r="E6493" s="2">
        <v>1131745.01</v>
      </c>
      <c r="F6493" s="2">
        <v>973225.47</v>
      </c>
    </row>
    <row r="6494" spans="1:6" x14ac:dyDescent="0.25">
      <c r="A6494" s="1">
        <v>45108</v>
      </c>
      <c r="B6494" t="s">
        <v>25</v>
      </c>
      <c r="C6494" t="s">
        <v>1039</v>
      </c>
      <c r="D6494" s="2">
        <v>320173.33</v>
      </c>
      <c r="E6494" s="2">
        <v>101726.3</v>
      </c>
      <c r="F6494" s="2">
        <v>101310.3</v>
      </c>
    </row>
    <row r="6495" spans="1:6" x14ac:dyDescent="0.25">
      <c r="A6495" s="1">
        <v>45108</v>
      </c>
      <c r="B6495" t="s">
        <v>185</v>
      </c>
      <c r="C6495" t="s">
        <v>968</v>
      </c>
      <c r="D6495" s="2">
        <v>12858000</v>
      </c>
      <c r="E6495" s="2">
        <v>12858000</v>
      </c>
      <c r="F6495" s="2">
        <v>17258000</v>
      </c>
    </row>
    <row r="6496" spans="1:6" x14ac:dyDescent="0.25">
      <c r="A6496" s="1">
        <v>45108</v>
      </c>
      <c r="B6496" t="s">
        <v>92</v>
      </c>
      <c r="C6496" t="s">
        <v>701</v>
      </c>
      <c r="D6496" s="2">
        <v>2431299.63</v>
      </c>
      <c r="E6496" s="2">
        <v>5340539.53</v>
      </c>
      <c r="F6496" s="2">
        <v>5473198.7699999996</v>
      </c>
    </row>
    <row r="6497" spans="1:6" x14ac:dyDescent="0.25">
      <c r="A6497" s="1">
        <v>45108</v>
      </c>
      <c r="B6497" t="s">
        <v>132</v>
      </c>
      <c r="C6497" t="s">
        <v>1103</v>
      </c>
      <c r="D6497">
        <v>0</v>
      </c>
      <c r="E6497">
        <v>0</v>
      </c>
      <c r="F6497">
        <v>0</v>
      </c>
    </row>
    <row r="6498" spans="1:6" x14ac:dyDescent="0.25">
      <c r="A6498" s="1">
        <v>45108</v>
      </c>
      <c r="B6498" t="s">
        <v>216</v>
      </c>
      <c r="C6498" t="s">
        <v>756</v>
      </c>
      <c r="D6498" s="2">
        <v>1060357.8700000001</v>
      </c>
      <c r="E6498" s="2">
        <v>3784173.04</v>
      </c>
      <c r="F6498" s="2">
        <v>3484145.94</v>
      </c>
    </row>
    <row r="6499" spans="1:6" x14ac:dyDescent="0.25">
      <c r="A6499" s="1">
        <v>45108</v>
      </c>
      <c r="B6499" t="s">
        <v>31</v>
      </c>
      <c r="C6499" t="s">
        <v>668</v>
      </c>
      <c r="D6499">
        <v>0</v>
      </c>
      <c r="E6499">
        <v>0</v>
      </c>
      <c r="F6499">
        <v>0</v>
      </c>
    </row>
    <row r="6500" spans="1:6" x14ac:dyDescent="0.25">
      <c r="A6500" s="1">
        <v>45108</v>
      </c>
      <c r="B6500" t="s">
        <v>29</v>
      </c>
      <c r="C6500" t="s">
        <v>798</v>
      </c>
      <c r="D6500">
        <v>0</v>
      </c>
      <c r="E6500">
        <v>0</v>
      </c>
      <c r="F6500">
        <v>0</v>
      </c>
    </row>
    <row r="6501" spans="1:6" x14ac:dyDescent="0.25">
      <c r="A6501" s="1">
        <v>45108</v>
      </c>
      <c r="B6501" t="s">
        <v>44</v>
      </c>
      <c r="C6501" t="s">
        <v>254</v>
      </c>
      <c r="D6501" s="2">
        <v>244010.67</v>
      </c>
      <c r="E6501" s="2">
        <v>63984.800000000003</v>
      </c>
      <c r="F6501" s="2">
        <v>55287.48</v>
      </c>
    </row>
    <row r="6502" spans="1:6" x14ac:dyDescent="0.25">
      <c r="A6502" s="1">
        <v>45108</v>
      </c>
      <c r="B6502" t="s">
        <v>46</v>
      </c>
      <c r="C6502" t="s">
        <v>232</v>
      </c>
      <c r="D6502" s="2">
        <v>95002.4</v>
      </c>
      <c r="E6502" s="2">
        <v>33444.57</v>
      </c>
      <c r="F6502" s="2">
        <v>7426282.1699999999</v>
      </c>
    </row>
    <row r="6503" spans="1:6" x14ac:dyDescent="0.25">
      <c r="A6503" s="1">
        <v>45108</v>
      </c>
      <c r="B6503" t="s">
        <v>821</v>
      </c>
      <c r="C6503" t="s">
        <v>822</v>
      </c>
      <c r="D6503" s="2">
        <v>-4697.6499999999996</v>
      </c>
      <c r="E6503" s="2">
        <v>85197.41</v>
      </c>
      <c r="F6503" s="2">
        <v>88038.04</v>
      </c>
    </row>
    <row r="6504" spans="1:6" x14ac:dyDescent="0.25">
      <c r="A6504" s="1">
        <v>45108</v>
      </c>
      <c r="B6504" t="s">
        <v>40</v>
      </c>
      <c r="C6504" t="s">
        <v>923</v>
      </c>
      <c r="D6504" s="2">
        <v>9564356.25</v>
      </c>
      <c r="E6504" s="2">
        <v>4390412.84</v>
      </c>
      <c r="F6504" s="2">
        <v>3159938.78</v>
      </c>
    </row>
    <row r="6505" spans="1:6" x14ac:dyDescent="0.25">
      <c r="A6505" s="1">
        <v>45108</v>
      </c>
      <c r="B6505" t="s">
        <v>23</v>
      </c>
      <c r="C6505" t="s">
        <v>620</v>
      </c>
      <c r="D6505" s="2">
        <v>958127.8</v>
      </c>
      <c r="E6505" s="2">
        <v>176784.44</v>
      </c>
      <c r="F6505" s="2">
        <v>179956.33</v>
      </c>
    </row>
    <row r="6506" spans="1:6" x14ac:dyDescent="0.25">
      <c r="A6506" s="1">
        <v>45108</v>
      </c>
      <c r="B6506" t="s">
        <v>383</v>
      </c>
      <c r="C6506" t="s">
        <v>754</v>
      </c>
      <c r="D6506">
        <v>0</v>
      </c>
      <c r="E6506">
        <v>0</v>
      </c>
      <c r="F6506">
        <v>0</v>
      </c>
    </row>
    <row r="6507" spans="1:6" x14ac:dyDescent="0.25">
      <c r="A6507" s="1">
        <v>45108</v>
      </c>
      <c r="B6507" t="s">
        <v>29</v>
      </c>
      <c r="C6507" t="s">
        <v>73</v>
      </c>
      <c r="D6507" s="2">
        <v>100724720</v>
      </c>
      <c r="E6507" s="2">
        <v>141171690</v>
      </c>
      <c r="F6507" s="2">
        <v>141171690</v>
      </c>
    </row>
    <row r="6508" spans="1:6" x14ac:dyDescent="0.25">
      <c r="A6508" s="1">
        <v>45108</v>
      </c>
      <c r="B6508" t="s">
        <v>98</v>
      </c>
      <c r="C6508" t="s">
        <v>378</v>
      </c>
      <c r="D6508">
        <v>0</v>
      </c>
      <c r="E6508">
        <v>0</v>
      </c>
      <c r="F6508">
        <v>0</v>
      </c>
    </row>
    <row r="6509" spans="1:6" x14ac:dyDescent="0.25">
      <c r="A6509" s="1">
        <v>45108</v>
      </c>
      <c r="B6509" t="s">
        <v>50</v>
      </c>
      <c r="C6509" t="s">
        <v>574</v>
      </c>
      <c r="D6509" s="2">
        <v>10460487.539999999</v>
      </c>
      <c r="E6509" s="2">
        <v>8698103.1999999993</v>
      </c>
      <c r="F6509" s="2">
        <v>8772418.5399999991</v>
      </c>
    </row>
    <row r="6510" spans="1:6" x14ac:dyDescent="0.25">
      <c r="A6510" s="1">
        <v>45108</v>
      </c>
      <c r="B6510" t="s">
        <v>25</v>
      </c>
      <c r="C6510" t="s">
        <v>138</v>
      </c>
      <c r="D6510" s="2">
        <v>37745.18</v>
      </c>
      <c r="E6510" s="2">
        <v>88122.57</v>
      </c>
      <c r="F6510" s="2">
        <v>82336.66</v>
      </c>
    </row>
    <row r="6511" spans="1:6" x14ac:dyDescent="0.25">
      <c r="A6511" s="1">
        <v>45108</v>
      </c>
      <c r="B6511" t="s">
        <v>40</v>
      </c>
      <c r="C6511" t="s">
        <v>215</v>
      </c>
      <c r="D6511">
        <v>0</v>
      </c>
      <c r="E6511">
        <v>0</v>
      </c>
      <c r="F6511">
        <v>0</v>
      </c>
    </row>
    <row r="6512" spans="1:6" x14ac:dyDescent="0.25">
      <c r="A6512" s="1">
        <v>45108</v>
      </c>
      <c r="B6512" t="s">
        <v>726</v>
      </c>
      <c r="C6512" t="s">
        <v>918</v>
      </c>
      <c r="D6512" s="2">
        <v>123659.39</v>
      </c>
      <c r="E6512" s="2">
        <v>103779.09</v>
      </c>
      <c r="F6512" s="2">
        <v>144945.42000000001</v>
      </c>
    </row>
    <row r="6513" spans="1:6" x14ac:dyDescent="0.25">
      <c r="A6513" s="1">
        <v>45108</v>
      </c>
      <c r="B6513" t="s">
        <v>187</v>
      </c>
      <c r="C6513" t="s">
        <v>188</v>
      </c>
      <c r="D6513">
        <v>0</v>
      </c>
      <c r="E6513" s="2">
        <v>20812.5</v>
      </c>
      <c r="F6513" s="2">
        <v>20812.5</v>
      </c>
    </row>
    <row r="6514" spans="1:6" x14ac:dyDescent="0.25">
      <c r="A6514" s="1">
        <v>45108</v>
      </c>
      <c r="B6514" t="s">
        <v>21</v>
      </c>
      <c r="C6514" t="s">
        <v>522</v>
      </c>
      <c r="D6514" s="2">
        <v>1600000</v>
      </c>
      <c r="E6514" s="2">
        <v>9215940.8399999999</v>
      </c>
      <c r="F6514" s="2">
        <v>9215940.8399999999</v>
      </c>
    </row>
    <row r="6515" spans="1:6" x14ac:dyDescent="0.25">
      <c r="A6515" s="1">
        <v>45108</v>
      </c>
      <c r="B6515" t="s">
        <v>21</v>
      </c>
      <c r="C6515" t="s">
        <v>462</v>
      </c>
      <c r="D6515" s="2">
        <v>20568656.649999999</v>
      </c>
      <c r="E6515" s="2">
        <v>746536.55</v>
      </c>
      <c r="F6515" s="2">
        <v>742684.99</v>
      </c>
    </row>
    <row r="6516" spans="1:6" x14ac:dyDescent="0.25">
      <c r="A6516" s="1">
        <v>45108</v>
      </c>
      <c r="B6516" t="s">
        <v>185</v>
      </c>
      <c r="C6516" t="s">
        <v>478</v>
      </c>
      <c r="D6516" s="2">
        <v>1245590096.4200001</v>
      </c>
      <c r="E6516" s="2">
        <v>587264721.11000001</v>
      </c>
      <c r="F6516" s="2">
        <v>680769997.91999996</v>
      </c>
    </row>
    <row r="6517" spans="1:6" x14ac:dyDescent="0.25">
      <c r="A6517" s="1">
        <v>45108</v>
      </c>
      <c r="B6517" t="s">
        <v>23</v>
      </c>
      <c r="C6517" t="s">
        <v>331</v>
      </c>
      <c r="D6517" s="2">
        <v>8504916.7400000002</v>
      </c>
      <c r="E6517" s="2">
        <v>3353732.34</v>
      </c>
      <c r="F6517" s="2">
        <v>3245533.53</v>
      </c>
    </row>
    <row r="6518" spans="1:6" x14ac:dyDescent="0.25">
      <c r="A6518" s="1">
        <v>45108</v>
      </c>
      <c r="B6518" t="s">
        <v>619</v>
      </c>
      <c r="C6518" t="s">
        <v>165</v>
      </c>
      <c r="D6518" s="2">
        <v>3837.62</v>
      </c>
      <c r="E6518" s="2">
        <v>15463.22</v>
      </c>
      <c r="F6518" s="2">
        <v>17613.78</v>
      </c>
    </row>
    <row r="6519" spans="1:6" x14ac:dyDescent="0.25">
      <c r="A6519" s="1">
        <v>45108</v>
      </c>
      <c r="B6519" t="s">
        <v>263</v>
      </c>
      <c r="C6519" t="s">
        <v>1189</v>
      </c>
      <c r="D6519" s="2">
        <v>42368990.520000003</v>
      </c>
      <c r="E6519" s="2">
        <v>9846694.2400000002</v>
      </c>
      <c r="F6519" s="2">
        <v>9845169.4000000004</v>
      </c>
    </row>
    <row r="6520" spans="1:6" x14ac:dyDescent="0.25">
      <c r="A6520" s="1">
        <v>45108</v>
      </c>
      <c r="B6520" t="s">
        <v>263</v>
      </c>
      <c r="C6520" t="s">
        <v>745</v>
      </c>
      <c r="D6520" s="2">
        <v>6690732.1600000001</v>
      </c>
      <c r="E6520" s="2">
        <v>7505717.5599999996</v>
      </c>
      <c r="F6520" s="2">
        <v>7020741.9199999999</v>
      </c>
    </row>
    <row r="6521" spans="1:6" x14ac:dyDescent="0.25">
      <c r="A6521" s="1">
        <v>45108</v>
      </c>
      <c r="B6521" t="s">
        <v>23</v>
      </c>
      <c r="C6521" t="s">
        <v>630</v>
      </c>
      <c r="D6521" s="2">
        <v>27730</v>
      </c>
      <c r="E6521" s="2">
        <v>23700</v>
      </c>
      <c r="F6521" s="2">
        <v>23700</v>
      </c>
    </row>
    <row r="6522" spans="1:6" x14ac:dyDescent="0.25">
      <c r="A6522" s="1">
        <v>45108</v>
      </c>
      <c r="B6522" t="s">
        <v>37</v>
      </c>
      <c r="C6522" t="s">
        <v>784</v>
      </c>
      <c r="D6522" s="2">
        <v>4516614.99</v>
      </c>
      <c r="E6522" s="2">
        <v>2482484.42</v>
      </c>
      <c r="F6522" s="2">
        <v>2471883.25</v>
      </c>
    </row>
    <row r="6523" spans="1:6" x14ac:dyDescent="0.25">
      <c r="A6523" s="1">
        <v>45108</v>
      </c>
      <c r="B6523" t="s">
        <v>100</v>
      </c>
      <c r="C6523" t="s">
        <v>416</v>
      </c>
      <c r="D6523">
        <v>0</v>
      </c>
      <c r="E6523">
        <v>0</v>
      </c>
      <c r="F6523">
        <v>0</v>
      </c>
    </row>
    <row r="6524" spans="1:6" x14ac:dyDescent="0.25">
      <c r="A6524" s="1">
        <v>45108</v>
      </c>
      <c r="B6524" t="s">
        <v>23</v>
      </c>
      <c r="C6524" t="s">
        <v>1268</v>
      </c>
      <c r="D6524" s="2">
        <v>3805728.68</v>
      </c>
      <c r="E6524">
        <v>0</v>
      </c>
      <c r="F6524">
        <v>0</v>
      </c>
    </row>
    <row r="6525" spans="1:6" x14ac:dyDescent="0.25">
      <c r="A6525" s="1">
        <v>45108</v>
      </c>
      <c r="B6525" t="s">
        <v>9</v>
      </c>
      <c r="C6525" t="s">
        <v>363</v>
      </c>
      <c r="D6525" s="2">
        <v>20534352</v>
      </c>
      <c r="E6525" s="2">
        <v>46941.87</v>
      </c>
      <c r="F6525" s="2">
        <v>50320.11</v>
      </c>
    </row>
    <row r="6526" spans="1:6" x14ac:dyDescent="0.25">
      <c r="A6526" s="1">
        <v>45108</v>
      </c>
      <c r="B6526" t="s">
        <v>46</v>
      </c>
      <c r="C6526" t="s">
        <v>618</v>
      </c>
      <c r="D6526" s="2">
        <v>28935577.399999999</v>
      </c>
      <c r="E6526" s="2">
        <v>158928139.86000001</v>
      </c>
      <c r="F6526" s="2">
        <v>163521519.22999999</v>
      </c>
    </row>
    <row r="6527" spans="1:6" x14ac:dyDescent="0.25">
      <c r="A6527" s="1">
        <v>45108</v>
      </c>
      <c r="B6527" t="s">
        <v>518</v>
      </c>
      <c r="C6527" t="s">
        <v>519</v>
      </c>
      <c r="D6527" s="2">
        <v>1632916.2</v>
      </c>
      <c r="E6527" s="2">
        <v>1707007.86</v>
      </c>
      <c r="F6527" s="2">
        <v>290113.12</v>
      </c>
    </row>
    <row r="6528" spans="1:6" x14ac:dyDescent="0.25">
      <c r="A6528" s="1">
        <v>45108</v>
      </c>
      <c r="B6528" t="s">
        <v>46</v>
      </c>
      <c r="C6528" t="s">
        <v>1007</v>
      </c>
      <c r="D6528">
        <v>0</v>
      </c>
      <c r="E6528" s="2">
        <v>7548.71</v>
      </c>
      <c r="F6528" s="2">
        <v>2981169.71</v>
      </c>
    </row>
    <row r="6529" spans="1:6" x14ac:dyDescent="0.25">
      <c r="A6529" s="1">
        <v>45108</v>
      </c>
      <c r="B6529" t="s">
        <v>306</v>
      </c>
      <c r="C6529" t="s">
        <v>414</v>
      </c>
      <c r="D6529" s="2">
        <v>935082.96</v>
      </c>
      <c r="E6529" s="2">
        <v>378162.22</v>
      </c>
      <c r="F6529" s="2">
        <v>246402.12</v>
      </c>
    </row>
    <row r="6530" spans="1:6" x14ac:dyDescent="0.25">
      <c r="A6530" s="1">
        <v>45108</v>
      </c>
      <c r="B6530" t="s">
        <v>37</v>
      </c>
      <c r="C6530" t="s">
        <v>851</v>
      </c>
      <c r="D6530" s="2">
        <v>7551431.2000000002</v>
      </c>
      <c r="E6530" s="2">
        <v>1274399.42</v>
      </c>
      <c r="F6530" s="2">
        <v>1522806.49</v>
      </c>
    </row>
    <row r="6531" spans="1:6" x14ac:dyDescent="0.25">
      <c r="A6531" s="1">
        <v>45108</v>
      </c>
      <c r="B6531" t="s">
        <v>29</v>
      </c>
      <c r="C6531" t="s">
        <v>631</v>
      </c>
      <c r="D6531" s="2">
        <v>702683.26</v>
      </c>
      <c r="E6531" s="2">
        <v>-1552.74</v>
      </c>
      <c r="F6531" s="2">
        <v>-1552.74</v>
      </c>
    </row>
    <row r="6532" spans="1:6" x14ac:dyDescent="0.25">
      <c r="A6532" s="1">
        <v>45108</v>
      </c>
      <c r="B6532" t="s">
        <v>46</v>
      </c>
      <c r="C6532" t="s">
        <v>590</v>
      </c>
      <c r="D6532" s="2">
        <v>621000</v>
      </c>
      <c r="E6532" s="2">
        <v>317818.38</v>
      </c>
      <c r="F6532" s="2">
        <v>303932.48</v>
      </c>
    </row>
    <row r="6533" spans="1:6" x14ac:dyDescent="0.25">
      <c r="A6533" s="1">
        <v>45108</v>
      </c>
      <c r="B6533" t="s">
        <v>27</v>
      </c>
      <c r="C6533" t="s">
        <v>902</v>
      </c>
      <c r="D6533" s="2">
        <v>5023122.72</v>
      </c>
      <c r="E6533" s="2">
        <v>4700041.7699999996</v>
      </c>
      <c r="F6533" s="2">
        <v>4416041.24</v>
      </c>
    </row>
    <row r="6534" spans="1:6" x14ac:dyDescent="0.25">
      <c r="A6534" s="1">
        <v>45108</v>
      </c>
      <c r="B6534" t="s">
        <v>40</v>
      </c>
      <c r="C6534" t="s">
        <v>1310</v>
      </c>
      <c r="D6534">
        <v>0</v>
      </c>
      <c r="E6534">
        <v>0</v>
      </c>
      <c r="F6534">
        <v>0</v>
      </c>
    </row>
    <row r="6535" spans="1:6" x14ac:dyDescent="0.25">
      <c r="A6535" s="1">
        <v>45108</v>
      </c>
      <c r="B6535" t="s">
        <v>216</v>
      </c>
      <c r="C6535" t="s">
        <v>781</v>
      </c>
      <c r="D6535" s="2">
        <v>5961849.4100000001</v>
      </c>
      <c r="E6535" s="2">
        <v>89610.17</v>
      </c>
      <c r="F6535" s="2">
        <v>22659.71</v>
      </c>
    </row>
    <row r="6536" spans="1:6" x14ac:dyDescent="0.25">
      <c r="A6536" s="1">
        <v>45108</v>
      </c>
      <c r="B6536" t="s">
        <v>490</v>
      </c>
      <c r="C6536" t="s">
        <v>1009</v>
      </c>
      <c r="D6536" s="2">
        <v>14687474.140000001</v>
      </c>
      <c r="E6536" s="2">
        <v>21477.119999999999</v>
      </c>
      <c r="F6536" s="2">
        <v>16060.92</v>
      </c>
    </row>
    <row r="6537" spans="1:6" x14ac:dyDescent="0.25">
      <c r="A6537" s="1">
        <v>45108</v>
      </c>
      <c r="B6537" t="s">
        <v>40</v>
      </c>
      <c r="C6537" t="s">
        <v>850</v>
      </c>
      <c r="D6537" s="2">
        <v>1166143.8999999999</v>
      </c>
      <c r="E6537" s="2">
        <v>2757297.42</v>
      </c>
      <c r="F6537" s="2">
        <v>2143501.94</v>
      </c>
    </row>
    <row r="6538" spans="1:6" x14ac:dyDescent="0.25">
      <c r="A6538" s="1">
        <v>45108</v>
      </c>
      <c r="B6538" t="s">
        <v>648</v>
      </c>
      <c r="C6538" t="s">
        <v>844</v>
      </c>
      <c r="D6538" s="2">
        <v>234764.51</v>
      </c>
      <c r="E6538" s="2">
        <v>58476.75</v>
      </c>
      <c r="F6538" s="2">
        <v>98528.49</v>
      </c>
    </row>
    <row r="6539" spans="1:6" x14ac:dyDescent="0.25">
      <c r="A6539" s="1">
        <v>45108</v>
      </c>
      <c r="B6539" t="s">
        <v>143</v>
      </c>
      <c r="C6539" t="s">
        <v>351</v>
      </c>
      <c r="D6539" s="2">
        <v>1470303111.8099999</v>
      </c>
      <c r="E6539" s="2">
        <v>1470325562.1300001</v>
      </c>
      <c r="F6539" s="2">
        <v>1470349989.3099999</v>
      </c>
    </row>
    <row r="6540" spans="1:6" x14ac:dyDescent="0.25">
      <c r="A6540" s="1">
        <v>45108</v>
      </c>
      <c r="B6540" t="s">
        <v>75</v>
      </c>
      <c r="C6540" t="s">
        <v>847</v>
      </c>
      <c r="D6540" s="2">
        <v>158942.54</v>
      </c>
      <c r="E6540" s="2">
        <v>723283.25</v>
      </c>
      <c r="F6540" s="2">
        <v>397383.25</v>
      </c>
    </row>
    <row r="6541" spans="1:6" x14ac:dyDescent="0.25">
      <c r="A6541" s="1">
        <v>45108</v>
      </c>
      <c r="B6541" t="s">
        <v>23</v>
      </c>
      <c r="C6541" t="s">
        <v>698</v>
      </c>
      <c r="D6541" s="2">
        <v>576930.49</v>
      </c>
      <c r="E6541" s="2">
        <v>482740.7</v>
      </c>
      <c r="F6541" s="2">
        <v>216368.74</v>
      </c>
    </row>
    <row r="6542" spans="1:6" x14ac:dyDescent="0.25">
      <c r="A6542" s="1">
        <v>45108</v>
      </c>
      <c r="B6542" t="s">
        <v>15</v>
      </c>
      <c r="C6542" t="s">
        <v>205</v>
      </c>
      <c r="D6542" s="2">
        <v>5679603.9000000004</v>
      </c>
      <c r="E6542" s="2">
        <v>26502322.43</v>
      </c>
      <c r="F6542" s="2">
        <v>37333251.5</v>
      </c>
    </row>
    <row r="6543" spans="1:6" x14ac:dyDescent="0.25">
      <c r="A6543" s="1">
        <v>45108</v>
      </c>
      <c r="B6543" t="s">
        <v>37</v>
      </c>
      <c r="C6543" t="s">
        <v>955</v>
      </c>
      <c r="D6543" s="2">
        <v>1129911</v>
      </c>
      <c r="E6543" s="2">
        <v>121260</v>
      </c>
      <c r="F6543" s="2">
        <v>121260</v>
      </c>
    </row>
    <row r="6544" spans="1:6" x14ac:dyDescent="0.25">
      <c r="A6544" s="1">
        <v>45108</v>
      </c>
      <c r="B6544" t="s">
        <v>50</v>
      </c>
      <c r="C6544" t="s">
        <v>1150</v>
      </c>
      <c r="D6544" s="2">
        <v>3867982.35</v>
      </c>
      <c r="E6544" s="2">
        <v>16495.38</v>
      </c>
      <c r="F6544" s="2">
        <v>15296.37</v>
      </c>
    </row>
    <row r="6545" spans="1:6" x14ac:dyDescent="0.25">
      <c r="A6545" s="1">
        <v>45108</v>
      </c>
      <c r="B6545" t="s">
        <v>40</v>
      </c>
      <c r="C6545" t="s">
        <v>729</v>
      </c>
      <c r="D6545" s="2">
        <v>3099845.08</v>
      </c>
      <c r="E6545" s="2">
        <v>16416573.720000001</v>
      </c>
      <c r="F6545" s="2">
        <v>26416906.550000001</v>
      </c>
    </row>
    <row r="6546" spans="1:6" x14ac:dyDescent="0.25">
      <c r="A6546" s="1">
        <v>45108</v>
      </c>
      <c r="B6546" t="s">
        <v>405</v>
      </c>
      <c r="C6546" t="s">
        <v>839</v>
      </c>
      <c r="D6546" s="2">
        <v>130000000</v>
      </c>
      <c r="E6546">
        <v>0</v>
      </c>
      <c r="F6546">
        <v>0</v>
      </c>
    </row>
    <row r="6547" spans="1:6" x14ac:dyDescent="0.25">
      <c r="A6547" s="1">
        <v>45108</v>
      </c>
      <c r="B6547" t="s">
        <v>50</v>
      </c>
      <c r="C6547" t="s">
        <v>51</v>
      </c>
      <c r="D6547">
        <v>0</v>
      </c>
      <c r="E6547">
        <v>0</v>
      </c>
      <c r="F6547">
        <v>0</v>
      </c>
    </row>
    <row r="6548" spans="1:6" x14ac:dyDescent="0.25">
      <c r="A6548" s="1">
        <v>45108</v>
      </c>
      <c r="B6548" t="s">
        <v>44</v>
      </c>
      <c r="C6548" t="s">
        <v>828</v>
      </c>
      <c r="D6548" s="2">
        <v>2756745.79</v>
      </c>
      <c r="E6548" s="2">
        <v>807598.78</v>
      </c>
      <c r="F6548" s="2">
        <v>828982.12</v>
      </c>
    </row>
    <row r="6549" spans="1:6" x14ac:dyDescent="0.25">
      <c r="A6549" s="1">
        <v>45108</v>
      </c>
      <c r="B6549" t="s">
        <v>27</v>
      </c>
      <c r="C6549" t="s">
        <v>535</v>
      </c>
      <c r="D6549" s="2">
        <v>3887800.29</v>
      </c>
      <c r="E6549" s="2">
        <v>19172100.719999999</v>
      </c>
      <c r="F6549" s="2">
        <v>15035999.02</v>
      </c>
    </row>
    <row r="6550" spans="1:6" x14ac:dyDescent="0.25">
      <c r="A6550" s="1">
        <v>45108</v>
      </c>
      <c r="B6550" t="s">
        <v>682</v>
      </c>
      <c r="C6550" t="s">
        <v>1185</v>
      </c>
      <c r="D6550" s="2">
        <v>310116.68</v>
      </c>
      <c r="E6550" s="2">
        <v>208129.52</v>
      </c>
      <c r="F6550" s="2">
        <v>208129.52</v>
      </c>
    </row>
    <row r="6551" spans="1:6" x14ac:dyDescent="0.25">
      <c r="A6551" s="1">
        <v>45108</v>
      </c>
      <c r="B6551" t="s">
        <v>50</v>
      </c>
      <c r="C6551" t="s">
        <v>530</v>
      </c>
      <c r="D6551" s="2">
        <v>396708.03</v>
      </c>
      <c r="E6551" s="2">
        <v>291792.59999999998</v>
      </c>
      <c r="F6551" s="2">
        <v>306221.73</v>
      </c>
    </row>
    <row r="6552" spans="1:6" x14ac:dyDescent="0.25">
      <c r="A6552" s="1">
        <v>45108</v>
      </c>
      <c r="B6552" t="s">
        <v>37</v>
      </c>
      <c r="C6552" t="s">
        <v>319</v>
      </c>
      <c r="D6552">
        <v>0</v>
      </c>
      <c r="E6552">
        <v>0</v>
      </c>
      <c r="F6552">
        <v>0</v>
      </c>
    </row>
    <row r="6553" spans="1:6" x14ac:dyDescent="0.25">
      <c r="A6553" s="1">
        <v>45108</v>
      </c>
      <c r="B6553" t="s">
        <v>79</v>
      </c>
      <c r="C6553" t="s">
        <v>572</v>
      </c>
      <c r="D6553">
        <v>0</v>
      </c>
      <c r="E6553">
        <v>0</v>
      </c>
      <c r="F6553">
        <v>0</v>
      </c>
    </row>
    <row r="6554" spans="1:6" x14ac:dyDescent="0.25">
      <c r="A6554" s="1">
        <v>45108</v>
      </c>
      <c r="B6554" t="s">
        <v>40</v>
      </c>
      <c r="C6554" t="s">
        <v>706</v>
      </c>
      <c r="D6554" s="2">
        <v>-1458775</v>
      </c>
      <c r="E6554" s="2">
        <v>130044.63</v>
      </c>
      <c r="F6554" s="2">
        <v>280588.53000000003</v>
      </c>
    </row>
    <row r="6555" spans="1:6" x14ac:dyDescent="0.25">
      <c r="A6555" s="1">
        <v>45108</v>
      </c>
      <c r="B6555" t="s">
        <v>118</v>
      </c>
      <c r="C6555" t="s">
        <v>511</v>
      </c>
      <c r="D6555" s="2">
        <v>500017.43</v>
      </c>
      <c r="E6555" s="2">
        <v>34606.75</v>
      </c>
      <c r="F6555" s="2">
        <v>33461.699999999997</v>
      </c>
    </row>
    <row r="6556" spans="1:6" x14ac:dyDescent="0.25">
      <c r="A6556" s="1">
        <v>45108</v>
      </c>
      <c r="B6556" t="s">
        <v>46</v>
      </c>
      <c r="C6556" t="s">
        <v>820</v>
      </c>
      <c r="D6556" s="2">
        <v>101662.62</v>
      </c>
      <c r="E6556" s="2">
        <v>951966.74</v>
      </c>
      <c r="F6556" s="2">
        <v>952480.09</v>
      </c>
    </row>
    <row r="6557" spans="1:6" x14ac:dyDescent="0.25">
      <c r="A6557" s="1">
        <v>45108</v>
      </c>
      <c r="B6557" t="s">
        <v>9</v>
      </c>
      <c r="C6557" t="s">
        <v>182</v>
      </c>
      <c r="D6557" s="2">
        <v>5332173.3899999997</v>
      </c>
      <c r="E6557" s="2">
        <v>1712353.64</v>
      </c>
      <c r="F6557" s="2">
        <v>1712353.64</v>
      </c>
    </row>
    <row r="6558" spans="1:6" x14ac:dyDescent="0.25">
      <c r="A6558" s="1">
        <v>45108</v>
      </c>
      <c r="B6558" t="s">
        <v>296</v>
      </c>
      <c r="C6558" t="s">
        <v>230</v>
      </c>
      <c r="D6558" s="2">
        <v>2423948.89</v>
      </c>
      <c r="E6558" s="2">
        <v>2254802.15</v>
      </c>
      <c r="F6558" s="2">
        <v>2147871.2200000002</v>
      </c>
    </row>
    <row r="6559" spans="1:6" x14ac:dyDescent="0.25">
      <c r="A6559" s="1">
        <v>45108</v>
      </c>
      <c r="B6559" t="s">
        <v>92</v>
      </c>
      <c r="C6559" t="s">
        <v>860</v>
      </c>
      <c r="D6559" s="2">
        <v>2440420.9500000002</v>
      </c>
      <c r="E6559" s="2">
        <v>3483252</v>
      </c>
      <c r="F6559" s="2">
        <v>3476683.15</v>
      </c>
    </row>
    <row r="6560" spans="1:6" x14ac:dyDescent="0.25">
      <c r="A6560" s="1">
        <v>45108</v>
      </c>
      <c r="B6560" t="s">
        <v>23</v>
      </c>
      <c r="C6560" t="s">
        <v>675</v>
      </c>
      <c r="D6560" s="2">
        <v>3005129.28</v>
      </c>
      <c r="E6560" s="2">
        <v>2113129.63</v>
      </c>
      <c r="F6560" s="2">
        <v>2063101.89</v>
      </c>
    </row>
    <row r="6561" spans="1:6" x14ac:dyDescent="0.25">
      <c r="A6561" s="1">
        <v>45108</v>
      </c>
      <c r="B6561" t="s">
        <v>648</v>
      </c>
      <c r="C6561" t="s">
        <v>914</v>
      </c>
      <c r="D6561" s="2">
        <v>139097909.44</v>
      </c>
      <c r="E6561" s="2">
        <v>137435113.09</v>
      </c>
      <c r="F6561" s="2">
        <v>103013771.73</v>
      </c>
    </row>
    <row r="6562" spans="1:6" x14ac:dyDescent="0.25">
      <c r="A6562" s="1">
        <v>45108</v>
      </c>
      <c r="B6562" t="s">
        <v>143</v>
      </c>
      <c r="C6562" t="s">
        <v>378</v>
      </c>
      <c r="D6562" s="2">
        <v>180923530</v>
      </c>
      <c r="E6562">
        <v>0</v>
      </c>
      <c r="F6562">
        <v>0</v>
      </c>
    </row>
    <row r="6563" spans="1:6" x14ac:dyDescent="0.25">
      <c r="A6563" s="1">
        <v>45108</v>
      </c>
      <c r="B6563" t="s">
        <v>75</v>
      </c>
      <c r="C6563" t="s">
        <v>485</v>
      </c>
      <c r="D6563" s="2">
        <v>3403798.28</v>
      </c>
      <c r="E6563" s="2">
        <v>2092442.55</v>
      </c>
      <c r="F6563" s="2">
        <v>2951601.82</v>
      </c>
    </row>
    <row r="6564" spans="1:6" x14ac:dyDescent="0.25">
      <c r="A6564" s="1">
        <v>45108</v>
      </c>
      <c r="B6564" t="s">
        <v>90</v>
      </c>
      <c r="C6564" t="s">
        <v>158</v>
      </c>
      <c r="D6564">
        <v>0</v>
      </c>
      <c r="E6564" s="2">
        <v>14905.44</v>
      </c>
      <c r="F6564" s="2">
        <v>24834.07</v>
      </c>
    </row>
    <row r="6565" spans="1:6" x14ac:dyDescent="0.25">
      <c r="A6565" s="1">
        <v>45108</v>
      </c>
      <c r="B6565" t="s">
        <v>118</v>
      </c>
      <c r="C6565" t="s">
        <v>62</v>
      </c>
      <c r="D6565" s="2">
        <v>603529.43999999994</v>
      </c>
      <c r="E6565" s="2">
        <v>1390640.98</v>
      </c>
      <c r="F6565" s="2">
        <v>986540.17</v>
      </c>
    </row>
    <row r="6566" spans="1:6" x14ac:dyDescent="0.25">
      <c r="A6566" s="1">
        <v>45108</v>
      </c>
      <c r="B6566" t="s">
        <v>42</v>
      </c>
      <c r="C6566" t="s">
        <v>736</v>
      </c>
      <c r="D6566" s="2">
        <v>221980.61</v>
      </c>
      <c r="E6566" s="2">
        <v>31519971.66</v>
      </c>
      <c r="F6566" s="2">
        <v>47201173.170000002</v>
      </c>
    </row>
    <row r="6567" spans="1:6" x14ac:dyDescent="0.25">
      <c r="A6567" s="1">
        <v>45108</v>
      </c>
      <c r="B6567" t="s">
        <v>40</v>
      </c>
      <c r="C6567" t="s">
        <v>148</v>
      </c>
      <c r="D6567" s="2">
        <v>1504.7</v>
      </c>
      <c r="E6567" s="2">
        <v>1308576.1599999999</v>
      </c>
      <c r="F6567" s="2">
        <v>1301101.21</v>
      </c>
    </row>
    <row r="6568" spans="1:6" x14ac:dyDescent="0.25">
      <c r="A6568" s="1">
        <v>45108</v>
      </c>
      <c r="B6568" t="s">
        <v>1311</v>
      </c>
      <c r="C6568" t="s">
        <v>974</v>
      </c>
      <c r="D6568">
        <v>0</v>
      </c>
      <c r="E6568">
        <v>0</v>
      </c>
      <c r="F6568">
        <v>0</v>
      </c>
    </row>
    <row r="6569" spans="1:6" x14ac:dyDescent="0.25">
      <c r="A6569" s="1">
        <v>45108</v>
      </c>
      <c r="B6569" t="s">
        <v>37</v>
      </c>
      <c r="C6569" t="s">
        <v>384</v>
      </c>
      <c r="D6569" s="2">
        <v>1361147.4</v>
      </c>
      <c r="E6569" s="2">
        <v>522977.35</v>
      </c>
      <c r="F6569" s="2">
        <v>433403.18</v>
      </c>
    </row>
    <row r="6570" spans="1:6" x14ac:dyDescent="0.25">
      <c r="A6570" s="1">
        <v>45108</v>
      </c>
      <c r="B6570" t="s">
        <v>355</v>
      </c>
      <c r="C6570" t="s">
        <v>356</v>
      </c>
      <c r="D6570" s="2">
        <v>270000</v>
      </c>
      <c r="E6570" s="2">
        <v>3743377.96</v>
      </c>
      <c r="F6570" s="2">
        <v>3773916.79</v>
      </c>
    </row>
    <row r="6571" spans="1:6" x14ac:dyDescent="0.25">
      <c r="A6571" s="1">
        <v>45108</v>
      </c>
      <c r="B6571" t="s">
        <v>476</v>
      </c>
      <c r="C6571" t="s">
        <v>904</v>
      </c>
      <c r="D6571" s="2">
        <v>3952243.6</v>
      </c>
      <c r="E6571" s="2">
        <v>2328821.71</v>
      </c>
      <c r="F6571" s="2">
        <v>2013478.27</v>
      </c>
    </row>
    <row r="6572" spans="1:6" x14ac:dyDescent="0.25">
      <c r="A6572" s="1">
        <v>45108</v>
      </c>
      <c r="B6572" t="s">
        <v>545</v>
      </c>
      <c r="C6572" t="s">
        <v>738</v>
      </c>
      <c r="D6572" s="2">
        <v>1902728.92</v>
      </c>
      <c r="E6572" s="2">
        <v>808265.8</v>
      </c>
      <c r="F6572" s="2">
        <v>485477.21</v>
      </c>
    </row>
    <row r="6573" spans="1:6" x14ac:dyDescent="0.25">
      <c r="A6573" s="1">
        <v>45108</v>
      </c>
      <c r="B6573" t="s">
        <v>37</v>
      </c>
      <c r="C6573" t="s">
        <v>271</v>
      </c>
      <c r="D6573" s="2">
        <v>199801.2</v>
      </c>
      <c r="E6573" s="2">
        <v>45946.720000000001</v>
      </c>
      <c r="F6573" s="2">
        <v>42414.45</v>
      </c>
    </row>
    <row r="6574" spans="1:6" x14ac:dyDescent="0.25">
      <c r="A6574" s="1">
        <v>45108</v>
      </c>
      <c r="B6574" t="s">
        <v>251</v>
      </c>
      <c r="C6574" t="s">
        <v>1016</v>
      </c>
      <c r="D6574">
        <v>0</v>
      </c>
      <c r="E6574">
        <v>0</v>
      </c>
      <c r="F6574">
        <v>0</v>
      </c>
    </row>
    <row r="6575" spans="1:6" x14ac:dyDescent="0.25">
      <c r="A6575" s="1">
        <v>45108</v>
      </c>
      <c r="B6575" t="s">
        <v>23</v>
      </c>
      <c r="C6575" t="s">
        <v>677</v>
      </c>
      <c r="D6575" s="2">
        <v>616303.32999999996</v>
      </c>
      <c r="E6575" s="2">
        <v>177733.57</v>
      </c>
      <c r="F6575" s="2">
        <v>168847.18</v>
      </c>
    </row>
    <row r="6576" spans="1:6" x14ac:dyDescent="0.25">
      <c r="A6576" s="1">
        <v>45108</v>
      </c>
      <c r="B6576" t="s">
        <v>726</v>
      </c>
      <c r="C6576" t="s">
        <v>763</v>
      </c>
      <c r="D6576" s="2">
        <v>622140.23</v>
      </c>
      <c r="E6576" s="2">
        <v>480637.88</v>
      </c>
      <c r="F6576" s="2">
        <v>666740.55000000005</v>
      </c>
    </row>
    <row r="6577" spans="1:6" x14ac:dyDescent="0.25">
      <c r="A6577" s="1">
        <v>45108</v>
      </c>
      <c r="B6577" t="s">
        <v>114</v>
      </c>
      <c r="C6577" t="s">
        <v>690</v>
      </c>
      <c r="D6577" s="2">
        <v>55490595.43</v>
      </c>
      <c r="E6577" s="2">
        <v>36937630.140000001</v>
      </c>
      <c r="F6577" s="2">
        <v>30162271.850000001</v>
      </c>
    </row>
    <row r="6578" spans="1:6" x14ac:dyDescent="0.25">
      <c r="A6578" s="1">
        <v>45108</v>
      </c>
      <c r="B6578" t="s">
        <v>40</v>
      </c>
      <c r="C6578" t="s">
        <v>888</v>
      </c>
      <c r="D6578" s="2">
        <v>16889881.170000002</v>
      </c>
      <c r="E6578" s="2">
        <v>9553028.7200000007</v>
      </c>
      <c r="F6578" s="2">
        <v>9307315.2899999991</v>
      </c>
    </row>
    <row r="6579" spans="1:6" x14ac:dyDescent="0.25">
      <c r="A6579" s="1">
        <v>45108</v>
      </c>
      <c r="B6579" t="s">
        <v>50</v>
      </c>
      <c r="C6579" t="s">
        <v>787</v>
      </c>
      <c r="D6579" s="2">
        <v>68106495.480000004</v>
      </c>
      <c r="E6579" s="2">
        <v>4898242.9000000004</v>
      </c>
      <c r="F6579" s="2">
        <v>3923849.06</v>
      </c>
    </row>
    <row r="6580" spans="1:6" x14ac:dyDescent="0.25">
      <c r="A6580" s="1">
        <v>45108</v>
      </c>
      <c r="B6580" t="s">
        <v>476</v>
      </c>
      <c r="C6580" t="s">
        <v>853</v>
      </c>
      <c r="D6580" s="2">
        <v>143865563.88</v>
      </c>
      <c r="E6580" s="2">
        <v>5445335.3300000001</v>
      </c>
      <c r="F6580" s="2">
        <v>5133435.62</v>
      </c>
    </row>
    <row r="6581" spans="1:6" x14ac:dyDescent="0.25">
      <c r="A6581" s="1">
        <v>45108</v>
      </c>
      <c r="B6581" t="s">
        <v>40</v>
      </c>
      <c r="C6581" t="s">
        <v>801</v>
      </c>
      <c r="D6581" s="2">
        <v>4219163</v>
      </c>
      <c r="E6581" s="2">
        <v>3151175.02</v>
      </c>
      <c r="F6581" s="2">
        <v>3118660.14</v>
      </c>
    </row>
    <row r="6582" spans="1:6" x14ac:dyDescent="0.25">
      <c r="A6582" s="1">
        <v>45108</v>
      </c>
      <c r="B6582" t="s">
        <v>816</v>
      </c>
      <c r="C6582" t="s">
        <v>817</v>
      </c>
      <c r="D6582" s="2">
        <v>301238910.00999999</v>
      </c>
      <c r="E6582" s="2">
        <v>249760750.97999999</v>
      </c>
      <c r="F6582" s="2">
        <v>247211006.62</v>
      </c>
    </row>
    <row r="6583" spans="1:6" x14ac:dyDescent="0.25">
      <c r="A6583" s="1">
        <v>45108</v>
      </c>
      <c r="B6583" t="s">
        <v>422</v>
      </c>
      <c r="C6583" t="s">
        <v>671</v>
      </c>
      <c r="D6583" s="2">
        <v>96560694.209999993</v>
      </c>
      <c r="E6583" s="2">
        <v>4065545.49</v>
      </c>
      <c r="F6583" s="2">
        <v>6074474.6299999999</v>
      </c>
    </row>
    <row r="6584" spans="1:6" x14ac:dyDescent="0.25">
      <c r="A6584" s="1">
        <v>45108</v>
      </c>
      <c r="B6584" t="s">
        <v>11</v>
      </c>
      <c r="C6584" t="s">
        <v>391</v>
      </c>
      <c r="D6584">
        <v>0</v>
      </c>
      <c r="E6584" s="2">
        <v>28415976.780000001</v>
      </c>
      <c r="F6584" s="2">
        <v>28415976.780000001</v>
      </c>
    </row>
    <row r="6585" spans="1:6" x14ac:dyDescent="0.25">
      <c r="A6585" s="1">
        <v>45108</v>
      </c>
      <c r="B6585" t="s">
        <v>15</v>
      </c>
      <c r="C6585" t="s">
        <v>697</v>
      </c>
      <c r="D6585" s="2">
        <v>25682537.25</v>
      </c>
      <c r="E6585" s="2">
        <v>47865586.439999998</v>
      </c>
      <c r="F6585" s="2">
        <v>45414773.049999997</v>
      </c>
    </row>
    <row r="6586" spans="1:6" x14ac:dyDescent="0.25">
      <c r="A6586" s="1">
        <v>45108</v>
      </c>
      <c r="B6586" t="s">
        <v>272</v>
      </c>
      <c r="C6586" t="s">
        <v>544</v>
      </c>
      <c r="D6586" s="2">
        <v>4590883.74</v>
      </c>
      <c r="E6586" s="2">
        <v>6374170.1100000003</v>
      </c>
      <c r="F6586" s="2">
        <v>6614304.7699999996</v>
      </c>
    </row>
    <row r="6587" spans="1:6" x14ac:dyDescent="0.25">
      <c r="A6587" s="1">
        <v>45108</v>
      </c>
      <c r="B6587" t="s">
        <v>162</v>
      </c>
      <c r="C6587" t="s">
        <v>621</v>
      </c>
      <c r="D6587" s="2">
        <v>513355.87</v>
      </c>
      <c r="E6587" s="2">
        <v>2879247.69</v>
      </c>
      <c r="F6587" s="2">
        <v>3212856.35</v>
      </c>
    </row>
    <row r="6588" spans="1:6" x14ac:dyDescent="0.25">
      <c r="A6588" s="1">
        <v>45108</v>
      </c>
      <c r="B6588" t="s">
        <v>44</v>
      </c>
      <c r="C6588" t="s">
        <v>1115</v>
      </c>
      <c r="D6588" s="2">
        <v>218047.34</v>
      </c>
      <c r="E6588" s="2">
        <v>116746.42</v>
      </c>
      <c r="F6588" s="2">
        <v>113563.98</v>
      </c>
    </row>
    <row r="6589" spans="1:6" x14ac:dyDescent="0.25">
      <c r="A6589" s="1">
        <v>45108</v>
      </c>
      <c r="B6589" t="s">
        <v>23</v>
      </c>
      <c r="C6589" t="s">
        <v>198</v>
      </c>
      <c r="D6589" s="2">
        <v>40575341.289999999</v>
      </c>
      <c r="E6589" s="2">
        <v>551455.27</v>
      </c>
      <c r="F6589" s="2">
        <v>11033650.16</v>
      </c>
    </row>
    <row r="6590" spans="1:6" x14ac:dyDescent="0.25">
      <c r="A6590" s="1">
        <v>45108</v>
      </c>
      <c r="B6590" t="s">
        <v>21</v>
      </c>
      <c r="C6590" t="s">
        <v>470</v>
      </c>
      <c r="D6590" s="2">
        <v>682859749.75</v>
      </c>
      <c r="E6590" s="2">
        <v>809873799.64999998</v>
      </c>
      <c r="F6590" s="2">
        <v>800790512</v>
      </c>
    </row>
    <row r="6591" spans="1:6" x14ac:dyDescent="0.25">
      <c r="A6591" s="1">
        <v>45108</v>
      </c>
      <c r="B6591" t="s">
        <v>9</v>
      </c>
      <c r="C6591" t="s">
        <v>598</v>
      </c>
      <c r="D6591" s="2">
        <v>5807423.8799999999</v>
      </c>
      <c r="E6591" s="2">
        <v>1685924.39</v>
      </c>
      <c r="F6591" s="2">
        <v>1650978.87</v>
      </c>
    </row>
    <row r="6592" spans="1:6" x14ac:dyDescent="0.25">
      <c r="A6592" s="1">
        <v>45108</v>
      </c>
      <c r="B6592" t="s">
        <v>21</v>
      </c>
      <c r="C6592" t="s">
        <v>369</v>
      </c>
      <c r="D6592" s="2">
        <v>3148625.91</v>
      </c>
      <c r="E6592" s="2">
        <v>543315.43999999994</v>
      </c>
      <c r="F6592" s="2">
        <v>354361.91</v>
      </c>
    </row>
    <row r="6593" spans="1:6" x14ac:dyDescent="0.25">
      <c r="A6593" s="1">
        <v>45108</v>
      </c>
      <c r="B6593" t="s">
        <v>40</v>
      </c>
      <c r="C6593" t="s">
        <v>449</v>
      </c>
      <c r="D6593" s="2">
        <v>53347.7</v>
      </c>
      <c r="E6593" s="2">
        <v>76410.69</v>
      </c>
      <c r="F6593" s="2">
        <v>697343.41</v>
      </c>
    </row>
    <row r="6594" spans="1:6" x14ac:dyDescent="0.25">
      <c r="A6594" s="1">
        <v>45108</v>
      </c>
      <c r="B6594" t="s">
        <v>105</v>
      </c>
      <c r="C6594" t="s">
        <v>106</v>
      </c>
      <c r="D6594" s="2">
        <v>15125639</v>
      </c>
      <c r="E6594">
        <v>0</v>
      </c>
      <c r="F6594">
        <v>0</v>
      </c>
    </row>
    <row r="6595" spans="1:6" x14ac:dyDescent="0.25">
      <c r="A6595" s="1">
        <v>45108</v>
      </c>
      <c r="B6595" t="s">
        <v>98</v>
      </c>
      <c r="C6595" t="s">
        <v>996</v>
      </c>
      <c r="D6595">
        <v>0</v>
      </c>
      <c r="E6595">
        <v>0</v>
      </c>
      <c r="F6595">
        <v>0</v>
      </c>
    </row>
    <row r="6596" spans="1:6" x14ac:dyDescent="0.25">
      <c r="A6596" s="1">
        <v>45108</v>
      </c>
      <c r="B6596" t="s">
        <v>27</v>
      </c>
      <c r="C6596" t="s">
        <v>835</v>
      </c>
      <c r="D6596" s="2">
        <v>28000</v>
      </c>
      <c r="E6596" s="2">
        <v>377667</v>
      </c>
      <c r="F6596" s="2">
        <v>377667</v>
      </c>
    </row>
    <row r="6597" spans="1:6" x14ac:dyDescent="0.25">
      <c r="A6597" s="1">
        <v>45108</v>
      </c>
      <c r="B6597" t="s">
        <v>7</v>
      </c>
      <c r="C6597" t="s">
        <v>124</v>
      </c>
      <c r="D6597">
        <v>0</v>
      </c>
      <c r="E6597" s="2">
        <v>10545082.41</v>
      </c>
      <c r="F6597" s="2">
        <v>10545082.41</v>
      </c>
    </row>
    <row r="6598" spans="1:6" x14ac:dyDescent="0.25">
      <c r="A6598" s="1">
        <v>45108</v>
      </c>
      <c r="B6598" t="s">
        <v>132</v>
      </c>
      <c r="C6598" t="s">
        <v>956</v>
      </c>
      <c r="D6598">
        <v>0</v>
      </c>
      <c r="E6598">
        <v>0</v>
      </c>
      <c r="F6598">
        <v>0</v>
      </c>
    </row>
    <row r="6599" spans="1:6" x14ac:dyDescent="0.25">
      <c r="A6599" s="1">
        <v>45108</v>
      </c>
      <c r="B6599" t="s">
        <v>118</v>
      </c>
      <c r="C6599" t="s">
        <v>754</v>
      </c>
      <c r="D6599">
        <v>0</v>
      </c>
      <c r="E6599">
        <v>0</v>
      </c>
      <c r="F6599">
        <v>0</v>
      </c>
    </row>
    <row r="6600" spans="1:6" x14ac:dyDescent="0.25">
      <c r="A6600" s="1">
        <v>45108</v>
      </c>
      <c r="B6600" t="s">
        <v>23</v>
      </c>
      <c r="C6600" t="s">
        <v>131</v>
      </c>
      <c r="D6600" s="2">
        <v>285138.31</v>
      </c>
      <c r="E6600" s="2">
        <v>276493.23</v>
      </c>
      <c r="F6600" s="2">
        <v>147258.65</v>
      </c>
    </row>
    <row r="6601" spans="1:6" x14ac:dyDescent="0.25">
      <c r="A6601" s="1">
        <v>45108</v>
      </c>
      <c r="B6601" t="s">
        <v>143</v>
      </c>
      <c r="C6601" t="s">
        <v>529</v>
      </c>
      <c r="D6601" s="2">
        <v>22946833</v>
      </c>
      <c r="E6601">
        <v>0</v>
      </c>
      <c r="F6601">
        <v>0</v>
      </c>
    </row>
    <row r="6602" spans="1:6" x14ac:dyDescent="0.25">
      <c r="A6602" s="1">
        <v>45108</v>
      </c>
      <c r="B6602" t="s">
        <v>306</v>
      </c>
      <c r="C6602" t="s">
        <v>814</v>
      </c>
      <c r="D6602" s="2">
        <v>15867939.99</v>
      </c>
      <c r="E6602" s="2">
        <v>545592.9</v>
      </c>
      <c r="F6602" s="2">
        <v>721347.33</v>
      </c>
    </row>
    <row r="6603" spans="1:6" x14ac:dyDescent="0.25">
      <c r="A6603" s="1">
        <v>45108</v>
      </c>
      <c r="B6603" t="s">
        <v>40</v>
      </c>
      <c r="C6603" t="s">
        <v>616</v>
      </c>
      <c r="D6603">
        <v>0</v>
      </c>
      <c r="E6603" s="2">
        <v>73485364.900000006</v>
      </c>
      <c r="F6603" s="2">
        <v>101060637.40000001</v>
      </c>
    </row>
    <row r="6604" spans="1:6" x14ac:dyDescent="0.25">
      <c r="A6604" s="1">
        <v>45108</v>
      </c>
      <c r="B6604" t="s">
        <v>278</v>
      </c>
      <c r="C6604" t="s">
        <v>626</v>
      </c>
      <c r="D6604" s="2">
        <v>700132</v>
      </c>
      <c r="E6604" s="2">
        <v>4183852127.23</v>
      </c>
      <c r="F6604" s="2">
        <v>4213585162.8299999</v>
      </c>
    </row>
    <row r="6605" spans="1:6" x14ac:dyDescent="0.25">
      <c r="A6605" s="1">
        <v>45108</v>
      </c>
      <c r="B6605" t="s">
        <v>37</v>
      </c>
      <c r="C6605" t="s">
        <v>349</v>
      </c>
      <c r="D6605">
        <v>20</v>
      </c>
      <c r="E6605" s="2">
        <v>5134519.32</v>
      </c>
      <c r="F6605" s="2">
        <v>5134519.32</v>
      </c>
    </row>
    <row r="6606" spans="1:6" x14ac:dyDescent="0.25">
      <c r="A6606" s="1">
        <v>45108</v>
      </c>
      <c r="B6606" t="s">
        <v>25</v>
      </c>
      <c r="C6606" t="s">
        <v>324</v>
      </c>
      <c r="D6606">
        <v>0</v>
      </c>
      <c r="E6606" s="2">
        <v>20437729.350000001</v>
      </c>
      <c r="F6606" s="2">
        <v>20437729.350000001</v>
      </c>
    </row>
    <row r="6607" spans="1:6" x14ac:dyDescent="0.25">
      <c r="A6607" s="1">
        <v>45108</v>
      </c>
      <c r="B6607" t="s">
        <v>118</v>
      </c>
      <c r="C6607" t="s">
        <v>419</v>
      </c>
      <c r="D6607" s="2">
        <v>-2407696.59</v>
      </c>
      <c r="E6607" s="2">
        <v>19045.79</v>
      </c>
      <c r="F6607" s="2">
        <v>31514.65</v>
      </c>
    </row>
    <row r="6608" spans="1:6" x14ac:dyDescent="0.25">
      <c r="A6608" s="1">
        <v>45108</v>
      </c>
      <c r="B6608" t="s">
        <v>37</v>
      </c>
      <c r="C6608" t="s">
        <v>809</v>
      </c>
      <c r="D6608" s="2">
        <v>595780.27</v>
      </c>
      <c r="E6608" s="2">
        <v>741996.93</v>
      </c>
      <c r="F6608" s="2">
        <v>798297.18</v>
      </c>
    </row>
    <row r="6609" spans="1:6" x14ac:dyDescent="0.25">
      <c r="A6609" s="1">
        <v>45108</v>
      </c>
      <c r="B6609" t="s">
        <v>21</v>
      </c>
      <c r="C6609" t="s">
        <v>312</v>
      </c>
      <c r="D6609" s="2">
        <v>2532624</v>
      </c>
      <c r="E6609" s="2">
        <v>905909.79</v>
      </c>
      <c r="F6609" s="2">
        <v>905909.79</v>
      </c>
    </row>
    <row r="6610" spans="1:6" x14ac:dyDescent="0.25">
      <c r="A6610" s="1">
        <v>45108</v>
      </c>
      <c r="B6610" t="s">
        <v>490</v>
      </c>
      <c r="C6610" t="s">
        <v>542</v>
      </c>
      <c r="D6610" s="2">
        <v>1107858.02</v>
      </c>
      <c r="E6610" s="2">
        <v>2078126.63</v>
      </c>
      <c r="F6610" s="2">
        <v>1542309.92</v>
      </c>
    </row>
    <row r="6611" spans="1:6" x14ac:dyDescent="0.25">
      <c r="A6611" s="1">
        <v>45108</v>
      </c>
      <c r="B6611" t="s">
        <v>118</v>
      </c>
      <c r="C6611" t="s">
        <v>885</v>
      </c>
      <c r="D6611" s="2">
        <v>285152487.08999997</v>
      </c>
      <c r="E6611" s="2">
        <v>4934411.4000000004</v>
      </c>
      <c r="F6611" s="2">
        <v>1114807.83</v>
      </c>
    </row>
    <row r="6612" spans="1:6" x14ac:dyDescent="0.25">
      <c r="A6612" s="1">
        <v>45108</v>
      </c>
      <c r="B6612" t="s">
        <v>50</v>
      </c>
      <c r="C6612" t="s">
        <v>222</v>
      </c>
      <c r="D6612" s="2">
        <v>9855155.4399999995</v>
      </c>
      <c r="E6612" s="2">
        <v>6068284.2800000003</v>
      </c>
      <c r="F6612" s="2">
        <v>6068284.2800000003</v>
      </c>
    </row>
    <row r="6613" spans="1:6" x14ac:dyDescent="0.25">
      <c r="A6613" s="1">
        <v>45108</v>
      </c>
      <c r="B6613" t="s">
        <v>23</v>
      </c>
      <c r="C6613" t="s">
        <v>655</v>
      </c>
      <c r="D6613">
        <v>0</v>
      </c>
      <c r="E6613">
        <v>0</v>
      </c>
      <c r="F6613">
        <v>0</v>
      </c>
    </row>
    <row r="6614" spans="1:6" x14ac:dyDescent="0.25">
      <c r="A6614" s="1">
        <v>45108</v>
      </c>
      <c r="B6614" t="s">
        <v>31</v>
      </c>
      <c r="C6614" t="s">
        <v>82</v>
      </c>
      <c r="D6614" s="2">
        <v>-34088.33</v>
      </c>
      <c r="E6614">
        <v>0</v>
      </c>
      <c r="F6614">
        <v>0</v>
      </c>
    </row>
    <row r="6615" spans="1:6" x14ac:dyDescent="0.25">
      <c r="A6615" s="1">
        <v>45108</v>
      </c>
      <c r="B6615" t="s">
        <v>263</v>
      </c>
      <c r="C6615" t="s">
        <v>824</v>
      </c>
      <c r="D6615" s="2">
        <v>-11159513.050000001</v>
      </c>
      <c r="E6615" s="2">
        <v>-3655375.08</v>
      </c>
      <c r="F6615" s="2">
        <v>-1939181.41</v>
      </c>
    </row>
    <row r="6616" spans="1:6" x14ac:dyDescent="0.25">
      <c r="A6616" s="1">
        <v>45108</v>
      </c>
      <c r="B6616" t="s">
        <v>48</v>
      </c>
      <c r="C6616" t="s">
        <v>472</v>
      </c>
      <c r="D6616" s="2">
        <v>2043454.23</v>
      </c>
      <c r="E6616" s="2">
        <v>2379297.75</v>
      </c>
      <c r="F6616" s="2">
        <v>2370733.75</v>
      </c>
    </row>
    <row r="6617" spans="1:6" x14ac:dyDescent="0.25">
      <c r="A6617" s="1">
        <v>45108</v>
      </c>
      <c r="B6617" t="s">
        <v>460</v>
      </c>
      <c r="C6617" t="s">
        <v>461</v>
      </c>
      <c r="D6617" s="2">
        <v>1109153.05</v>
      </c>
      <c r="E6617" s="2">
        <v>105184.38</v>
      </c>
      <c r="F6617" s="2">
        <v>105184.38</v>
      </c>
    </row>
    <row r="6618" spans="1:6" x14ac:dyDescent="0.25">
      <c r="A6618" s="1">
        <v>45108</v>
      </c>
      <c r="B6618" t="s">
        <v>37</v>
      </c>
      <c r="C6618" t="s">
        <v>492</v>
      </c>
      <c r="D6618" s="2">
        <v>122727043.17</v>
      </c>
      <c r="E6618" s="2">
        <v>96246651.989999995</v>
      </c>
      <c r="F6618" s="2">
        <v>96265041.829999998</v>
      </c>
    </row>
    <row r="6619" spans="1:6" x14ac:dyDescent="0.25">
      <c r="A6619" s="1">
        <v>45108</v>
      </c>
      <c r="B6619" t="s">
        <v>114</v>
      </c>
      <c r="C6619" t="s">
        <v>829</v>
      </c>
      <c r="D6619" s="2">
        <v>166877130.05000001</v>
      </c>
      <c r="E6619" s="2">
        <v>23116325.449999999</v>
      </c>
      <c r="F6619" s="2">
        <v>25047685.920000002</v>
      </c>
    </row>
    <row r="6620" spans="1:6" x14ac:dyDescent="0.25">
      <c r="A6620" s="1">
        <v>45108</v>
      </c>
      <c r="B6620" t="s">
        <v>46</v>
      </c>
      <c r="C6620" t="s">
        <v>587</v>
      </c>
      <c r="D6620" s="2">
        <v>110000</v>
      </c>
      <c r="E6620" s="2">
        <v>40807.839999999997</v>
      </c>
      <c r="F6620" s="2">
        <v>40807.839999999997</v>
      </c>
    </row>
    <row r="6621" spans="1:6" x14ac:dyDescent="0.25">
      <c r="A6621" s="1">
        <v>45108</v>
      </c>
      <c r="B6621" t="s">
        <v>23</v>
      </c>
      <c r="C6621" t="s">
        <v>891</v>
      </c>
      <c r="D6621" s="2">
        <v>99635.65</v>
      </c>
      <c r="E6621" s="2">
        <v>821107.98</v>
      </c>
      <c r="F6621" s="2">
        <v>664468.92000000004</v>
      </c>
    </row>
    <row r="6622" spans="1:6" x14ac:dyDescent="0.25">
      <c r="A6622" s="1">
        <v>45108</v>
      </c>
      <c r="B6622" t="s">
        <v>42</v>
      </c>
      <c r="C6622" t="s">
        <v>894</v>
      </c>
      <c r="D6622" s="2">
        <v>813617.98</v>
      </c>
      <c r="E6622" s="2">
        <v>76653374.640000001</v>
      </c>
      <c r="F6622" s="2">
        <v>94202002.5</v>
      </c>
    </row>
    <row r="6623" spans="1:6" x14ac:dyDescent="0.25">
      <c r="A6623" s="1">
        <v>45108</v>
      </c>
      <c r="B6623" t="s">
        <v>23</v>
      </c>
      <c r="C6623" t="s">
        <v>681</v>
      </c>
      <c r="D6623" s="2">
        <v>17959600.699999999</v>
      </c>
      <c r="E6623" s="2">
        <v>1809761.29</v>
      </c>
      <c r="F6623" s="2">
        <v>1051555.28</v>
      </c>
    </row>
    <row r="6624" spans="1:6" x14ac:dyDescent="0.25">
      <c r="A6624" s="1">
        <v>45108</v>
      </c>
      <c r="B6624" t="s">
        <v>17</v>
      </c>
      <c r="C6624" t="s">
        <v>799</v>
      </c>
      <c r="D6624" s="2">
        <v>1399266.02</v>
      </c>
      <c r="E6624" s="2">
        <v>449617.62</v>
      </c>
      <c r="F6624" s="2">
        <v>447632.82</v>
      </c>
    </row>
    <row r="6625" spans="1:6" x14ac:dyDescent="0.25">
      <c r="A6625" s="1">
        <v>45108</v>
      </c>
      <c r="B6625" t="s">
        <v>306</v>
      </c>
      <c r="C6625" t="s">
        <v>403</v>
      </c>
      <c r="D6625" s="2">
        <v>2922052.72</v>
      </c>
      <c r="E6625" s="2">
        <v>2851576.26</v>
      </c>
      <c r="F6625" s="2">
        <v>2852190.77</v>
      </c>
    </row>
    <row r="6626" spans="1:6" x14ac:dyDescent="0.25">
      <c r="A6626" s="1">
        <v>45108</v>
      </c>
      <c r="B6626" t="s">
        <v>23</v>
      </c>
      <c r="C6626" t="s">
        <v>439</v>
      </c>
      <c r="D6626" s="2">
        <v>116583.11</v>
      </c>
      <c r="E6626" s="2">
        <v>32361.99</v>
      </c>
      <c r="F6626" s="2">
        <v>17700.53</v>
      </c>
    </row>
    <row r="6627" spans="1:6" x14ac:dyDescent="0.25">
      <c r="A6627" s="1">
        <v>45108</v>
      </c>
      <c r="B6627" t="s">
        <v>107</v>
      </c>
      <c r="C6627" t="s">
        <v>501</v>
      </c>
      <c r="D6627" s="2">
        <v>51114326.75</v>
      </c>
      <c r="E6627" s="2">
        <v>318838093.70999998</v>
      </c>
      <c r="F6627" s="2">
        <v>313827961.57999998</v>
      </c>
    </row>
    <row r="6628" spans="1:6" x14ac:dyDescent="0.25">
      <c r="A6628" s="1">
        <v>45108</v>
      </c>
      <c r="B6628" t="s">
        <v>23</v>
      </c>
      <c r="C6628" t="s">
        <v>761</v>
      </c>
      <c r="D6628" s="2">
        <v>118242537.41</v>
      </c>
      <c r="E6628" s="2">
        <v>83123570.590000004</v>
      </c>
      <c r="F6628" s="2">
        <v>81677729.659999996</v>
      </c>
    </row>
    <row r="6629" spans="1:6" x14ac:dyDescent="0.25">
      <c r="A6629" s="1">
        <v>45108</v>
      </c>
      <c r="B6629" t="s">
        <v>40</v>
      </c>
      <c r="C6629" t="s">
        <v>581</v>
      </c>
      <c r="D6629">
        <v>0</v>
      </c>
      <c r="E6629" s="2">
        <v>38155500</v>
      </c>
      <c r="F6629" s="2">
        <v>38304600</v>
      </c>
    </row>
    <row r="6630" spans="1:6" x14ac:dyDescent="0.25">
      <c r="A6630" s="1">
        <v>45108</v>
      </c>
      <c r="B6630" t="s">
        <v>27</v>
      </c>
      <c r="C6630" t="s">
        <v>788</v>
      </c>
      <c r="D6630" s="2">
        <v>15929.5</v>
      </c>
      <c r="E6630" s="2">
        <v>63112.21</v>
      </c>
      <c r="F6630" s="2">
        <v>54820.88</v>
      </c>
    </row>
    <row r="6631" spans="1:6" x14ac:dyDescent="0.25">
      <c r="A6631" s="1">
        <v>45108</v>
      </c>
      <c r="B6631" t="s">
        <v>23</v>
      </c>
      <c r="C6631" t="s">
        <v>886</v>
      </c>
      <c r="D6631" s="2">
        <v>25362163.91</v>
      </c>
      <c r="E6631" s="2">
        <v>12481227.699999999</v>
      </c>
      <c r="F6631" s="2">
        <v>11317252.59</v>
      </c>
    </row>
    <row r="6632" spans="1:6" x14ac:dyDescent="0.25">
      <c r="A6632" s="1">
        <v>45108</v>
      </c>
      <c r="B6632" t="s">
        <v>288</v>
      </c>
      <c r="C6632" t="s">
        <v>480</v>
      </c>
      <c r="D6632" s="2">
        <v>13133.19</v>
      </c>
      <c r="E6632" s="2">
        <v>13133.19</v>
      </c>
      <c r="F6632" s="2">
        <v>21347.49</v>
      </c>
    </row>
    <row r="6633" spans="1:6" x14ac:dyDescent="0.25">
      <c r="A6633" s="1">
        <v>45108</v>
      </c>
      <c r="B6633" t="s">
        <v>127</v>
      </c>
      <c r="C6633" t="s">
        <v>171</v>
      </c>
      <c r="D6633" s="2">
        <v>1381160</v>
      </c>
      <c r="E6633" s="2">
        <v>6661.23</v>
      </c>
      <c r="F6633" s="2">
        <v>6661.23</v>
      </c>
    </row>
    <row r="6634" spans="1:6" x14ac:dyDescent="0.25">
      <c r="A6634" s="1">
        <v>45108</v>
      </c>
      <c r="B6634" t="s">
        <v>107</v>
      </c>
      <c r="C6634" t="s">
        <v>197</v>
      </c>
      <c r="D6634" s="2">
        <v>32700615.710000001</v>
      </c>
      <c r="E6634" s="2">
        <v>29477392.809999999</v>
      </c>
      <c r="F6634" s="2">
        <v>29308285.030000001</v>
      </c>
    </row>
    <row r="6635" spans="1:6" x14ac:dyDescent="0.25">
      <c r="A6635" s="1">
        <v>45108</v>
      </c>
      <c r="B6635" t="s">
        <v>21</v>
      </c>
      <c r="C6635" t="s">
        <v>1006</v>
      </c>
      <c r="D6635" s="2">
        <v>200000</v>
      </c>
      <c r="E6635" s="2">
        <v>3170789.13</v>
      </c>
      <c r="F6635" s="2">
        <v>3170789.13</v>
      </c>
    </row>
    <row r="6636" spans="1:6" x14ac:dyDescent="0.25">
      <c r="A6636" s="1">
        <v>45108</v>
      </c>
      <c r="B6636" t="s">
        <v>68</v>
      </c>
      <c r="C6636" t="s">
        <v>503</v>
      </c>
      <c r="D6636" s="2">
        <v>2167523</v>
      </c>
      <c r="E6636" s="2">
        <v>6454218.8399999999</v>
      </c>
      <c r="F6636" s="2">
        <v>8254218.8399999999</v>
      </c>
    </row>
    <row r="6637" spans="1:6" x14ac:dyDescent="0.25">
      <c r="A6637" s="1">
        <v>45108</v>
      </c>
      <c r="B6637" t="s">
        <v>296</v>
      </c>
      <c r="C6637" t="s">
        <v>470</v>
      </c>
      <c r="D6637" s="2">
        <v>1991160.43</v>
      </c>
      <c r="E6637" s="2">
        <v>8299380.4500000002</v>
      </c>
      <c r="F6637" s="2">
        <v>8159248.3799999999</v>
      </c>
    </row>
    <row r="6638" spans="1:6" x14ac:dyDescent="0.25">
      <c r="A6638" s="1">
        <v>45108</v>
      </c>
      <c r="B6638" t="s">
        <v>23</v>
      </c>
      <c r="C6638" t="s">
        <v>779</v>
      </c>
      <c r="D6638" s="2">
        <v>440977.29</v>
      </c>
      <c r="E6638" s="2">
        <v>187567.69</v>
      </c>
      <c r="F6638" s="2">
        <v>176573.79</v>
      </c>
    </row>
    <row r="6639" spans="1:6" x14ac:dyDescent="0.25">
      <c r="A6639" s="1">
        <v>45108</v>
      </c>
      <c r="B6639" t="s">
        <v>288</v>
      </c>
      <c r="C6639" t="s">
        <v>660</v>
      </c>
      <c r="D6639" s="2">
        <v>11068.49</v>
      </c>
      <c r="E6639" s="2">
        <v>11068.49</v>
      </c>
      <c r="F6639" s="2">
        <v>11068.49</v>
      </c>
    </row>
    <row r="6640" spans="1:6" x14ac:dyDescent="0.25">
      <c r="A6640" s="1">
        <v>45108</v>
      </c>
      <c r="B6640" t="s">
        <v>29</v>
      </c>
      <c r="C6640" t="s">
        <v>804</v>
      </c>
      <c r="D6640" s="2">
        <v>2959044.18</v>
      </c>
      <c r="E6640" s="2">
        <v>3447070.6</v>
      </c>
      <c r="F6640" s="2">
        <v>3471498.66</v>
      </c>
    </row>
    <row r="6641" spans="1:6" x14ac:dyDescent="0.25">
      <c r="A6641" s="1">
        <v>45108</v>
      </c>
      <c r="B6641" t="s">
        <v>37</v>
      </c>
      <c r="C6641" t="s">
        <v>624</v>
      </c>
      <c r="D6641" s="2">
        <v>98949.66</v>
      </c>
      <c r="E6641" s="2">
        <v>2045088.22</v>
      </c>
      <c r="F6641" s="2">
        <v>1637684.57</v>
      </c>
    </row>
    <row r="6642" spans="1:6" x14ac:dyDescent="0.25">
      <c r="A6642" s="1">
        <v>45108</v>
      </c>
      <c r="B6642" t="s">
        <v>40</v>
      </c>
      <c r="C6642" t="s">
        <v>440</v>
      </c>
      <c r="D6642" s="2">
        <v>431853.58</v>
      </c>
      <c r="E6642" s="2">
        <v>550046.65</v>
      </c>
      <c r="F6642" s="2">
        <v>368139.71</v>
      </c>
    </row>
    <row r="6643" spans="1:6" x14ac:dyDescent="0.25">
      <c r="A6643" s="1">
        <v>45108</v>
      </c>
      <c r="B6643" t="s">
        <v>31</v>
      </c>
      <c r="C6643" t="s">
        <v>223</v>
      </c>
      <c r="D6643" s="2">
        <v>-25255637.649999999</v>
      </c>
      <c r="E6643" s="2">
        <v>8883534.0099999998</v>
      </c>
      <c r="F6643" s="2">
        <v>8883534.0099999998</v>
      </c>
    </row>
    <row r="6644" spans="1:6" x14ac:dyDescent="0.25">
      <c r="A6644" s="1">
        <v>45108</v>
      </c>
      <c r="B6644" t="s">
        <v>40</v>
      </c>
      <c r="C6644" t="s">
        <v>825</v>
      </c>
      <c r="D6644" s="2">
        <v>47186113.57</v>
      </c>
      <c r="E6644" s="2">
        <v>19315797.100000001</v>
      </c>
      <c r="F6644" s="2">
        <v>22155034.77</v>
      </c>
    </row>
    <row r="6645" spans="1:6" x14ac:dyDescent="0.25">
      <c r="A6645" s="1">
        <v>45108</v>
      </c>
      <c r="B6645" t="s">
        <v>816</v>
      </c>
      <c r="C6645" t="s">
        <v>870</v>
      </c>
      <c r="D6645" s="2">
        <v>20199506.91</v>
      </c>
      <c r="E6645" s="2">
        <v>4521919.38</v>
      </c>
      <c r="F6645" s="2">
        <v>4321639.5999999996</v>
      </c>
    </row>
    <row r="6646" spans="1:6" x14ac:dyDescent="0.25">
      <c r="A6646" s="1">
        <v>45108</v>
      </c>
      <c r="B6646" t="s">
        <v>15</v>
      </c>
      <c r="C6646" t="s">
        <v>796</v>
      </c>
      <c r="D6646" s="2">
        <v>12205427.960000001</v>
      </c>
      <c r="E6646" s="2">
        <v>9934756.9700000007</v>
      </c>
      <c r="F6646" s="2">
        <v>9886020.3300000001</v>
      </c>
    </row>
    <row r="6647" spans="1:6" x14ac:dyDescent="0.25">
      <c r="A6647" s="1">
        <v>45108</v>
      </c>
      <c r="B6647" t="s">
        <v>40</v>
      </c>
      <c r="C6647" t="s">
        <v>599</v>
      </c>
      <c r="D6647" s="2">
        <v>52278490.020000003</v>
      </c>
      <c r="E6647" s="2">
        <v>79985628.180000007</v>
      </c>
      <c r="F6647" s="2">
        <v>91878079.609999999</v>
      </c>
    </row>
    <row r="6648" spans="1:6" x14ac:dyDescent="0.25">
      <c r="A6648" s="1">
        <v>45108</v>
      </c>
      <c r="B6648" t="s">
        <v>21</v>
      </c>
      <c r="C6648" t="s">
        <v>1119</v>
      </c>
      <c r="D6648" s="2">
        <v>-30000000</v>
      </c>
      <c r="E6648">
        <v>0</v>
      </c>
      <c r="F6648">
        <v>0</v>
      </c>
    </row>
    <row r="6649" spans="1:6" x14ac:dyDescent="0.25">
      <c r="A6649" s="1">
        <v>45108</v>
      </c>
      <c r="B6649" t="s">
        <v>46</v>
      </c>
      <c r="C6649" t="s">
        <v>852</v>
      </c>
      <c r="D6649" s="2">
        <v>236100</v>
      </c>
      <c r="E6649" s="2">
        <v>154516.29</v>
      </c>
      <c r="F6649" s="2">
        <v>153582.78</v>
      </c>
    </row>
    <row r="6650" spans="1:6" x14ac:dyDescent="0.25">
      <c r="A6650" s="1">
        <v>45108</v>
      </c>
      <c r="B6650" t="s">
        <v>11</v>
      </c>
      <c r="C6650" t="s">
        <v>471</v>
      </c>
      <c r="D6650" s="2">
        <v>21754656.030000001</v>
      </c>
      <c r="E6650" s="2">
        <v>41431407.189999998</v>
      </c>
      <c r="F6650" s="2">
        <v>47686612.780000001</v>
      </c>
    </row>
    <row r="6651" spans="1:6" x14ac:dyDescent="0.25">
      <c r="A6651" s="1">
        <v>45108</v>
      </c>
      <c r="B6651" t="s">
        <v>37</v>
      </c>
      <c r="C6651" t="s">
        <v>884</v>
      </c>
      <c r="D6651" s="2">
        <v>168774.1</v>
      </c>
      <c r="E6651" s="2">
        <v>84147.17</v>
      </c>
      <c r="F6651" s="2">
        <v>75800.23</v>
      </c>
    </row>
    <row r="6652" spans="1:6" x14ac:dyDescent="0.25">
      <c r="A6652" s="1">
        <v>45108</v>
      </c>
      <c r="B6652" t="s">
        <v>50</v>
      </c>
      <c r="C6652" t="s">
        <v>793</v>
      </c>
      <c r="D6652" s="2">
        <v>2480871.36</v>
      </c>
      <c r="E6652" s="2">
        <v>4713600.08</v>
      </c>
      <c r="F6652" s="2">
        <v>4731106.7300000004</v>
      </c>
    </row>
    <row r="6653" spans="1:6" x14ac:dyDescent="0.25">
      <c r="A6653" s="1">
        <v>45108</v>
      </c>
      <c r="B6653" t="s">
        <v>107</v>
      </c>
      <c r="C6653" t="s">
        <v>890</v>
      </c>
      <c r="D6653" s="2">
        <v>69041073.540000007</v>
      </c>
      <c r="E6653" s="2">
        <v>47475199.259999998</v>
      </c>
      <c r="F6653" s="2">
        <v>45664348.159999996</v>
      </c>
    </row>
    <row r="6654" spans="1:6" x14ac:dyDescent="0.25">
      <c r="A6654" s="1">
        <v>45108</v>
      </c>
      <c r="B6654" t="s">
        <v>23</v>
      </c>
      <c r="C6654" t="s">
        <v>708</v>
      </c>
      <c r="D6654" s="2">
        <v>1657207.37</v>
      </c>
      <c r="E6654" s="2">
        <v>366336.63</v>
      </c>
      <c r="F6654" s="2">
        <v>315543.88</v>
      </c>
    </row>
    <row r="6655" spans="1:6" x14ac:dyDescent="0.25">
      <c r="A6655" s="1">
        <v>45108</v>
      </c>
      <c r="B6655" t="s">
        <v>23</v>
      </c>
      <c r="C6655" t="s">
        <v>611</v>
      </c>
      <c r="D6655" s="2">
        <v>-9306347.8399999999</v>
      </c>
      <c r="E6655" s="2">
        <v>158836849.94999999</v>
      </c>
      <c r="F6655" s="2">
        <v>158599105.06</v>
      </c>
    </row>
    <row r="6656" spans="1:6" x14ac:dyDescent="0.25">
      <c r="A6656" s="1">
        <v>45108</v>
      </c>
      <c r="B6656" t="s">
        <v>17</v>
      </c>
      <c r="C6656" t="s">
        <v>145</v>
      </c>
      <c r="D6656" s="2">
        <v>4680000</v>
      </c>
      <c r="E6656" s="2">
        <v>3454048.19</v>
      </c>
      <c r="F6656" s="2">
        <v>2434398.19</v>
      </c>
    </row>
    <row r="6657" spans="1:6" x14ac:dyDescent="0.25">
      <c r="A6657" s="1">
        <v>45108</v>
      </c>
      <c r="B6657" t="s">
        <v>216</v>
      </c>
      <c r="C6657" t="s">
        <v>638</v>
      </c>
      <c r="D6657" s="2">
        <v>19583136.649999999</v>
      </c>
      <c r="E6657" s="2">
        <v>4640780.22</v>
      </c>
      <c r="F6657" s="2">
        <v>3534213.34</v>
      </c>
    </row>
    <row r="6658" spans="1:6" x14ac:dyDescent="0.25">
      <c r="A6658" s="1">
        <v>45108</v>
      </c>
      <c r="B6658" t="s">
        <v>101</v>
      </c>
      <c r="C6658" t="s">
        <v>786</v>
      </c>
      <c r="D6658" s="2">
        <v>4431348.74</v>
      </c>
      <c r="E6658" s="2">
        <v>3308569.51</v>
      </c>
      <c r="F6658" s="2">
        <v>2749933.76</v>
      </c>
    </row>
    <row r="6659" spans="1:6" x14ac:dyDescent="0.25">
      <c r="A6659" s="1">
        <v>45108</v>
      </c>
      <c r="B6659" t="s">
        <v>619</v>
      </c>
      <c r="C6659" t="s">
        <v>823</v>
      </c>
      <c r="D6659" s="2">
        <v>2788495.87</v>
      </c>
      <c r="E6659" s="2">
        <v>2981685.65</v>
      </c>
      <c r="F6659" s="2">
        <v>2284097.13</v>
      </c>
    </row>
    <row r="6660" spans="1:6" x14ac:dyDescent="0.25">
      <c r="A6660" s="1">
        <v>45108</v>
      </c>
      <c r="B6660" t="s">
        <v>842</v>
      </c>
      <c r="C6660" t="s">
        <v>843</v>
      </c>
      <c r="D6660" s="2">
        <v>2719238.57</v>
      </c>
      <c r="E6660" s="2">
        <v>7995743.7199999997</v>
      </c>
      <c r="F6660" s="2">
        <v>6353228.1799999997</v>
      </c>
    </row>
    <row r="6661" spans="1:6" x14ac:dyDescent="0.25">
      <c r="A6661" s="1">
        <v>45108</v>
      </c>
      <c r="B6661" t="s">
        <v>11</v>
      </c>
      <c r="C6661" t="s">
        <v>342</v>
      </c>
      <c r="D6661" s="2">
        <v>736151503.03999996</v>
      </c>
      <c r="E6661" s="2">
        <v>564364480.52999997</v>
      </c>
      <c r="F6661" s="2">
        <v>588842666.10000002</v>
      </c>
    </row>
    <row r="6662" spans="1:6" x14ac:dyDescent="0.25">
      <c r="A6662" s="1">
        <v>45108</v>
      </c>
      <c r="B6662" t="s">
        <v>159</v>
      </c>
      <c r="C6662" t="s">
        <v>640</v>
      </c>
      <c r="D6662">
        <v>0</v>
      </c>
      <c r="E6662">
        <v>0</v>
      </c>
      <c r="F6662">
        <v>0</v>
      </c>
    </row>
    <row r="6663" spans="1:6" x14ac:dyDescent="0.25">
      <c r="A6663" s="1">
        <v>45108</v>
      </c>
      <c r="B6663" t="s">
        <v>398</v>
      </c>
      <c r="C6663" t="s">
        <v>498</v>
      </c>
      <c r="D6663" s="2">
        <v>382975.37</v>
      </c>
      <c r="E6663" s="2">
        <v>293155.08</v>
      </c>
      <c r="F6663" s="2">
        <v>273835.38</v>
      </c>
    </row>
    <row r="6664" spans="1:6" x14ac:dyDescent="0.25">
      <c r="A6664" s="1">
        <v>45108</v>
      </c>
      <c r="B6664" t="s">
        <v>23</v>
      </c>
      <c r="C6664" t="s">
        <v>864</v>
      </c>
      <c r="D6664" s="2">
        <v>3457752.64</v>
      </c>
      <c r="E6664" s="2">
        <v>2427610.9</v>
      </c>
      <c r="F6664" s="2">
        <v>2240621.4</v>
      </c>
    </row>
    <row r="6665" spans="1:6" x14ac:dyDescent="0.25">
      <c r="A6665" s="1">
        <v>45108</v>
      </c>
      <c r="B6665" t="s">
        <v>101</v>
      </c>
      <c r="C6665" t="s">
        <v>1205</v>
      </c>
      <c r="D6665" s="2">
        <v>7255259.5999999996</v>
      </c>
      <c r="E6665" s="2">
        <v>16211945.17</v>
      </c>
      <c r="F6665" s="2">
        <v>17087820.75</v>
      </c>
    </row>
    <row r="6666" spans="1:6" x14ac:dyDescent="0.25">
      <c r="A6666" s="1">
        <v>45108</v>
      </c>
      <c r="B6666" t="s">
        <v>234</v>
      </c>
      <c r="C6666" t="s">
        <v>646</v>
      </c>
      <c r="D6666" s="2">
        <v>1427434.48</v>
      </c>
      <c r="E6666" s="2">
        <v>2314376.27</v>
      </c>
      <c r="F6666" s="2">
        <v>2106197.1800000002</v>
      </c>
    </row>
    <row r="6667" spans="1:6" x14ac:dyDescent="0.25">
      <c r="A6667" s="1">
        <v>45108</v>
      </c>
      <c r="B6667" t="s">
        <v>107</v>
      </c>
      <c r="C6667" t="s">
        <v>262</v>
      </c>
      <c r="D6667" s="2">
        <v>9562907.6300000008</v>
      </c>
      <c r="E6667" s="2">
        <v>1146341.6399999999</v>
      </c>
      <c r="F6667" s="2">
        <v>3147743.07</v>
      </c>
    </row>
    <row r="6668" spans="1:6" x14ac:dyDescent="0.25">
      <c r="A6668" s="1">
        <v>45108</v>
      </c>
      <c r="B6668" t="s">
        <v>545</v>
      </c>
      <c r="C6668" t="s">
        <v>908</v>
      </c>
      <c r="D6668" s="2">
        <v>762091.61</v>
      </c>
      <c r="E6668" s="2">
        <v>1026209.85</v>
      </c>
      <c r="F6668" s="2">
        <v>1062209.33</v>
      </c>
    </row>
    <row r="6669" spans="1:6" x14ac:dyDescent="0.25">
      <c r="A6669" s="1">
        <v>45108</v>
      </c>
      <c r="B6669" t="s">
        <v>23</v>
      </c>
      <c r="C6669" t="s">
        <v>665</v>
      </c>
      <c r="D6669" s="2">
        <v>303661.67</v>
      </c>
      <c r="E6669" s="2">
        <v>283083.32</v>
      </c>
      <c r="F6669" s="2">
        <v>265362.09000000003</v>
      </c>
    </row>
    <row r="6670" spans="1:6" x14ac:dyDescent="0.25">
      <c r="A6670" s="1">
        <v>45108</v>
      </c>
      <c r="B6670" t="s">
        <v>35</v>
      </c>
      <c r="C6670" t="s">
        <v>560</v>
      </c>
      <c r="D6670" s="2">
        <v>69537.22</v>
      </c>
      <c r="E6670" s="2">
        <v>1545539.77</v>
      </c>
      <c r="F6670" s="2">
        <v>1587403.47</v>
      </c>
    </row>
    <row r="6671" spans="1:6" x14ac:dyDescent="0.25">
      <c r="A6671" s="1">
        <v>45108</v>
      </c>
      <c r="B6671" t="s">
        <v>490</v>
      </c>
      <c r="C6671" t="s">
        <v>267</v>
      </c>
      <c r="D6671" s="2">
        <v>279267317.77999997</v>
      </c>
      <c r="E6671" s="2">
        <v>506333215.20999998</v>
      </c>
      <c r="F6671" s="2">
        <v>506434714.75999999</v>
      </c>
    </row>
    <row r="6672" spans="1:6" x14ac:dyDescent="0.25">
      <c r="A6672" s="1">
        <v>45108</v>
      </c>
      <c r="B6672" t="s">
        <v>422</v>
      </c>
      <c r="C6672" t="s">
        <v>920</v>
      </c>
      <c r="D6672" s="2">
        <v>308248908.86000001</v>
      </c>
      <c r="E6672" s="2">
        <v>3849704.58</v>
      </c>
      <c r="F6672" s="2">
        <v>3690835.72</v>
      </c>
    </row>
    <row r="6673" spans="1:6" x14ac:dyDescent="0.25">
      <c r="A6673" s="1">
        <v>45108</v>
      </c>
      <c r="B6673" t="s">
        <v>216</v>
      </c>
      <c r="C6673" t="s">
        <v>887</v>
      </c>
      <c r="D6673" s="2">
        <v>4358887.17</v>
      </c>
      <c r="E6673" s="2">
        <v>3507807.1</v>
      </c>
      <c r="F6673" s="2">
        <v>3535993.56</v>
      </c>
    </row>
    <row r="6674" spans="1:6" x14ac:dyDescent="0.25">
      <c r="A6674" s="1">
        <v>45108</v>
      </c>
      <c r="B6674" t="s">
        <v>288</v>
      </c>
      <c r="C6674" t="s">
        <v>289</v>
      </c>
      <c r="D6674" s="2">
        <v>2768.2</v>
      </c>
      <c r="E6674" s="2">
        <v>9706.08</v>
      </c>
      <c r="F6674" s="2">
        <v>9706.08</v>
      </c>
    </row>
    <row r="6675" spans="1:6" x14ac:dyDescent="0.25">
      <c r="A6675" s="1">
        <v>45108</v>
      </c>
      <c r="B6675" t="s">
        <v>132</v>
      </c>
      <c r="C6675" t="s">
        <v>543</v>
      </c>
      <c r="D6675" s="2">
        <v>5048784636.2700005</v>
      </c>
      <c r="E6675" s="2">
        <v>5004532125.5200005</v>
      </c>
      <c r="F6675" s="2">
        <v>4994322308.79</v>
      </c>
    </row>
    <row r="6676" spans="1:6" x14ac:dyDescent="0.25">
      <c r="A6676" s="1">
        <v>45108</v>
      </c>
      <c r="B6676" t="s">
        <v>490</v>
      </c>
      <c r="C6676" t="s">
        <v>875</v>
      </c>
      <c r="D6676" s="2">
        <v>4748043.38</v>
      </c>
      <c r="E6676" s="2">
        <v>4273288.1100000003</v>
      </c>
      <c r="F6676" s="2">
        <v>3762397.6</v>
      </c>
    </row>
    <row r="6677" spans="1:6" x14ac:dyDescent="0.25">
      <c r="A6677" s="1">
        <v>45108</v>
      </c>
      <c r="B6677" t="s">
        <v>619</v>
      </c>
      <c r="C6677" t="s">
        <v>917</v>
      </c>
      <c r="D6677" s="2">
        <v>7308031.9199999999</v>
      </c>
      <c r="E6677" s="2">
        <v>14696860.800000001</v>
      </c>
      <c r="F6677" s="2">
        <v>13859676.23</v>
      </c>
    </row>
    <row r="6678" spans="1:6" x14ac:dyDescent="0.25">
      <c r="A6678" s="1">
        <v>45108</v>
      </c>
      <c r="B6678" t="s">
        <v>206</v>
      </c>
      <c r="C6678" t="s">
        <v>878</v>
      </c>
      <c r="D6678" s="2">
        <v>10746645.210000001</v>
      </c>
      <c r="E6678" s="2">
        <v>4042864.19</v>
      </c>
      <c r="F6678" s="2">
        <v>3373233.51</v>
      </c>
    </row>
    <row r="6679" spans="1:6" x14ac:dyDescent="0.25">
      <c r="A6679" s="1">
        <v>45108</v>
      </c>
      <c r="B6679" t="s">
        <v>355</v>
      </c>
      <c r="C6679" t="s">
        <v>417</v>
      </c>
      <c r="D6679" s="2">
        <v>348385.4</v>
      </c>
      <c r="E6679" s="2">
        <v>1123921.03</v>
      </c>
      <c r="F6679" s="2">
        <v>1123921.03</v>
      </c>
    </row>
    <row r="6680" spans="1:6" x14ac:dyDescent="0.25">
      <c r="A6680" s="1">
        <v>45108</v>
      </c>
      <c r="B6680" t="s">
        <v>15</v>
      </c>
      <c r="C6680" t="s">
        <v>1255</v>
      </c>
      <c r="D6680">
        <v>0</v>
      </c>
      <c r="E6680" s="2">
        <v>17132801.550000001</v>
      </c>
      <c r="F6680">
        <v>0</v>
      </c>
    </row>
    <row r="6681" spans="1:6" x14ac:dyDescent="0.25">
      <c r="A6681" s="1">
        <v>45108</v>
      </c>
      <c r="B6681" t="s">
        <v>107</v>
      </c>
      <c r="C6681" t="s">
        <v>499</v>
      </c>
      <c r="D6681" s="2">
        <v>4154178.62</v>
      </c>
      <c r="E6681" s="2">
        <v>5100</v>
      </c>
      <c r="F6681">
        <v>0</v>
      </c>
    </row>
    <row r="6682" spans="1:6" x14ac:dyDescent="0.25">
      <c r="A6682" s="1">
        <v>45108</v>
      </c>
      <c r="B6682" t="s">
        <v>40</v>
      </c>
      <c r="C6682" t="s">
        <v>686</v>
      </c>
      <c r="D6682" s="2">
        <v>9433545.8499999996</v>
      </c>
      <c r="E6682" s="2">
        <v>7521030.5899999999</v>
      </c>
      <c r="F6682" s="2">
        <v>7688444.9299999997</v>
      </c>
    </row>
    <row r="6683" spans="1:6" x14ac:dyDescent="0.25">
      <c r="A6683" s="1">
        <v>45108</v>
      </c>
      <c r="B6683" t="s">
        <v>92</v>
      </c>
      <c r="C6683" t="s">
        <v>909</v>
      </c>
      <c r="D6683" s="2">
        <v>22664187.640000001</v>
      </c>
      <c r="E6683" s="2">
        <v>55139624.439999998</v>
      </c>
      <c r="F6683" s="2">
        <v>56047341.630000003</v>
      </c>
    </row>
    <row r="6684" spans="1:6" x14ac:dyDescent="0.25">
      <c r="A6684" s="1">
        <v>45108</v>
      </c>
      <c r="B6684" t="s">
        <v>272</v>
      </c>
      <c r="C6684" t="s">
        <v>593</v>
      </c>
      <c r="D6684" s="2">
        <v>5895299.54</v>
      </c>
      <c r="E6684" s="2">
        <v>2936732.85</v>
      </c>
      <c r="F6684" s="2">
        <v>2964898.86</v>
      </c>
    </row>
    <row r="6685" spans="1:6" x14ac:dyDescent="0.25">
      <c r="A6685" s="1">
        <v>45108</v>
      </c>
      <c r="B6685" t="s">
        <v>25</v>
      </c>
      <c r="C6685" t="s">
        <v>703</v>
      </c>
      <c r="D6685" s="2">
        <v>446809.51</v>
      </c>
      <c r="E6685" s="2">
        <v>126744.72</v>
      </c>
      <c r="F6685" s="2">
        <v>116654.34</v>
      </c>
    </row>
    <row r="6686" spans="1:6" x14ac:dyDescent="0.25">
      <c r="A6686" s="1">
        <v>45108</v>
      </c>
      <c r="B6686" t="s">
        <v>383</v>
      </c>
      <c r="C6686" t="s">
        <v>1197</v>
      </c>
      <c r="D6686">
        <v>0</v>
      </c>
      <c r="E6686">
        <v>0</v>
      </c>
      <c r="F6686">
        <v>0</v>
      </c>
    </row>
    <row r="6687" spans="1:6" x14ac:dyDescent="0.25">
      <c r="A6687" s="1">
        <v>45108</v>
      </c>
      <c r="B6687" t="s">
        <v>23</v>
      </c>
      <c r="C6687" t="s">
        <v>637</v>
      </c>
      <c r="D6687" s="2">
        <v>3436506.24</v>
      </c>
      <c r="E6687" s="2">
        <v>2694784.16</v>
      </c>
      <c r="F6687" s="2">
        <v>3194398.46</v>
      </c>
    </row>
    <row r="6688" spans="1:6" x14ac:dyDescent="0.25">
      <c r="A6688" s="1">
        <v>45108</v>
      </c>
      <c r="B6688" t="s">
        <v>107</v>
      </c>
      <c r="C6688" t="s">
        <v>912</v>
      </c>
      <c r="D6688" s="2">
        <v>108694699.89</v>
      </c>
      <c r="E6688" s="2">
        <v>95613494.019999996</v>
      </c>
      <c r="F6688" s="2">
        <v>98236499.540000007</v>
      </c>
    </row>
    <row r="6689" spans="1:6" x14ac:dyDescent="0.25">
      <c r="A6689" s="1">
        <v>45108</v>
      </c>
      <c r="B6689" t="s">
        <v>490</v>
      </c>
      <c r="C6689" t="s">
        <v>880</v>
      </c>
      <c r="D6689" s="2">
        <v>5290093.5999999996</v>
      </c>
      <c r="E6689" s="2">
        <v>6971918.5300000003</v>
      </c>
      <c r="F6689" s="2">
        <v>4786691.22</v>
      </c>
    </row>
    <row r="6690" spans="1:6" x14ac:dyDescent="0.25">
      <c r="A6690" s="1">
        <v>45108</v>
      </c>
      <c r="B6690" t="s">
        <v>23</v>
      </c>
      <c r="C6690" t="s">
        <v>915</v>
      </c>
      <c r="D6690" s="2">
        <v>183108858.06</v>
      </c>
      <c r="E6690" s="2">
        <v>109179513.13</v>
      </c>
      <c r="F6690" s="2">
        <v>103947077.22</v>
      </c>
    </row>
    <row r="6691" spans="1:6" x14ac:dyDescent="0.25">
      <c r="A6691" s="1">
        <v>45108</v>
      </c>
      <c r="B6691" t="s">
        <v>23</v>
      </c>
      <c r="C6691" t="s">
        <v>889</v>
      </c>
      <c r="D6691" s="2">
        <v>1020316.44</v>
      </c>
      <c r="E6691" s="2">
        <v>2288619.8199999998</v>
      </c>
      <c r="F6691" s="2">
        <v>3033763.07</v>
      </c>
    </row>
    <row r="6692" spans="1:6" x14ac:dyDescent="0.25">
      <c r="A6692" s="1">
        <v>45108</v>
      </c>
      <c r="B6692" t="s">
        <v>23</v>
      </c>
      <c r="C6692" t="s">
        <v>117</v>
      </c>
      <c r="D6692" s="2">
        <v>192000</v>
      </c>
      <c r="E6692" s="2">
        <v>168533.75</v>
      </c>
      <c r="F6692" s="2">
        <v>160044.95000000001</v>
      </c>
    </row>
    <row r="6693" spans="1:6" x14ac:dyDescent="0.25">
      <c r="A6693" s="1">
        <v>45108</v>
      </c>
      <c r="B6693" t="s">
        <v>40</v>
      </c>
      <c r="C6693" t="s">
        <v>539</v>
      </c>
      <c r="D6693" s="2">
        <v>846160.31</v>
      </c>
      <c r="E6693" s="2">
        <v>101416.43</v>
      </c>
      <c r="F6693">
        <v>0</v>
      </c>
    </row>
    <row r="6694" spans="1:6" x14ac:dyDescent="0.25">
      <c r="A6694" s="1">
        <v>45108</v>
      </c>
      <c r="B6694" t="s">
        <v>23</v>
      </c>
      <c r="C6694" t="s">
        <v>905</v>
      </c>
      <c r="D6694" s="2">
        <v>423337.12</v>
      </c>
      <c r="E6694" s="2">
        <v>452617.7</v>
      </c>
      <c r="F6694" s="2">
        <v>335226.78000000003</v>
      </c>
    </row>
    <row r="6695" spans="1:6" x14ac:dyDescent="0.25">
      <c r="A6695" s="1">
        <v>45108</v>
      </c>
      <c r="B6695" t="s">
        <v>48</v>
      </c>
      <c r="C6695" t="s">
        <v>818</v>
      </c>
      <c r="D6695" s="2">
        <v>529815.51</v>
      </c>
      <c r="E6695" s="2">
        <v>617169.14</v>
      </c>
      <c r="F6695" s="2">
        <v>689581.58</v>
      </c>
    </row>
    <row r="6696" spans="1:6" x14ac:dyDescent="0.25">
      <c r="A6696" s="1">
        <v>45108</v>
      </c>
      <c r="B6696" t="s">
        <v>40</v>
      </c>
      <c r="C6696" t="s">
        <v>919</v>
      </c>
      <c r="D6696" s="2">
        <v>1138785491.03</v>
      </c>
      <c r="E6696" s="2">
        <v>6020190812.3699999</v>
      </c>
      <c r="F6696" s="2">
        <v>8904127482.6299992</v>
      </c>
    </row>
    <row r="6697" spans="1:6" x14ac:dyDescent="0.25">
      <c r="A6697" s="1">
        <v>45108</v>
      </c>
      <c r="B6697" t="s">
        <v>107</v>
      </c>
      <c r="C6697" t="s">
        <v>615</v>
      </c>
      <c r="D6697" s="2">
        <v>3740141.81</v>
      </c>
      <c r="E6697" s="2">
        <v>19321991.84</v>
      </c>
      <c r="F6697" s="2">
        <v>21647729.48</v>
      </c>
    </row>
    <row r="6698" spans="1:6" x14ac:dyDescent="0.25">
      <c r="A6698" s="1">
        <v>45108</v>
      </c>
      <c r="B6698" t="s">
        <v>98</v>
      </c>
      <c r="C6698" t="s">
        <v>1043</v>
      </c>
      <c r="D6698">
        <v>0</v>
      </c>
      <c r="E6698">
        <v>0</v>
      </c>
      <c r="F6698">
        <v>0</v>
      </c>
    </row>
    <row r="6699" spans="1:6" x14ac:dyDescent="0.25">
      <c r="A6699" s="1">
        <v>45108</v>
      </c>
      <c r="B6699" t="s">
        <v>216</v>
      </c>
      <c r="C6699" t="s">
        <v>563</v>
      </c>
      <c r="D6699" s="2">
        <v>55491312.740000002</v>
      </c>
      <c r="E6699" s="2">
        <v>47002490.189999998</v>
      </c>
      <c r="F6699" s="2">
        <v>47474417.170000002</v>
      </c>
    </row>
    <row r="6700" spans="1:6" x14ac:dyDescent="0.25">
      <c r="A6700" s="1">
        <v>45108</v>
      </c>
      <c r="B6700" t="s">
        <v>23</v>
      </c>
      <c r="C6700" t="s">
        <v>896</v>
      </c>
      <c r="D6700" s="2">
        <v>8981315.8200000003</v>
      </c>
      <c r="E6700" s="2">
        <v>7593383.8899999997</v>
      </c>
      <c r="F6700" s="2">
        <v>6023074.5999999996</v>
      </c>
    </row>
    <row r="6701" spans="1:6" x14ac:dyDescent="0.25">
      <c r="A6701" s="1">
        <v>45108</v>
      </c>
      <c r="B6701" t="s">
        <v>11</v>
      </c>
      <c r="C6701" t="s">
        <v>566</v>
      </c>
      <c r="D6701" s="2">
        <v>280693552.20999998</v>
      </c>
      <c r="E6701" s="2">
        <v>271737189.75999999</v>
      </c>
      <c r="F6701" s="2">
        <v>306013237.13999999</v>
      </c>
    </row>
    <row r="6702" spans="1:6" x14ac:dyDescent="0.25">
      <c r="A6702" s="1">
        <v>45108</v>
      </c>
      <c r="B6702" t="s">
        <v>40</v>
      </c>
      <c r="C6702" t="s">
        <v>487</v>
      </c>
      <c r="D6702" s="2">
        <v>505990172.55000001</v>
      </c>
      <c r="E6702" s="2">
        <v>2439319140.5</v>
      </c>
      <c r="F6702" s="2">
        <v>3357192287.3200002</v>
      </c>
    </row>
    <row r="6703" spans="1:6" x14ac:dyDescent="0.25">
      <c r="A6703" s="1">
        <v>45108</v>
      </c>
      <c r="B6703" t="s">
        <v>114</v>
      </c>
      <c r="C6703" t="s">
        <v>913</v>
      </c>
      <c r="D6703" s="2">
        <v>32368028.260000002</v>
      </c>
      <c r="E6703" s="2">
        <v>26872969.670000002</v>
      </c>
      <c r="F6703" s="2">
        <v>22845447.920000002</v>
      </c>
    </row>
    <row r="6704" spans="1:6" x14ac:dyDescent="0.25">
      <c r="A6704" s="1">
        <v>45108</v>
      </c>
      <c r="B6704" t="s">
        <v>92</v>
      </c>
      <c r="C6704" t="s">
        <v>903</v>
      </c>
      <c r="D6704" s="2">
        <v>10324245.23</v>
      </c>
      <c r="E6704" s="2">
        <v>2277121.14</v>
      </c>
      <c r="F6704" s="2">
        <v>2309980</v>
      </c>
    </row>
    <row r="6705" spans="1:6" x14ac:dyDescent="0.25">
      <c r="A6705" s="1">
        <v>45108</v>
      </c>
      <c r="B6705" t="s">
        <v>216</v>
      </c>
      <c r="C6705" t="s">
        <v>806</v>
      </c>
      <c r="D6705" s="2">
        <v>42232469.009999998</v>
      </c>
      <c r="E6705" s="2">
        <v>10730407.689999999</v>
      </c>
      <c r="F6705" s="2">
        <v>4575942.78</v>
      </c>
    </row>
    <row r="6706" spans="1:6" x14ac:dyDescent="0.25">
      <c r="A6706" s="1">
        <v>45108</v>
      </c>
      <c r="B6706" t="s">
        <v>648</v>
      </c>
      <c r="C6706" t="s">
        <v>765</v>
      </c>
      <c r="D6706" s="2">
        <v>183382.51</v>
      </c>
      <c r="E6706" s="2">
        <v>699514.69</v>
      </c>
      <c r="F6706" s="2">
        <v>679138.53</v>
      </c>
    </row>
    <row r="6707" spans="1:6" x14ac:dyDescent="0.25">
      <c r="A6707" s="1">
        <v>45108</v>
      </c>
      <c r="B6707" t="s">
        <v>40</v>
      </c>
      <c r="C6707" t="s">
        <v>606</v>
      </c>
      <c r="D6707" s="2">
        <v>-97943.07</v>
      </c>
      <c r="E6707" s="2">
        <v>2006489.91</v>
      </c>
      <c r="F6707" s="2">
        <v>2258735.4700000002</v>
      </c>
    </row>
    <row r="6708" spans="1:6" x14ac:dyDescent="0.25">
      <c r="A6708" s="1">
        <v>45108</v>
      </c>
      <c r="B6708" t="s">
        <v>101</v>
      </c>
      <c r="C6708" t="s">
        <v>861</v>
      </c>
      <c r="D6708" s="2">
        <v>47135827.210000001</v>
      </c>
      <c r="E6708" s="2">
        <v>25811707.449999999</v>
      </c>
      <c r="F6708" s="2">
        <v>25031138.07</v>
      </c>
    </row>
    <row r="6709" spans="1:6" x14ac:dyDescent="0.25">
      <c r="A6709" s="1">
        <v>45108</v>
      </c>
      <c r="B6709" t="s">
        <v>251</v>
      </c>
      <c r="C6709" t="s">
        <v>750</v>
      </c>
      <c r="D6709" s="2">
        <v>44278390.079999998</v>
      </c>
      <c r="E6709" s="2">
        <v>47191713.369999997</v>
      </c>
      <c r="F6709" s="2">
        <v>45984466.119999997</v>
      </c>
    </row>
    <row r="6710" spans="1:6" x14ac:dyDescent="0.25">
      <c r="A6710" s="1">
        <v>45108</v>
      </c>
      <c r="B6710" t="s">
        <v>107</v>
      </c>
      <c r="C6710" t="s">
        <v>921</v>
      </c>
      <c r="D6710" s="2">
        <v>19850164.469999999</v>
      </c>
      <c r="E6710" s="2">
        <v>68271889.700000003</v>
      </c>
      <c r="F6710" s="2">
        <v>69076707.310000002</v>
      </c>
    </row>
    <row r="6711" spans="1:6" x14ac:dyDescent="0.25">
      <c r="A6711" s="1">
        <v>45108</v>
      </c>
      <c r="B6711" t="s">
        <v>40</v>
      </c>
      <c r="C6711" t="s">
        <v>836</v>
      </c>
      <c r="D6711" s="2">
        <v>39669465.960000001</v>
      </c>
      <c r="E6711" s="2">
        <v>7014120.3099999996</v>
      </c>
      <c r="F6711" s="2">
        <v>3683226.31</v>
      </c>
    </row>
    <row r="6712" spans="1:6" x14ac:dyDescent="0.25">
      <c r="A6712" s="1">
        <v>45108</v>
      </c>
      <c r="B6712" t="s">
        <v>19</v>
      </c>
      <c r="C6712" t="s">
        <v>699</v>
      </c>
      <c r="D6712" s="2">
        <v>10175.370000000001</v>
      </c>
      <c r="E6712" s="2">
        <v>1192247.69</v>
      </c>
      <c r="F6712" s="2">
        <v>1193858.49</v>
      </c>
    </row>
    <row r="6713" spans="1:6" x14ac:dyDescent="0.25">
      <c r="A6713" s="1">
        <v>45108</v>
      </c>
      <c r="B6713" t="s">
        <v>162</v>
      </c>
      <c r="C6713" t="s">
        <v>322</v>
      </c>
      <c r="D6713" s="2">
        <v>4401513.24</v>
      </c>
      <c r="E6713" s="2">
        <v>1408810.3</v>
      </c>
      <c r="F6713" s="2">
        <v>1814675.65</v>
      </c>
    </row>
    <row r="6714" spans="1:6" x14ac:dyDescent="0.25">
      <c r="A6714" s="1">
        <v>45108</v>
      </c>
      <c r="B6714" t="s">
        <v>25</v>
      </c>
      <c r="C6714" t="s">
        <v>319</v>
      </c>
      <c r="D6714" s="2">
        <v>166528.32999999999</v>
      </c>
      <c r="E6714" s="2">
        <v>267341.75</v>
      </c>
      <c r="F6714" s="2">
        <v>350446.02</v>
      </c>
    </row>
    <row r="6715" spans="1:6" x14ac:dyDescent="0.25">
      <c r="A6715" s="1">
        <v>45108</v>
      </c>
      <c r="B6715" t="s">
        <v>40</v>
      </c>
      <c r="C6715" t="s">
        <v>907</v>
      </c>
      <c r="D6715" s="2">
        <v>1031798.88</v>
      </c>
      <c r="E6715" s="2">
        <v>627635.32999999996</v>
      </c>
      <c r="F6715" s="2">
        <v>570610.51</v>
      </c>
    </row>
    <row r="6716" spans="1:6" x14ac:dyDescent="0.25">
      <c r="A6716" s="1">
        <v>45108</v>
      </c>
      <c r="B6716" t="s">
        <v>23</v>
      </c>
      <c r="C6716" t="s">
        <v>56</v>
      </c>
      <c r="D6716" s="2">
        <v>29796337.550000001</v>
      </c>
      <c r="E6716" s="2">
        <v>13321645.59</v>
      </c>
      <c r="F6716" s="2">
        <v>13478135.27</v>
      </c>
    </row>
    <row r="6717" spans="1:6" x14ac:dyDescent="0.25">
      <c r="A6717" s="1">
        <v>45108</v>
      </c>
      <c r="B6717" t="s">
        <v>23</v>
      </c>
      <c r="C6717" t="s">
        <v>901</v>
      </c>
      <c r="D6717" s="2">
        <v>10763513.18</v>
      </c>
      <c r="E6717" s="2">
        <v>6427975.0099999998</v>
      </c>
      <c r="F6717" s="2">
        <v>6564072.9900000002</v>
      </c>
    </row>
    <row r="6718" spans="1:6" x14ac:dyDescent="0.25">
      <c r="A6718" s="1">
        <v>45108</v>
      </c>
      <c r="B6718" t="s">
        <v>114</v>
      </c>
      <c r="C6718" t="s">
        <v>764</v>
      </c>
      <c r="D6718" s="2">
        <v>36489416</v>
      </c>
      <c r="E6718" s="2">
        <v>12853644.5</v>
      </c>
      <c r="F6718" s="2">
        <v>15811730.859999999</v>
      </c>
    </row>
    <row r="6719" spans="1:6" x14ac:dyDescent="0.25">
      <c r="A6719" s="1">
        <v>45108</v>
      </c>
      <c r="B6719" t="s">
        <v>23</v>
      </c>
      <c r="C6719" t="s">
        <v>800</v>
      </c>
      <c r="D6719" s="2">
        <v>2321234.59</v>
      </c>
      <c r="E6719" s="2">
        <v>1816233.4</v>
      </c>
      <c r="F6719" s="2">
        <v>1340414.81</v>
      </c>
    </row>
    <row r="6720" spans="1:6" x14ac:dyDescent="0.25">
      <c r="A6720" s="1">
        <v>45108</v>
      </c>
      <c r="B6720" t="s">
        <v>105</v>
      </c>
      <c r="C6720" t="s">
        <v>150</v>
      </c>
      <c r="D6720">
        <v>0</v>
      </c>
      <c r="E6720" s="2">
        <v>10260348.99</v>
      </c>
      <c r="F6720" s="2">
        <v>10260348.99</v>
      </c>
    </row>
    <row r="6721" spans="1:6" x14ac:dyDescent="0.25">
      <c r="A6721" s="1">
        <v>45108</v>
      </c>
      <c r="B6721" t="s">
        <v>25</v>
      </c>
      <c r="C6721" t="s">
        <v>724</v>
      </c>
      <c r="D6721" s="2">
        <v>7274195.2800000003</v>
      </c>
      <c r="E6721" s="2">
        <v>1319726.94</v>
      </c>
      <c r="F6721" s="2">
        <v>1420673.14</v>
      </c>
    </row>
    <row r="6722" spans="1:6" x14ac:dyDescent="0.25">
      <c r="A6722" s="1">
        <v>45108</v>
      </c>
      <c r="B6722" t="s">
        <v>50</v>
      </c>
      <c r="C6722" t="s">
        <v>425</v>
      </c>
      <c r="D6722">
        <v>0</v>
      </c>
      <c r="E6722">
        <v>0</v>
      </c>
      <c r="F6722">
        <v>0</v>
      </c>
    </row>
    <row r="6723" spans="1:6" x14ac:dyDescent="0.25">
      <c r="A6723" s="1">
        <v>45108</v>
      </c>
      <c r="B6723" t="s">
        <v>402</v>
      </c>
      <c r="C6723" t="s">
        <v>1266</v>
      </c>
      <c r="D6723">
        <v>0</v>
      </c>
      <c r="E6723">
        <v>0</v>
      </c>
      <c r="F6723">
        <v>0</v>
      </c>
    </row>
    <row r="6724" spans="1:6" x14ac:dyDescent="0.25">
      <c r="A6724" s="1">
        <v>45108</v>
      </c>
      <c r="B6724" t="s">
        <v>107</v>
      </c>
      <c r="C6724" t="s">
        <v>897</v>
      </c>
      <c r="D6724" s="2">
        <v>600342522.76999998</v>
      </c>
      <c r="E6724" s="2">
        <v>383630348.88</v>
      </c>
      <c r="F6724" s="2">
        <v>365187274.95999998</v>
      </c>
    </row>
    <row r="6725" spans="1:6" x14ac:dyDescent="0.25">
      <c r="A6725" s="1">
        <v>45108</v>
      </c>
      <c r="B6725" t="s">
        <v>46</v>
      </c>
      <c r="C6725" t="s">
        <v>987</v>
      </c>
      <c r="D6725" s="2">
        <v>5439700</v>
      </c>
      <c r="E6725" s="2">
        <v>3531295.49</v>
      </c>
      <c r="F6725" s="2">
        <v>30936.39</v>
      </c>
    </row>
    <row r="6726" spans="1:6" x14ac:dyDescent="0.25">
      <c r="A6726" s="1">
        <v>45108</v>
      </c>
      <c r="B6726" t="s">
        <v>545</v>
      </c>
      <c r="C6726" t="s">
        <v>362</v>
      </c>
      <c r="D6726" s="2">
        <v>4386054.66</v>
      </c>
      <c r="E6726" s="2">
        <v>14944202.949999999</v>
      </c>
      <c r="F6726" s="2">
        <v>16811928.239999998</v>
      </c>
    </row>
    <row r="6727" spans="1:6" x14ac:dyDescent="0.25">
      <c r="A6727" s="1">
        <v>45108</v>
      </c>
      <c r="B6727" t="s">
        <v>107</v>
      </c>
      <c r="C6727" t="s">
        <v>926</v>
      </c>
      <c r="D6727" s="2">
        <v>66201612.079999998</v>
      </c>
      <c r="E6727" s="2">
        <v>46059900.590000004</v>
      </c>
      <c r="F6727" s="2">
        <v>36948832.719999999</v>
      </c>
    </row>
    <row r="6728" spans="1:6" x14ac:dyDescent="0.25">
      <c r="A6728" s="1">
        <v>45108</v>
      </c>
      <c r="B6728" t="s">
        <v>23</v>
      </c>
      <c r="C6728" t="s">
        <v>845</v>
      </c>
      <c r="D6728" s="2">
        <v>775415.72</v>
      </c>
      <c r="E6728" s="2">
        <v>335825.79</v>
      </c>
      <c r="F6728" s="2">
        <v>417367.84</v>
      </c>
    </row>
    <row r="6729" spans="1:6" x14ac:dyDescent="0.25">
      <c r="A6729" s="1">
        <v>45108</v>
      </c>
      <c r="B6729" t="s">
        <v>101</v>
      </c>
      <c r="C6729" t="s">
        <v>827</v>
      </c>
      <c r="D6729" s="2">
        <v>1920288.34</v>
      </c>
      <c r="E6729" s="2">
        <v>126021.89</v>
      </c>
      <c r="F6729" s="2">
        <v>96381.43</v>
      </c>
    </row>
    <row r="6730" spans="1:6" x14ac:dyDescent="0.25">
      <c r="A6730" s="1">
        <v>45108</v>
      </c>
      <c r="B6730" t="s">
        <v>9</v>
      </c>
      <c r="C6730" t="s">
        <v>881</v>
      </c>
      <c r="D6730" s="2">
        <v>30229519.469999999</v>
      </c>
      <c r="E6730" s="2">
        <v>2683022.9</v>
      </c>
      <c r="F6730" s="2">
        <v>469034.23</v>
      </c>
    </row>
    <row r="6731" spans="1:6" x14ac:dyDescent="0.25">
      <c r="A6731" s="1">
        <v>45108</v>
      </c>
      <c r="B6731" t="s">
        <v>37</v>
      </c>
      <c r="C6731" t="s">
        <v>561</v>
      </c>
      <c r="D6731" s="2">
        <v>888976.67</v>
      </c>
      <c r="E6731" s="2">
        <v>934496.28</v>
      </c>
      <c r="F6731" s="2">
        <v>363582.29</v>
      </c>
    </row>
    <row r="6732" spans="1:6" x14ac:dyDescent="0.25">
      <c r="A6732" s="1">
        <v>45108</v>
      </c>
      <c r="B6732" t="s">
        <v>37</v>
      </c>
      <c r="C6732" t="s">
        <v>840</v>
      </c>
      <c r="D6732" s="2">
        <v>36310353.68</v>
      </c>
      <c r="E6732" s="2">
        <v>500573.69</v>
      </c>
      <c r="F6732">
        <v>428.69</v>
      </c>
    </row>
    <row r="6733" spans="1:6" x14ac:dyDescent="0.25">
      <c r="A6733" s="1">
        <v>45108</v>
      </c>
      <c r="B6733" t="s">
        <v>92</v>
      </c>
      <c r="C6733" t="s">
        <v>819</v>
      </c>
      <c r="D6733" s="2">
        <v>486448.93</v>
      </c>
      <c r="E6733" s="2">
        <v>621661.85</v>
      </c>
      <c r="F6733" s="2">
        <v>621661.85</v>
      </c>
    </row>
    <row r="6734" spans="1:6" x14ac:dyDescent="0.25">
      <c r="A6734" s="1">
        <v>45108</v>
      </c>
      <c r="B6734" t="s">
        <v>114</v>
      </c>
      <c r="C6734" t="s">
        <v>882</v>
      </c>
      <c r="D6734">
        <v>0</v>
      </c>
      <c r="E6734" s="2">
        <v>635249.48</v>
      </c>
      <c r="F6734" s="2">
        <v>635249.48</v>
      </c>
    </row>
    <row r="6735" spans="1:6" x14ac:dyDescent="0.25">
      <c r="A6735" s="1">
        <v>45108</v>
      </c>
      <c r="B6735" t="s">
        <v>107</v>
      </c>
      <c r="C6735" t="s">
        <v>348</v>
      </c>
      <c r="D6735" s="2">
        <v>-74739.31</v>
      </c>
      <c r="E6735" s="2">
        <v>89480</v>
      </c>
      <c r="F6735" s="2">
        <v>53480</v>
      </c>
    </row>
    <row r="6736" spans="1:6" x14ac:dyDescent="0.25">
      <c r="A6736" s="1">
        <v>45108</v>
      </c>
      <c r="B6736" t="s">
        <v>40</v>
      </c>
      <c r="C6736" t="s">
        <v>177</v>
      </c>
      <c r="D6736" s="2">
        <v>345064568.13999999</v>
      </c>
      <c r="E6736" s="2">
        <v>484636653.25999999</v>
      </c>
      <c r="F6736" s="2">
        <v>460067009.02999997</v>
      </c>
    </row>
    <row r="6737" spans="1:6" x14ac:dyDescent="0.25">
      <c r="A6737" s="1">
        <v>45108</v>
      </c>
      <c r="B6737" t="s">
        <v>23</v>
      </c>
      <c r="C6737" t="s">
        <v>867</v>
      </c>
      <c r="D6737" s="2">
        <v>10197738.869999999</v>
      </c>
      <c r="E6737" s="2">
        <v>3691654.67</v>
      </c>
      <c r="F6737" s="2">
        <v>3400146.9</v>
      </c>
    </row>
    <row r="6738" spans="1:6" x14ac:dyDescent="0.25">
      <c r="A6738" s="1">
        <v>45108</v>
      </c>
      <c r="B6738" t="s">
        <v>23</v>
      </c>
      <c r="C6738" t="s">
        <v>916</v>
      </c>
      <c r="D6738" s="2">
        <v>71566610.230000004</v>
      </c>
      <c r="E6738" s="2">
        <v>83305139.790000007</v>
      </c>
      <c r="F6738" s="2">
        <v>76710561.180000007</v>
      </c>
    </row>
    <row r="6739" spans="1:6" x14ac:dyDescent="0.25">
      <c r="A6739" s="1">
        <v>45108</v>
      </c>
      <c r="B6739" t="s">
        <v>40</v>
      </c>
      <c r="C6739" t="s">
        <v>749</v>
      </c>
      <c r="D6739" s="2">
        <v>372627137.93000001</v>
      </c>
      <c r="E6739" s="2">
        <v>1264049730.1900001</v>
      </c>
      <c r="F6739" s="2">
        <v>1269360070.76</v>
      </c>
    </row>
    <row r="6740" spans="1:6" x14ac:dyDescent="0.25">
      <c r="A6740" s="1">
        <v>45108</v>
      </c>
      <c r="B6740" t="s">
        <v>23</v>
      </c>
      <c r="C6740" t="s">
        <v>869</v>
      </c>
      <c r="D6740" s="2">
        <v>16204589.300000001</v>
      </c>
      <c r="E6740" s="2">
        <v>11623263.970000001</v>
      </c>
      <c r="F6740" s="2">
        <v>11097876.109999999</v>
      </c>
    </row>
    <row r="6741" spans="1:6" x14ac:dyDescent="0.25">
      <c r="A6741" s="1">
        <v>45108</v>
      </c>
      <c r="B6741" t="s">
        <v>23</v>
      </c>
      <c r="C6741" t="s">
        <v>633</v>
      </c>
      <c r="D6741" s="2">
        <v>13657354.550000001</v>
      </c>
      <c r="E6741" s="2">
        <v>4218281.2699999996</v>
      </c>
      <c r="F6741" s="2">
        <v>4671136.29</v>
      </c>
    </row>
    <row r="6742" spans="1:6" x14ac:dyDescent="0.25">
      <c r="A6742" s="1">
        <v>45108</v>
      </c>
      <c r="B6742" t="s">
        <v>23</v>
      </c>
      <c r="C6742" t="s">
        <v>759</v>
      </c>
      <c r="D6742" s="2">
        <v>714978.12</v>
      </c>
      <c r="E6742" s="2">
        <v>960077.37</v>
      </c>
      <c r="F6742" s="2">
        <v>899482.96</v>
      </c>
    </row>
    <row r="6743" spans="1:6" x14ac:dyDescent="0.25">
      <c r="A6743" s="1">
        <v>45108</v>
      </c>
      <c r="B6743" t="s">
        <v>40</v>
      </c>
      <c r="C6743" t="s">
        <v>78</v>
      </c>
      <c r="D6743" s="2">
        <v>6125605.7699999996</v>
      </c>
      <c r="E6743" s="2">
        <v>4398266.25</v>
      </c>
      <c r="F6743" s="2">
        <v>4128373.54</v>
      </c>
    </row>
    <row r="6744" spans="1:6" x14ac:dyDescent="0.25">
      <c r="A6744" s="1">
        <v>45108</v>
      </c>
      <c r="B6744" t="s">
        <v>40</v>
      </c>
      <c r="C6744" t="s">
        <v>910</v>
      </c>
      <c r="D6744" s="2">
        <v>2949067378.8800001</v>
      </c>
      <c r="E6744" s="2">
        <v>7719972691.8699999</v>
      </c>
      <c r="F6744" s="2">
        <v>9869376203.2000008</v>
      </c>
    </row>
    <row r="6745" spans="1:6" x14ac:dyDescent="0.25">
      <c r="A6745" s="1">
        <v>45108</v>
      </c>
      <c r="B6745" t="s">
        <v>40</v>
      </c>
      <c r="C6745" t="s">
        <v>898</v>
      </c>
      <c r="D6745" s="2">
        <v>37068331.399999999</v>
      </c>
      <c r="E6745" s="2">
        <v>51457318.880000003</v>
      </c>
      <c r="F6745" s="2">
        <v>48868470.649999999</v>
      </c>
    </row>
    <row r="6746" spans="1:6" x14ac:dyDescent="0.25">
      <c r="A6746" s="1">
        <v>45108</v>
      </c>
      <c r="B6746" t="s">
        <v>40</v>
      </c>
      <c r="C6746" t="s">
        <v>95</v>
      </c>
      <c r="D6746" s="2">
        <v>862582615.09000003</v>
      </c>
      <c r="E6746" s="2">
        <v>716290881.80999994</v>
      </c>
      <c r="F6746" s="2">
        <v>711216269.13</v>
      </c>
    </row>
    <row r="6747" spans="1:6" x14ac:dyDescent="0.25">
      <c r="A6747" s="1">
        <v>45108</v>
      </c>
      <c r="B6747" t="s">
        <v>40</v>
      </c>
      <c r="C6747" t="s">
        <v>924</v>
      </c>
      <c r="D6747" s="2">
        <v>333004992.88999999</v>
      </c>
      <c r="E6747" s="2">
        <v>764492630.71000004</v>
      </c>
      <c r="F6747" s="2">
        <v>775758539.00999999</v>
      </c>
    </row>
    <row r="6748" spans="1:6" x14ac:dyDescent="0.25">
      <c r="A6748" s="1">
        <v>45108</v>
      </c>
      <c r="B6748" t="s">
        <v>216</v>
      </c>
      <c r="C6748" t="s">
        <v>468</v>
      </c>
      <c r="D6748" s="2">
        <v>169048047.06</v>
      </c>
      <c r="E6748" s="2">
        <v>151563567.19</v>
      </c>
      <c r="F6748" s="2">
        <v>143266203.31</v>
      </c>
    </row>
    <row r="6749" spans="1:6" x14ac:dyDescent="0.25">
      <c r="A6749" s="1">
        <v>45139</v>
      </c>
      <c r="B6749" t="s">
        <v>42</v>
      </c>
      <c r="C6749" t="s">
        <v>380</v>
      </c>
      <c r="D6749">
        <v>0</v>
      </c>
      <c r="E6749">
        <v>0</v>
      </c>
      <c r="F6749" s="2">
        <v>5184840</v>
      </c>
    </row>
    <row r="6750" spans="1:6" x14ac:dyDescent="0.25">
      <c r="A6750" s="1">
        <v>45139</v>
      </c>
      <c r="B6750" t="s">
        <v>50</v>
      </c>
      <c r="C6750" t="s">
        <v>1150</v>
      </c>
      <c r="D6750">
        <v>0</v>
      </c>
      <c r="E6750" s="2">
        <v>18214.7</v>
      </c>
      <c r="F6750" s="2">
        <v>18440.47</v>
      </c>
    </row>
    <row r="6751" spans="1:6" x14ac:dyDescent="0.25">
      <c r="A6751" s="1">
        <v>45139</v>
      </c>
      <c r="B6751" t="s">
        <v>398</v>
      </c>
      <c r="C6751" t="s">
        <v>437</v>
      </c>
      <c r="D6751">
        <v>0</v>
      </c>
      <c r="E6751" s="2">
        <v>2687374.07</v>
      </c>
      <c r="F6751" s="2">
        <v>2687374.07</v>
      </c>
    </row>
    <row r="6752" spans="1:6" x14ac:dyDescent="0.25">
      <c r="A6752" s="1">
        <v>45139</v>
      </c>
      <c r="B6752" t="s">
        <v>458</v>
      </c>
      <c r="C6752" t="s">
        <v>798</v>
      </c>
      <c r="D6752">
        <v>0</v>
      </c>
      <c r="E6752">
        <v>0</v>
      </c>
      <c r="F6752">
        <v>0</v>
      </c>
    </row>
    <row r="6753" spans="1:6" x14ac:dyDescent="0.25">
      <c r="A6753" s="1">
        <v>45139</v>
      </c>
      <c r="B6753" t="s">
        <v>648</v>
      </c>
      <c r="C6753" t="s">
        <v>442</v>
      </c>
      <c r="D6753" s="2">
        <v>960019</v>
      </c>
      <c r="E6753">
        <v>0</v>
      </c>
      <c r="F6753">
        <v>0</v>
      </c>
    </row>
    <row r="6754" spans="1:6" x14ac:dyDescent="0.25">
      <c r="A6754" s="1">
        <v>45139</v>
      </c>
      <c r="B6754" t="s">
        <v>344</v>
      </c>
      <c r="C6754" t="s">
        <v>1054</v>
      </c>
      <c r="D6754">
        <v>0</v>
      </c>
      <c r="E6754" s="2">
        <v>90100.09</v>
      </c>
      <c r="F6754" s="2">
        <v>72046.09</v>
      </c>
    </row>
    <row r="6755" spans="1:6" x14ac:dyDescent="0.25">
      <c r="A6755" s="1">
        <v>45139</v>
      </c>
      <c r="B6755" t="s">
        <v>132</v>
      </c>
      <c r="C6755" t="s">
        <v>285</v>
      </c>
      <c r="D6755" s="2">
        <v>2191393.9500000002</v>
      </c>
      <c r="E6755" s="2">
        <v>8060918.3799999999</v>
      </c>
      <c r="F6755" s="2">
        <v>7800581.3700000001</v>
      </c>
    </row>
    <row r="6756" spans="1:6" x14ac:dyDescent="0.25">
      <c r="A6756" s="1">
        <v>45139</v>
      </c>
      <c r="B6756" t="s">
        <v>68</v>
      </c>
      <c r="C6756" t="s">
        <v>1253</v>
      </c>
      <c r="D6756">
        <v>0</v>
      </c>
      <c r="E6756" s="2">
        <v>144401666.08000001</v>
      </c>
      <c r="F6756" s="2">
        <v>144401666.08000001</v>
      </c>
    </row>
    <row r="6757" spans="1:6" x14ac:dyDescent="0.25">
      <c r="A6757" s="1">
        <v>45139</v>
      </c>
      <c r="B6757" t="s">
        <v>118</v>
      </c>
      <c r="C6757" t="s">
        <v>298</v>
      </c>
      <c r="D6757">
        <v>0</v>
      </c>
      <c r="E6757" s="2">
        <v>4468</v>
      </c>
      <c r="F6757" s="2">
        <v>12325.06</v>
      </c>
    </row>
    <row r="6758" spans="1:6" x14ac:dyDescent="0.25">
      <c r="A6758" s="1">
        <v>45139</v>
      </c>
      <c r="B6758" t="s">
        <v>31</v>
      </c>
      <c r="C6758" t="s">
        <v>768</v>
      </c>
      <c r="D6758">
        <v>0</v>
      </c>
      <c r="E6758">
        <v>0</v>
      </c>
      <c r="F6758">
        <v>0</v>
      </c>
    </row>
    <row r="6759" spans="1:6" x14ac:dyDescent="0.25">
      <c r="A6759" s="1">
        <v>45139</v>
      </c>
      <c r="B6759" t="s">
        <v>15</v>
      </c>
      <c r="C6759" t="s">
        <v>1043</v>
      </c>
      <c r="D6759">
        <v>0</v>
      </c>
      <c r="E6759" s="2">
        <v>2112190.94</v>
      </c>
      <c r="F6759">
        <v>0</v>
      </c>
    </row>
    <row r="6760" spans="1:6" x14ac:dyDescent="0.25">
      <c r="A6760" s="1">
        <v>45139</v>
      </c>
      <c r="B6760" t="s">
        <v>118</v>
      </c>
      <c r="C6760" t="s">
        <v>374</v>
      </c>
      <c r="D6760">
        <v>0</v>
      </c>
      <c r="E6760">
        <v>0</v>
      </c>
      <c r="F6760">
        <v>0</v>
      </c>
    </row>
    <row r="6761" spans="1:6" x14ac:dyDescent="0.25">
      <c r="A6761" s="1">
        <v>45139</v>
      </c>
      <c r="B6761" t="s">
        <v>21</v>
      </c>
      <c r="C6761" t="s">
        <v>559</v>
      </c>
      <c r="D6761">
        <v>0</v>
      </c>
      <c r="E6761" s="2">
        <v>8223062.0599999996</v>
      </c>
      <c r="F6761" s="2">
        <v>8223062.0599999996</v>
      </c>
    </row>
    <row r="6762" spans="1:6" x14ac:dyDescent="0.25">
      <c r="A6762" s="1">
        <v>45139</v>
      </c>
      <c r="B6762" t="s">
        <v>21</v>
      </c>
      <c r="C6762" t="s">
        <v>431</v>
      </c>
      <c r="D6762">
        <v>0</v>
      </c>
      <c r="E6762" s="2">
        <v>56112.38</v>
      </c>
      <c r="F6762" s="2">
        <v>326034.84999999998</v>
      </c>
    </row>
    <row r="6763" spans="1:6" x14ac:dyDescent="0.25">
      <c r="A6763" s="1">
        <v>45139</v>
      </c>
      <c r="B6763" t="s">
        <v>132</v>
      </c>
      <c r="C6763" t="s">
        <v>989</v>
      </c>
      <c r="D6763" s="2">
        <v>-38409</v>
      </c>
      <c r="E6763">
        <v>0</v>
      </c>
      <c r="F6763">
        <v>0</v>
      </c>
    </row>
    <row r="6764" spans="1:6" x14ac:dyDescent="0.25">
      <c r="A6764" s="1">
        <v>45139</v>
      </c>
      <c r="B6764" t="s">
        <v>107</v>
      </c>
      <c r="C6764" t="s">
        <v>147</v>
      </c>
      <c r="D6764">
        <v>0</v>
      </c>
      <c r="E6764" s="2">
        <v>239952</v>
      </c>
      <c r="F6764" s="2">
        <v>198010.52</v>
      </c>
    </row>
    <row r="6765" spans="1:6" x14ac:dyDescent="0.25">
      <c r="A6765" s="1">
        <v>45139</v>
      </c>
      <c r="B6765" t="s">
        <v>107</v>
      </c>
      <c r="C6765" t="s">
        <v>189</v>
      </c>
      <c r="D6765">
        <v>0</v>
      </c>
      <c r="E6765" s="2">
        <v>11547200</v>
      </c>
      <c r="F6765" s="2">
        <v>11547200</v>
      </c>
    </row>
    <row r="6766" spans="1:6" x14ac:dyDescent="0.25">
      <c r="A6766" s="1">
        <v>45139</v>
      </c>
      <c r="B6766" t="s">
        <v>402</v>
      </c>
      <c r="C6766" t="s">
        <v>913</v>
      </c>
      <c r="D6766">
        <v>0</v>
      </c>
      <c r="E6766">
        <v>0</v>
      </c>
      <c r="F6766">
        <v>0</v>
      </c>
    </row>
    <row r="6767" spans="1:6" x14ac:dyDescent="0.25">
      <c r="A6767" s="1">
        <v>45139</v>
      </c>
      <c r="B6767" t="s">
        <v>458</v>
      </c>
      <c r="C6767" t="s">
        <v>30</v>
      </c>
      <c r="D6767">
        <v>0</v>
      </c>
      <c r="E6767">
        <v>0</v>
      </c>
      <c r="F6767">
        <v>0</v>
      </c>
    </row>
    <row r="6768" spans="1:6" x14ac:dyDescent="0.25">
      <c r="A6768" s="1">
        <v>45139</v>
      </c>
      <c r="B6768" t="s">
        <v>21</v>
      </c>
      <c r="C6768" t="s">
        <v>184</v>
      </c>
      <c r="D6768">
        <v>0</v>
      </c>
      <c r="E6768" s="2">
        <v>250986.25</v>
      </c>
      <c r="F6768" s="2">
        <v>101789.49</v>
      </c>
    </row>
    <row r="6769" spans="1:6" x14ac:dyDescent="0.25">
      <c r="A6769" s="1">
        <v>45139</v>
      </c>
      <c r="B6769" t="s">
        <v>48</v>
      </c>
      <c r="C6769" t="s">
        <v>1283</v>
      </c>
      <c r="D6769" s="2">
        <v>361500345</v>
      </c>
      <c r="E6769">
        <v>0</v>
      </c>
      <c r="F6769">
        <v>0</v>
      </c>
    </row>
    <row r="6770" spans="1:6" x14ac:dyDescent="0.25">
      <c r="A6770" s="1">
        <v>45139</v>
      </c>
      <c r="B6770" t="s">
        <v>19</v>
      </c>
      <c r="C6770" t="s">
        <v>699</v>
      </c>
      <c r="D6770" s="2">
        <v>-42948.13</v>
      </c>
      <c r="E6770" s="2">
        <v>2392045.15</v>
      </c>
      <c r="F6770" s="2">
        <v>2392045.15</v>
      </c>
    </row>
    <row r="6771" spans="1:6" x14ac:dyDescent="0.25">
      <c r="A6771" s="1">
        <v>45139</v>
      </c>
      <c r="B6771" t="s">
        <v>23</v>
      </c>
      <c r="C6771" t="s">
        <v>620</v>
      </c>
      <c r="D6771" s="2">
        <v>440250.96</v>
      </c>
      <c r="E6771" s="2">
        <v>344213.91</v>
      </c>
      <c r="F6771" s="2">
        <v>324133.12</v>
      </c>
    </row>
    <row r="6772" spans="1:6" x14ac:dyDescent="0.25">
      <c r="A6772" s="1">
        <v>45139</v>
      </c>
      <c r="B6772" t="s">
        <v>50</v>
      </c>
      <c r="C6772" t="s">
        <v>596</v>
      </c>
      <c r="D6772" s="2">
        <v>252785.95</v>
      </c>
      <c r="E6772" s="2">
        <v>573658.13</v>
      </c>
      <c r="F6772" s="2">
        <v>611373.06999999995</v>
      </c>
    </row>
    <row r="6773" spans="1:6" x14ac:dyDescent="0.25">
      <c r="A6773" s="1">
        <v>45139</v>
      </c>
      <c r="B6773" t="s">
        <v>17</v>
      </c>
      <c r="C6773" t="s">
        <v>1057</v>
      </c>
      <c r="D6773">
        <v>0</v>
      </c>
      <c r="E6773">
        <v>0</v>
      </c>
      <c r="F6773">
        <v>0</v>
      </c>
    </row>
    <row r="6774" spans="1:6" x14ac:dyDescent="0.25">
      <c r="A6774" s="1">
        <v>45139</v>
      </c>
      <c r="B6774" t="s">
        <v>35</v>
      </c>
      <c r="C6774" t="s">
        <v>36</v>
      </c>
      <c r="D6774">
        <v>0</v>
      </c>
      <c r="E6774">
        <v>0</v>
      </c>
      <c r="F6774">
        <v>0</v>
      </c>
    </row>
    <row r="6775" spans="1:6" x14ac:dyDescent="0.25">
      <c r="A6775" s="1">
        <v>45139</v>
      </c>
      <c r="B6775" t="s">
        <v>398</v>
      </c>
      <c r="C6775" t="s">
        <v>399</v>
      </c>
      <c r="D6775">
        <v>0</v>
      </c>
      <c r="E6775" s="2">
        <v>711314.88</v>
      </c>
      <c r="F6775" s="2">
        <v>711314.88</v>
      </c>
    </row>
    <row r="6776" spans="1:6" x14ac:dyDescent="0.25">
      <c r="A6776" s="1">
        <v>45139</v>
      </c>
      <c r="B6776" t="s">
        <v>154</v>
      </c>
      <c r="C6776" t="s">
        <v>155</v>
      </c>
      <c r="D6776" s="2">
        <v>116519.42</v>
      </c>
      <c r="E6776" s="2">
        <v>7368.64</v>
      </c>
      <c r="F6776" s="2">
        <v>7368.64</v>
      </c>
    </row>
    <row r="6777" spans="1:6" x14ac:dyDescent="0.25">
      <c r="A6777" s="1">
        <v>45139</v>
      </c>
      <c r="B6777" t="s">
        <v>50</v>
      </c>
      <c r="C6777" t="s">
        <v>1221</v>
      </c>
      <c r="D6777">
        <v>0</v>
      </c>
      <c r="E6777">
        <v>0</v>
      </c>
      <c r="F6777">
        <v>0</v>
      </c>
    </row>
    <row r="6778" spans="1:6" x14ac:dyDescent="0.25">
      <c r="A6778" s="1">
        <v>45139</v>
      </c>
      <c r="B6778" t="s">
        <v>107</v>
      </c>
      <c r="C6778" t="s">
        <v>509</v>
      </c>
      <c r="D6778">
        <v>0</v>
      </c>
      <c r="E6778">
        <v>0</v>
      </c>
      <c r="F6778">
        <v>0</v>
      </c>
    </row>
    <row r="6779" spans="1:6" x14ac:dyDescent="0.25">
      <c r="A6779" s="1">
        <v>45139</v>
      </c>
      <c r="B6779" t="s">
        <v>40</v>
      </c>
      <c r="C6779" t="s">
        <v>148</v>
      </c>
      <c r="D6779">
        <v>0</v>
      </c>
      <c r="E6779" s="2">
        <v>156193.38</v>
      </c>
      <c r="F6779" s="2">
        <v>198799.17</v>
      </c>
    </row>
    <row r="6780" spans="1:6" x14ac:dyDescent="0.25">
      <c r="A6780" s="1">
        <v>45139</v>
      </c>
      <c r="B6780" t="s">
        <v>196</v>
      </c>
      <c r="C6780" t="s">
        <v>491</v>
      </c>
      <c r="D6780">
        <v>0</v>
      </c>
      <c r="E6780">
        <v>0</v>
      </c>
      <c r="F6780">
        <v>0</v>
      </c>
    </row>
    <row r="6781" spans="1:6" x14ac:dyDescent="0.25">
      <c r="A6781" s="1">
        <v>45139</v>
      </c>
      <c r="B6781" t="s">
        <v>68</v>
      </c>
      <c r="C6781" t="s">
        <v>339</v>
      </c>
      <c r="D6781" s="2">
        <v>773899.72</v>
      </c>
      <c r="E6781" s="2">
        <v>481165.44</v>
      </c>
      <c r="F6781" s="2">
        <v>472487.14</v>
      </c>
    </row>
    <row r="6782" spans="1:6" x14ac:dyDescent="0.25">
      <c r="A6782" s="1">
        <v>45139</v>
      </c>
      <c r="B6782" t="s">
        <v>68</v>
      </c>
      <c r="C6782" t="s">
        <v>137</v>
      </c>
      <c r="D6782">
        <v>0</v>
      </c>
      <c r="E6782" s="2">
        <v>8248010.4199999999</v>
      </c>
      <c r="F6782" s="2">
        <v>9353734.2599999998</v>
      </c>
    </row>
    <row r="6783" spans="1:6" x14ac:dyDescent="0.25">
      <c r="A6783" s="1">
        <v>45139</v>
      </c>
      <c r="B6783" t="s">
        <v>21</v>
      </c>
      <c r="C6783" t="s">
        <v>591</v>
      </c>
      <c r="D6783" s="2">
        <v>10166567.23</v>
      </c>
      <c r="E6783" s="2">
        <v>363946.66</v>
      </c>
      <c r="F6783" s="2">
        <v>363946.66</v>
      </c>
    </row>
    <row r="6784" spans="1:6" x14ac:dyDescent="0.25">
      <c r="A6784" s="1">
        <v>45139</v>
      </c>
      <c r="B6784" t="s">
        <v>648</v>
      </c>
      <c r="C6784" t="s">
        <v>1299</v>
      </c>
      <c r="D6784" s="2">
        <v>4775000</v>
      </c>
      <c r="E6784" s="2">
        <v>3000000</v>
      </c>
      <c r="F6784" s="2">
        <v>3000000</v>
      </c>
    </row>
    <row r="6785" spans="1:6" x14ac:dyDescent="0.25">
      <c r="A6785" s="1">
        <v>45139</v>
      </c>
      <c r="B6785" t="s">
        <v>21</v>
      </c>
      <c r="C6785" t="s">
        <v>301</v>
      </c>
      <c r="D6785">
        <v>0</v>
      </c>
      <c r="E6785" s="2">
        <v>72932.12</v>
      </c>
      <c r="F6785" s="2">
        <v>55932.66</v>
      </c>
    </row>
    <row r="6786" spans="1:6" x14ac:dyDescent="0.25">
      <c r="A6786" s="1">
        <v>45139</v>
      </c>
      <c r="B6786" t="s">
        <v>17</v>
      </c>
      <c r="C6786" t="s">
        <v>877</v>
      </c>
      <c r="D6786" s="2">
        <v>378419.99</v>
      </c>
      <c r="E6786" s="2">
        <v>378419.99</v>
      </c>
      <c r="F6786" s="2">
        <v>378419.99</v>
      </c>
    </row>
    <row r="6787" spans="1:6" x14ac:dyDescent="0.25">
      <c r="A6787" s="1">
        <v>45139</v>
      </c>
      <c r="B6787" t="s">
        <v>23</v>
      </c>
      <c r="C6787" t="s">
        <v>988</v>
      </c>
      <c r="D6787">
        <v>0</v>
      </c>
      <c r="E6787">
        <v>0</v>
      </c>
      <c r="F6787" s="2">
        <v>2037235.06</v>
      </c>
    </row>
    <row r="6788" spans="1:6" x14ac:dyDescent="0.25">
      <c r="A6788" s="1">
        <v>45139</v>
      </c>
      <c r="B6788" t="s">
        <v>9</v>
      </c>
      <c r="C6788" t="s">
        <v>396</v>
      </c>
      <c r="D6788">
        <v>0</v>
      </c>
      <c r="E6788" s="2">
        <v>115200</v>
      </c>
      <c r="F6788" s="2">
        <v>114799.5</v>
      </c>
    </row>
    <row r="6789" spans="1:6" x14ac:dyDescent="0.25">
      <c r="A6789" s="1">
        <v>45139</v>
      </c>
      <c r="B6789" t="s">
        <v>234</v>
      </c>
      <c r="C6789" t="s">
        <v>1305</v>
      </c>
      <c r="D6789" s="2">
        <v>20000</v>
      </c>
      <c r="E6789" s="2">
        <v>159519.97</v>
      </c>
      <c r="F6789" s="2">
        <v>90363.55</v>
      </c>
    </row>
    <row r="6790" spans="1:6" x14ac:dyDescent="0.25">
      <c r="A6790" s="1">
        <v>45139</v>
      </c>
      <c r="B6790" t="s">
        <v>90</v>
      </c>
      <c r="C6790" t="s">
        <v>73</v>
      </c>
      <c r="D6790">
        <v>0</v>
      </c>
      <c r="E6790" s="2">
        <v>7995395.9699999997</v>
      </c>
      <c r="F6790">
        <v>0</v>
      </c>
    </row>
    <row r="6791" spans="1:6" x14ac:dyDescent="0.25">
      <c r="A6791" s="1">
        <v>45139</v>
      </c>
      <c r="B6791" t="s">
        <v>21</v>
      </c>
      <c r="C6791" t="s">
        <v>700</v>
      </c>
      <c r="D6791">
        <v>0</v>
      </c>
      <c r="E6791" s="2">
        <v>1729219.25</v>
      </c>
      <c r="F6791" s="2">
        <v>1729219.25</v>
      </c>
    </row>
    <row r="6792" spans="1:6" x14ac:dyDescent="0.25">
      <c r="A6792" s="1">
        <v>45139</v>
      </c>
      <c r="B6792" t="s">
        <v>21</v>
      </c>
      <c r="C6792" t="s">
        <v>1017</v>
      </c>
      <c r="D6792">
        <v>0</v>
      </c>
      <c r="E6792" s="2">
        <v>97587.3</v>
      </c>
      <c r="F6792" s="2">
        <v>9879.83</v>
      </c>
    </row>
    <row r="6793" spans="1:6" x14ac:dyDescent="0.25">
      <c r="A6793" s="1">
        <v>45139</v>
      </c>
      <c r="B6793" t="s">
        <v>27</v>
      </c>
      <c r="C6793" t="s">
        <v>983</v>
      </c>
      <c r="D6793" s="2">
        <v>140000</v>
      </c>
      <c r="E6793">
        <v>511.89</v>
      </c>
      <c r="F6793">
        <v>511.89</v>
      </c>
    </row>
    <row r="6794" spans="1:6" x14ac:dyDescent="0.25">
      <c r="A6794" s="1">
        <v>45139</v>
      </c>
      <c r="B6794" t="s">
        <v>490</v>
      </c>
      <c r="C6794" t="s">
        <v>993</v>
      </c>
      <c r="D6794">
        <v>0</v>
      </c>
      <c r="E6794">
        <v>0</v>
      </c>
      <c r="F6794">
        <v>0</v>
      </c>
    </row>
    <row r="6795" spans="1:6" x14ac:dyDescent="0.25">
      <c r="A6795" s="1">
        <v>45139</v>
      </c>
      <c r="B6795" t="s">
        <v>37</v>
      </c>
      <c r="C6795" t="s">
        <v>134</v>
      </c>
      <c r="D6795">
        <v>0</v>
      </c>
      <c r="E6795" s="2">
        <v>2445857122.0300002</v>
      </c>
      <c r="F6795" s="2">
        <v>1242633482</v>
      </c>
    </row>
    <row r="6796" spans="1:6" x14ac:dyDescent="0.25">
      <c r="A6796" s="1">
        <v>45139</v>
      </c>
      <c r="B6796" t="s">
        <v>50</v>
      </c>
      <c r="C6796" t="s">
        <v>438</v>
      </c>
      <c r="D6796">
        <v>0</v>
      </c>
      <c r="E6796">
        <v>578.4</v>
      </c>
      <c r="F6796" s="2">
        <v>1732932.82</v>
      </c>
    </row>
    <row r="6797" spans="1:6" x14ac:dyDescent="0.25">
      <c r="A6797" s="1">
        <v>45139</v>
      </c>
      <c r="B6797" t="s">
        <v>196</v>
      </c>
      <c r="C6797" t="s">
        <v>638</v>
      </c>
      <c r="D6797">
        <v>0</v>
      </c>
      <c r="E6797">
        <v>0</v>
      </c>
      <c r="F6797">
        <v>0</v>
      </c>
    </row>
    <row r="6798" spans="1:6" x14ac:dyDescent="0.25">
      <c r="A6798" s="1">
        <v>45139</v>
      </c>
      <c r="B6798" t="s">
        <v>40</v>
      </c>
      <c r="C6798" t="s">
        <v>931</v>
      </c>
      <c r="D6798" s="2">
        <v>150000</v>
      </c>
      <c r="E6798" s="2">
        <v>236538.59</v>
      </c>
      <c r="F6798" s="2">
        <v>200377.82</v>
      </c>
    </row>
    <row r="6799" spans="1:6" x14ac:dyDescent="0.25">
      <c r="A6799" s="1">
        <v>45139</v>
      </c>
      <c r="B6799" t="s">
        <v>118</v>
      </c>
      <c r="C6799" t="s">
        <v>1097</v>
      </c>
      <c r="D6799">
        <v>0</v>
      </c>
      <c r="E6799">
        <v>0</v>
      </c>
      <c r="F6799">
        <v>0</v>
      </c>
    </row>
    <row r="6800" spans="1:6" x14ac:dyDescent="0.25">
      <c r="A6800" s="1">
        <v>45139</v>
      </c>
      <c r="B6800" t="s">
        <v>17</v>
      </c>
      <c r="C6800" t="s">
        <v>1025</v>
      </c>
      <c r="D6800">
        <v>0</v>
      </c>
      <c r="E6800">
        <v>0</v>
      </c>
      <c r="F6800">
        <v>0</v>
      </c>
    </row>
    <row r="6801" spans="1:6" x14ac:dyDescent="0.25">
      <c r="A6801" s="1">
        <v>45139</v>
      </c>
      <c r="B6801" t="s">
        <v>476</v>
      </c>
      <c r="C6801" t="s">
        <v>477</v>
      </c>
      <c r="D6801">
        <v>0</v>
      </c>
      <c r="E6801">
        <v>0</v>
      </c>
      <c r="F6801">
        <v>0</v>
      </c>
    </row>
    <row r="6802" spans="1:6" x14ac:dyDescent="0.25">
      <c r="A6802" s="1">
        <v>45139</v>
      </c>
      <c r="B6802" t="s">
        <v>81</v>
      </c>
      <c r="C6802" t="s">
        <v>167</v>
      </c>
      <c r="D6802">
        <v>0</v>
      </c>
      <c r="E6802">
        <v>0</v>
      </c>
      <c r="F6802">
        <v>0</v>
      </c>
    </row>
    <row r="6803" spans="1:6" x14ac:dyDescent="0.25">
      <c r="A6803" s="1">
        <v>45139</v>
      </c>
      <c r="B6803" t="s">
        <v>50</v>
      </c>
      <c r="C6803" t="s">
        <v>1146</v>
      </c>
      <c r="D6803" s="2">
        <v>14600000</v>
      </c>
      <c r="E6803">
        <v>0</v>
      </c>
      <c r="F6803">
        <v>0</v>
      </c>
    </row>
    <row r="6804" spans="1:6" x14ac:dyDescent="0.25">
      <c r="A6804" s="1">
        <v>45139</v>
      </c>
      <c r="B6804" t="s">
        <v>118</v>
      </c>
      <c r="C6804" t="s">
        <v>911</v>
      </c>
      <c r="D6804">
        <v>0</v>
      </c>
      <c r="E6804">
        <v>0</v>
      </c>
      <c r="F6804">
        <v>0</v>
      </c>
    </row>
    <row r="6805" spans="1:6" x14ac:dyDescent="0.25">
      <c r="A6805" s="1">
        <v>45139</v>
      </c>
      <c r="B6805" t="s">
        <v>65</v>
      </c>
      <c r="C6805" t="s">
        <v>66</v>
      </c>
      <c r="D6805" s="2">
        <v>99665.9</v>
      </c>
      <c r="E6805" s="2">
        <v>931358.38</v>
      </c>
      <c r="F6805" s="2">
        <v>575287.02</v>
      </c>
    </row>
    <row r="6806" spans="1:6" x14ac:dyDescent="0.25">
      <c r="A6806" s="1">
        <v>45139</v>
      </c>
      <c r="B6806" t="s">
        <v>694</v>
      </c>
      <c r="C6806" t="s">
        <v>658</v>
      </c>
      <c r="D6806">
        <v>0</v>
      </c>
      <c r="E6806">
        <v>0</v>
      </c>
      <c r="F6806">
        <v>0</v>
      </c>
    </row>
    <row r="6807" spans="1:6" x14ac:dyDescent="0.25">
      <c r="A6807" s="1">
        <v>45139</v>
      </c>
      <c r="B6807" t="s">
        <v>278</v>
      </c>
      <c r="C6807" t="s">
        <v>401</v>
      </c>
      <c r="D6807" s="2">
        <v>6692000</v>
      </c>
      <c r="E6807" s="2">
        <v>6692000</v>
      </c>
      <c r="F6807" s="2">
        <v>6692000</v>
      </c>
    </row>
    <row r="6808" spans="1:6" x14ac:dyDescent="0.25">
      <c r="A6808" s="1">
        <v>45139</v>
      </c>
      <c r="B6808" t="s">
        <v>79</v>
      </c>
      <c r="C6808" t="s">
        <v>80</v>
      </c>
      <c r="D6808">
        <v>0</v>
      </c>
      <c r="E6808">
        <v>0</v>
      </c>
      <c r="F6808">
        <v>0</v>
      </c>
    </row>
    <row r="6809" spans="1:6" x14ac:dyDescent="0.25">
      <c r="A6809" s="1">
        <v>45139</v>
      </c>
      <c r="B6809" t="s">
        <v>337</v>
      </c>
      <c r="C6809" t="s">
        <v>338</v>
      </c>
      <c r="D6809" s="2">
        <v>2605355.7799999998</v>
      </c>
      <c r="E6809" s="2">
        <v>2315786.71</v>
      </c>
      <c r="F6809" s="2">
        <v>1820852.15</v>
      </c>
    </row>
    <row r="6810" spans="1:6" x14ac:dyDescent="0.25">
      <c r="A6810" s="1">
        <v>45139</v>
      </c>
      <c r="B6810" t="s">
        <v>44</v>
      </c>
      <c r="C6810" t="s">
        <v>386</v>
      </c>
      <c r="D6810">
        <v>0</v>
      </c>
      <c r="E6810" s="2">
        <v>9291.86</v>
      </c>
      <c r="F6810" s="2">
        <v>9889.2900000000009</v>
      </c>
    </row>
    <row r="6811" spans="1:6" x14ac:dyDescent="0.25">
      <c r="A6811" s="1">
        <v>45139</v>
      </c>
      <c r="B6811" t="s">
        <v>992</v>
      </c>
      <c r="C6811" t="s">
        <v>993</v>
      </c>
      <c r="D6811">
        <v>0</v>
      </c>
      <c r="E6811">
        <v>0</v>
      </c>
      <c r="F6811">
        <v>0</v>
      </c>
    </row>
    <row r="6812" spans="1:6" x14ac:dyDescent="0.25">
      <c r="A6812" s="1">
        <v>45139</v>
      </c>
      <c r="B6812" t="s">
        <v>44</v>
      </c>
      <c r="C6812" t="s">
        <v>240</v>
      </c>
      <c r="D6812" s="2">
        <v>765188.52</v>
      </c>
      <c r="E6812" s="2">
        <v>762982.83</v>
      </c>
      <c r="F6812" s="2">
        <v>113877.63</v>
      </c>
    </row>
    <row r="6813" spans="1:6" x14ac:dyDescent="0.25">
      <c r="A6813" s="1">
        <v>45139</v>
      </c>
      <c r="B6813" t="s">
        <v>398</v>
      </c>
      <c r="C6813" t="s">
        <v>1312</v>
      </c>
      <c r="D6813" s="2">
        <v>300000</v>
      </c>
      <c r="E6813">
        <v>0</v>
      </c>
      <c r="F6813">
        <v>0</v>
      </c>
    </row>
    <row r="6814" spans="1:6" x14ac:dyDescent="0.25">
      <c r="A6814" s="1">
        <v>45139</v>
      </c>
      <c r="B6814" t="s">
        <v>98</v>
      </c>
      <c r="C6814" t="s">
        <v>956</v>
      </c>
      <c r="D6814">
        <v>0</v>
      </c>
      <c r="E6814">
        <v>0</v>
      </c>
      <c r="F6814">
        <v>0</v>
      </c>
    </row>
    <row r="6815" spans="1:6" x14ac:dyDescent="0.25">
      <c r="A6815" s="1">
        <v>45139</v>
      </c>
      <c r="B6815" t="s">
        <v>196</v>
      </c>
      <c r="C6815" t="s">
        <v>926</v>
      </c>
      <c r="D6815">
        <v>0</v>
      </c>
      <c r="E6815">
        <v>0</v>
      </c>
      <c r="F6815">
        <v>0</v>
      </c>
    </row>
    <row r="6816" spans="1:6" x14ac:dyDescent="0.25">
      <c r="A6816" s="1">
        <v>45139</v>
      </c>
      <c r="B6816" t="s">
        <v>68</v>
      </c>
      <c r="C6816" t="s">
        <v>995</v>
      </c>
      <c r="D6816" s="2">
        <v>10302592.699999999</v>
      </c>
      <c r="E6816" s="2">
        <v>2488287.2200000002</v>
      </c>
      <c r="F6816" s="2">
        <v>2488287.2200000002</v>
      </c>
    </row>
    <row r="6817" spans="1:6" x14ac:dyDescent="0.25">
      <c r="A6817" s="1">
        <v>45139</v>
      </c>
      <c r="B6817" t="s">
        <v>213</v>
      </c>
      <c r="C6817" t="s">
        <v>214</v>
      </c>
      <c r="D6817">
        <v>0</v>
      </c>
      <c r="E6817">
        <v>0</v>
      </c>
      <c r="F6817">
        <v>0</v>
      </c>
    </row>
    <row r="6818" spans="1:6" x14ac:dyDescent="0.25">
      <c r="A6818" s="1">
        <v>45139</v>
      </c>
      <c r="B6818" t="s">
        <v>70</v>
      </c>
      <c r="C6818" t="s">
        <v>141</v>
      </c>
      <c r="D6818" s="2">
        <v>741662.86</v>
      </c>
      <c r="E6818" s="2">
        <v>4264423.09</v>
      </c>
      <c r="F6818" s="2">
        <v>4275450.51</v>
      </c>
    </row>
    <row r="6819" spans="1:6" x14ac:dyDescent="0.25">
      <c r="A6819" s="1">
        <v>45139</v>
      </c>
      <c r="B6819" t="s">
        <v>383</v>
      </c>
      <c r="C6819" t="s">
        <v>911</v>
      </c>
      <c r="D6819">
        <v>0</v>
      </c>
      <c r="E6819">
        <v>0</v>
      </c>
      <c r="F6819">
        <v>0</v>
      </c>
    </row>
    <row r="6820" spans="1:6" x14ac:dyDescent="0.25">
      <c r="A6820" s="1">
        <v>45139</v>
      </c>
      <c r="B6820" t="s">
        <v>27</v>
      </c>
      <c r="C6820" t="s">
        <v>835</v>
      </c>
      <c r="D6820">
        <v>0</v>
      </c>
      <c r="E6820" s="2">
        <v>18767</v>
      </c>
      <c r="F6820">
        <v>0</v>
      </c>
    </row>
    <row r="6821" spans="1:6" x14ac:dyDescent="0.25">
      <c r="A6821" s="1">
        <v>45139</v>
      </c>
      <c r="B6821" t="s">
        <v>29</v>
      </c>
      <c r="C6821" t="s">
        <v>60</v>
      </c>
      <c r="D6821">
        <v>0</v>
      </c>
      <c r="E6821" s="2">
        <v>63639.01</v>
      </c>
      <c r="F6821" s="2">
        <v>66006.960000000006</v>
      </c>
    </row>
    <row r="6822" spans="1:6" x14ac:dyDescent="0.25">
      <c r="A6822" s="1">
        <v>45139</v>
      </c>
      <c r="B6822" t="s">
        <v>23</v>
      </c>
      <c r="C6822" t="s">
        <v>117</v>
      </c>
      <c r="D6822" s="2">
        <v>106576.5</v>
      </c>
      <c r="E6822" s="2">
        <v>106656.84</v>
      </c>
      <c r="F6822" s="2">
        <v>111695.79</v>
      </c>
    </row>
    <row r="6823" spans="1:6" x14ac:dyDescent="0.25">
      <c r="A6823" s="1">
        <v>45139</v>
      </c>
      <c r="B6823" t="s">
        <v>17</v>
      </c>
      <c r="C6823" t="s">
        <v>432</v>
      </c>
      <c r="D6823">
        <v>0</v>
      </c>
      <c r="E6823" s="2">
        <v>4900</v>
      </c>
      <c r="F6823" s="2">
        <v>192806.84</v>
      </c>
    </row>
    <row r="6824" spans="1:6" x14ac:dyDescent="0.25">
      <c r="A6824" s="1">
        <v>45139</v>
      </c>
      <c r="B6824" t="s">
        <v>21</v>
      </c>
      <c r="C6824" t="s">
        <v>433</v>
      </c>
      <c r="D6824">
        <v>0</v>
      </c>
      <c r="E6824" s="2">
        <v>10911207.57</v>
      </c>
      <c r="F6824" s="2">
        <v>10911207.57</v>
      </c>
    </row>
    <row r="6825" spans="1:6" x14ac:dyDescent="0.25">
      <c r="A6825" s="1">
        <v>45139</v>
      </c>
      <c r="B6825" t="s">
        <v>185</v>
      </c>
      <c r="C6825" t="s">
        <v>863</v>
      </c>
      <c r="D6825">
        <v>0</v>
      </c>
      <c r="E6825" s="2">
        <v>145784745</v>
      </c>
      <c r="F6825" s="2">
        <v>113247577.19</v>
      </c>
    </row>
    <row r="6826" spans="1:6" x14ac:dyDescent="0.25">
      <c r="A6826" s="1">
        <v>45139</v>
      </c>
      <c r="B6826" t="s">
        <v>98</v>
      </c>
      <c r="C6826" t="s">
        <v>378</v>
      </c>
      <c r="D6826">
        <v>0</v>
      </c>
      <c r="E6826">
        <v>0</v>
      </c>
      <c r="F6826">
        <v>0</v>
      </c>
    </row>
    <row r="6827" spans="1:6" x14ac:dyDescent="0.25">
      <c r="A6827" s="1">
        <v>45139</v>
      </c>
      <c r="B6827" t="s">
        <v>21</v>
      </c>
      <c r="C6827" t="s">
        <v>937</v>
      </c>
      <c r="D6827">
        <v>0</v>
      </c>
      <c r="E6827">
        <v>0</v>
      </c>
      <c r="F6827">
        <v>0</v>
      </c>
    </row>
    <row r="6828" spans="1:6" x14ac:dyDescent="0.25">
      <c r="A6828" s="1">
        <v>45139</v>
      </c>
      <c r="B6828" t="s">
        <v>225</v>
      </c>
      <c r="C6828" t="s">
        <v>1304</v>
      </c>
      <c r="D6828">
        <v>0</v>
      </c>
      <c r="E6828" s="2">
        <v>12692818456.610001</v>
      </c>
      <c r="F6828" s="2">
        <v>12692818456.610001</v>
      </c>
    </row>
    <row r="6829" spans="1:6" x14ac:dyDescent="0.25">
      <c r="A6829" s="1">
        <v>45139</v>
      </c>
      <c r="B6829" t="s">
        <v>187</v>
      </c>
      <c r="C6829" t="s">
        <v>1008</v>
      </c>
      <c r="D6829" s="2">
        <v>65000</v>
      </c>
      <c r="E6829" s="2">
        <v>2886.78</v>
      </c>
      <c r="F6829" s="2">
        <v>2886.78</v>
      </c>
    </row>
    <row r="6830" spans="1:6" x14ac:dyDescent="0.25">
      <c r="A6830" s="1">
        <v>45139</v>
      </c>
      <c r="B6830" t="s">
        <v>9</v>
      </c>
      <c r="C6830" t="s">
        <v>182</v>
      </c>
      <c r="D6830" s="2">
        <v>19039855.82</v>
      </c>
      <c r="E6830" s="2">
        <v>4060387.5</v>
      </c>
      <c r="F6830" s="2">
        <v>3672322.54</v>
      </c>
    </row>
    <row r="6831" spans="1:6" x14ac:dyDescent="0.25">
      <c r="A6831" s="1">
        <v>45139</v>
      </c>
      <c r="B6831" t="s">
        <v>1313</v>
      </c>
      <c r="C6831" t="s">
        <v>253</v>
      </c>
      <c r="D6831">
        <v>0</v>
      </c>
      <c r="E6831">
        <v>0</v>
      </c>
      <c r="F6831">
        <v>0</v>
      </c>
    </row>
    <row r="6832" spans="1:6" x14ac:dyDescent="0.25">
      <c r="A6832" s="1">
        <v>45139</v>
      </c>
      <c r="B6832" t="s">
        <v>50</v>
      </c>
      <c r="C6832" t="s">
        <v>286</v>
      </c>
      <c r="D6832" s="2">
        <v>143250</v>
      </c>
      <c r="E6832">
        <v>0</v>
      </c>
      <c r="F6832">
        <v>0</v>
      </c>
    </row>
    <row r="6833" spans="1:6" x14ac:dyDescent="0.25">
      <c r="A6833" s="1">
        <v>45139</v>
      </c>
      <c r="B6833" t="s">
        <v>422</v>
      </c>
      <c r="C6833" t="s">
        <v>423</v>
      </c>
      <c r="D6833">
        <v>0</v>
      </c>
      <c r="E6833" s="2">
        <v>492568.86</v>
      </c>
      <c r="F6833" s="2">
        <v>606816.43000000005</v>
      </c>
    </row>
    <row r="6834" spans="1:6" x14ac:dyDescent="0.25">
      <c r="A6834" s="1">
        <v>45139</v>
      </c>
      <c r="B6834" t="s">
        <v>23</v>
      </c>
      <c r="C6834" t="s">
        <v>347</v>
      </c>
      <c r="D6834" s="2">
        <v>35356815.659999996</v>
      </c>
      <c r="E6834" s="2">
        <v>21727540.760000002</v>
      </c>
      <c r="F6834" s="2">
        <v>21726213.260000002</v>
      </c>
    </row>
    <row r="6835" spans="1:6" x14ac:dyDescent="0.25">
      <c r="A6835" s="1">
        <v>45139</v>
      </c>
      <c r="B6835" t="s">
        <v>31</v>
      </c>
      <c r="C6835" t="s">
        <v>1314</v>
      </c>
      <c r="D6835">
        <v>0</v>
      </c>
      <c r="E6835">
        <v>0</v>
      </c>
      <c r="F6835">
        <v>0</v>
      </c>
    </row>
    <row r="6836" spans="1:6" x14ac:dyDescent="0.25">
      <c r="A6836" s="1">
        <v>45139</v>
      </c>
      <c r="B6836" t="s">
        <v>225</v>
      </c>
      <c r="C6836" t="s">
        <v>1284</v>
      </c>
      <c r="D6836">
        <v>0</v>
      </c>
      <c r="E6836" s="2">
        <v>59829225.130000003</v>
      </c>
      <c r="F6836" s="2">
        <v>59829225.130000003</v>
      </c>
    </row>
    <row r="6837" spans="1:6" x14ac:dyDescent="0.25">
      <c r="A6837" s="1">
        <v>45139</v>
      </c>
      <c r="B6837" t="s">
        <v>81</v>
      </c>
      <c r="C6837" t="s">
        <v>444</v>
      </c>
      <c r="D6837">
        <v>0</v>
      </c>
      <c r="E6837">
        <v>0</v>
      </c>
      <c r="F6837">
        <v>0</v>
      </c>
    </row>
    <row r="6838" spans="1:6" x14ac:dyDescent="0.25">
      <c r="A6838" s="1">
        <v>45139</v>
      </c>
      <c r="B6838" t="s">
        <v>37</v>
      </c>
      <c r="C6838" t="s">
        <v>1120</v>
      </c>
      <c r="D6838">
        <v>0</v>
      </c>
      <c r="E6838">
        <v>0</v>
      </c>
      <c r="F6838">
        <v>0</v>
      </c>
    </row>
    <row r="6839" spans="1:6" x14ac:dyDescent="0.25">
      <c r="A6839" s="1">
        <v>45139</v>
      </c>
      <c r="B6839" t="s">
        <v>31</v>
      </c>
      <c r="C6839" t="s">
        <v>32</v>
      </c>
      <c r="D6839">
        <v>0</v>
      </c>
      <c r="E6839">
        <v>0</v>
      </c>
      <c r="F6839">
        <v>0</v>
      </c>
    </row>
    <row r="6840" spans="1:6" x14ac:dyDescent="0.25">
      <c r="A6840" s="1">
        <v>45139</v>
      </c>
      <c r="B6840" t="s">
        <v>118</v>
      </c>
      <c r="C6840" t="s">
        <v>119</v>
      </c>
      <c r="D6840">
        <v>0</v>
      </c>
      <c r="E6840">
        <v>0</v>
      </c>
      <c r="F6840">
        <v>0</v>
      </c>
    </row>
    <row r="6841" spans="1:6" x14ac:dyDescent="0.25">
      <c r="A6841" s="1">
        <v>45139</v>
      </c>
      <c r="B6841" t="s">
        <v>694</v>
      </c>
      <c r="C6841" t="s">
        <v>486</v>
      </c>
      <c r="D6841">
        <v>0</v>
      </c>
      <c r="E6841">
        <v>0</v>
      </c>
      <c r="F6841">
        <v>0</v>
      </c>
    </row>
    <row r="6842" spans="1:6" x14ac:dyDescent="0.25">
      <c r="A6842" s="1">
        <v>45139</v>
      </c>
      <c r="B6842" t="s">
        <v>9</v>
      </c>
      <c r="C6842" t="s">
        <v>636</v>
      </c>
      <c r="D6842" s="2">
        <v>900000</v>
      </c>
      <c r="E6842">
        <v>0</v>
      </c>
      <c r="F6842">
        <v>0</v>
      </c>
    </row>
    <row r="6843" spans="1:6" x14ac:dyDescent="0.25">
      <c r="A6843" s="1">
        <v>45139</v>
      </c>
      <c r="B6843" t="s">
        <v>42</v>
      </c>
      <c r="C6843" t="s">
        <v>110</v>
      </c>
      <c r="D6843" s="2">
        <v>32617429.960000001</v>
      </c>
      <c r="E6843" s="2">
        <v>32617429.960000001</v>
      </c>
      <c r="F6843" s="2">
        <v>32617429.960000001</v>
      </c>
    </row>
    <row r="6844" spans="1:6" x14ac:dyDescent="0.25">
      <c r="A6844" s="1">
        <v>45139</v>
      </c>
      <c r="B6844" t="s">
        <v>13</v>
      </c>
      <c r="C6844" t="s">
        <v>474</v>
      </c>
      <c r="D6844">
        <v>0</v>
      </c>
      <c r="E6844" s="2">
        <v>13091743.57</v>
      </c>
      <c r="F6844" s="2">
        <v>723813075.77999997</v>
      </c>
    </row>
    <row r="6845" spans="1:6" x14ac:dyDescent="0.25">
      <c r="A6845" s="1">
        <v>45139</v>
      </c>
      <c r="B6845" t="s">
        <v>21</v>
      </c>
      <c r="C6845" t="s">
        <v>191</v>
      </c>
      <c r="D6845">
        <v>0</v>
      </c>
      <c r="E6845" s="2">
        <v>1319307.5900000001</v>
      </c>
      <c r="F6845" s="2">
        <v>4252504.3600000003</v>
      </c>
    </row>
    <row r="6846" spans="1:6" x14ac:dyDescent="0.25">
      <c r="A6846" s="1">
        <v>45139</v>
      </c>
      <c r="B6846" t="s">
        <v>29</v>
      </c>
      <c r="C6846" t="s">
        <v>292</v>
      </c>
      <c r="D6846">
        <v>401.82</v>
      </c>
      <c r="E6846" s="2">
        <v>2757803.02</v>
      </c>
      <c r="F6846" s="2">
        <v>12559149.98</v>
      </c>
    </row>
    <row r="6847" spans="1:6" x14ac:dyDescent="0.25">
      <c r="A6847" s="1">
        <v>45139</v>
      </c>
      <c r="B6847" t="s">
        <v>100</v>
      </c>
      <c r="C6847" t="s">
        <v>72</v>
      </c>
      <c r="D6847">
        <v>0</v>
      </c>
      <c r="E6847">
        <v>0</v>
      </c>
      <c r="F6847">
        <v>0</v>
      </c>
    </row>
    <row r="6848" spans="1:6" x14ac:dyDescent="0.25">
      <c r="A6848" s="1">
        <v>45139</v>
      </c>
      <c r="B6848" t="s">
        <v>196</v>
      </c>
      <c r="C6848" t="s">
        <v>993</v>
      </c>
      <c r="D6848">
        <v>0</v>
      </c>
      <c r="E6848">
        <v>0</v>
      </c>
      <c r="F6848">
        <v>0</v>
      </c>
    </row>
    <row r="6849" spans="1:6" x14ac:dyDescent="0.25">
      <c r="A6849" s="1">
        <v>45139</v>
      </c>
      <c r="B6849" t="s">
        <v>118</v>
      </c>
      <c r="C6849" t="s">
        <v>1315</v>
      </c>
      <c r="D6849" s="2">
        <v>1000000</v>
      </c>
      <c r="E6849">
        <v>0</v>
      </c>
      <c r="F6849">
        <v>0</v>
      </c>
    </row>
    <row r="6850" spans="1:6" x14ac:dyDescent="0.25">
      <c r="A6850" s="1">
        <v>45139</v>
      </c>
      <c r="B6850" t="s">
        <v>234</v>
      </c>
      <c r="C6850" t="s">
        <v>1187</v>
      </c>
      <c r="D6850" s="2">
        <v>10757334</v>
      </c>
      <c r="E6850" s="2">
        <v>9844850</v>
      </c>
      <c r="F6850" s="2">
        <v>9844850</v>
      </c>
    </row>
    <row r="6851" spans="1:6" x14ac:dyDescent="0.25">
      <c r="A6851" s="1">
        <v>45139</v>
      </c>
      <c r="B6851" t="s">
        <v>98</v>
      </c>
      <c r="C6851" t="s">
        <v>413</v>
      </c>
      <c r="D6851">
        <v>0</v>
      </c>
      <c r="E6851">
        <v>0</v>
      </c>
      <c r="F6851">
        <v>0</v>
      </c>
    </row>
    <row r="6852" spans="1:6" x14ac:dyDescent="0.25">
      <c r="A6852" s="1">
        <v>45139</v>
      </c>
      <c r="B6852" t="s">
        <v>98</v>
      </c>
      <c r="C6852" t="s">
        <v>996</v>
      </c>
      <c r="D6852">
        <v>0</v>
      </c>
      <c r="E6852">
        <v>0</v>
      </c>
      <c r="F6852">
        <v>0</v>
      </c>
    </row>
    <row r="6853" spans="1:6" x14ac:dyDescent="0.25">
      <c r="A6853" s="1">
        <v>45139</v>
      </c>
      <c r="B6853" t="s">
        <v>42</v>
      </c>
      <c r="C6853" t="s">
        <v>952</v>
      </c>
      <c r="D6853">
        <v>0</v>
      </c>
      <c r="E6853" s="2">
        <v>-1101587.18</v>
      </c>
      <c r="F6853" s="2">
        <v>8398412.8200000003</v>
      </c>
    </row>
    <row r="6854" spans="1:6" x14ac:dyDescent="0.25">
      <c r="A6854" s="1">
        <v>45139</v>
      </c>
      <c r="B6854" t="s">
        <v>31</v>
      </c>
      <c r="C6854" t="s">
        <v>357</v>
      </c>
      <c r="D6854">
        <v>0</v>
      </c>
      <c r="E6854">
        <v>0</v>
      </c>
      <c r="F6854">
        <v>0</v>
      </c>
    </row>
    <row r="6855" spans="1:6" x14ac:dyDescent="0.25">
      <c r="A6855" s="1">
        <v>45139</v>
      </c>
      <c r="B6855" t="s">
        <v>42</v>
      </c>
      <c r="C6855" t="s">
        <v>1080</v>
      </c>
      <c r="D6855" s="2">
        <v>17812.28</v>
      </c>
      <c r="E6855" s="2">
        <v>17812.28</v>
      </c>
      <c r="F6855" s="2">
        <v>17812.28</v>
      </c>
    </row>
    <row r="6856" spans="1:6" x14ac:dyDescent="0.25">
      <c r="A6856" s="1">
        <v>45139</v>
      </c>
      <c r="B6856" t="s">
        <v>132</v>
      </c>
      <c r="C6856" t="s">
        <v>385</v>
      </c>
      <c r="D6856" s="2">
        <v>16513368.48</v>
      </c>
      <c r="E6856" s="2">
        <v>3472061.65</v>
      </c>
      <c r="F6856" s="2">
        <v>2112188.42</v>
      </c>
    </row>
    <row r="6857" spans="1:6" x14ac:dyDescent="0.25">
      <c r="A6857" s="1">
        <v>45139</v>
      </c>
      <c r="B6857" t="s">
        <v>398</v>
      </c>
      <c r="C6857" t="s">
        <v>564</v>
      </c>
      <c r="D6857">
        <v>0</v>
      </c>
      <c r="E6857">
        <v>0</v>
      </c>
      <c r="F6857">
        <v>0</v>
      </c>
    </row>
    <row r="6858" spans="1:6" x14ac:dyDescent="0.25">
      <c r="A6858" s="1">
        <v>45139</v>
      </c>
      <c r="B6858" t="s">
        <v>132</v>
      </c>
      <c r="C6858" t="s">
        <v>1309</v>
      </c>
      <c r="D6858">
        <v>0</v>
      </c>
      <c r="E6858" s="2">
        <v>14499</v>
      </c>
      <c r="F6858" s="2">
        <v>14499</v>
      </c>
    </row>
    <row r="6859" spans="1:6" x14ac:dyDescent="0.25">
      <c r="A6859" s="1">
        <v>45139</v>
      </c>
      <c r="B6859" t="s">
        <v>344</v>
      </c>
      <c r="C6859" t="s">
        <v>1202</v>
      </c>
      <c r="D6859">
        <v>0</v>
      </c>
      <c r="E6859" s="2">
        <v>2719.4</v>
      </c>
      <c r="F6859" s="2">
        <v>2719.4</v>
      </c>
    </row>
    <row r="6860" spans="1:6" x14ac:dyDescent="0.25">
      <c r="A6860" s="1">
        <v>45139</v>
      </c>
      <c r="B6860" t="s">
        <v>7</v>
      </c>
      <c r="C6860" t="s">
        <v>8</v>
      </c>
      <c r="D6860" s="2">
        <v>14174454155.59</v>
      </c>
      <c r="E6860" s="2">
        <v>43486667876.839996</v>
      </c>
      <c r="F6860" s="2">
        <v>43486667876.839996</v>
      </c>
    </row>
    <row r="6861" spans="1:6" x14ac:dyDescent="0.25">
      <c r="A6861" s="1">
        <v>45139</v>
      </c>
      <c r="B6861" t="s">
        <v>75</v>
      </c>
      <c r="C6861" t="s">
        <v>76</v>
      </c>
      <c r="D6861">
        <v>0</v>
      </c>
      <c r="E6861" s="2">
        <v>1108306.8999999999</v>
      </c>
      <c r="F6861" s="2">
        <v>1090368.78</v>
      </c>
    </row>
    <row r="6862" spans="1:6" x14ac:dyDescent="0.25">
      <c r="A6862" s="1">
        <v>45139</v>
      </c>
      <c r="B6862" t="s">
        <v>234</v>
      </c>
      <c r="C6862" t="s">
        <v>284</v>
      </c>
      <c r="D6862" s="2">
        <v>20004380</v>
      </c>
      <c r="E6862" s="2">
        <v>20004380</v>
      </c>
      <c r="F6862" s="2">
        <v>20004380</v>
      </c>
    </row>
    <row r="6863" spans="1:6" x14ac:dyDescent="0.25">
      <c r="A6863" s="1">
        <v>45139</v>
      </c>
      <c r="B6863" t="s">
        <v>107</v>
      </c>
      <c r="C6863" t="s">
        <v>514</v>
      </c>
      <c r="D6863" s="2">
        <v>4462058.2</v>
      </c>
      <c r="E6863" s="2">
        <v>4465000</v>
      </c>
      <c r="F6863" s="2">
        <v>4792058.2</v>
      </c>
    </row>
    <row r="6864" spans="1:6" x14ac:dyDescent="0.25">
      <c r="A6864" s="1">
        <v>45139</v>
      </c>
      <c r="B6864" t="s">
        <v>23</v>
      </c>
      <c r="C6864" t="s">
        <v>203</v>
      </c>
      <c r="D6864">
        <v>0</v>
      </c>
      <c r="E6864">
        <v>0</v>
      </c>
      <c r="F6864">
        <v>0</v>
      </c>
    </row>
    <row r="6865" spans="1:6" x14ac:dyDescent="0.25">
      <c r="A6865" s="1">
        <v>45139</v>
      </c>
      <c r="B6865" t="s">
        <v>98</v>
      </c>
      <c r="C6865" t="s">
        <v>304</v>
      </c>
      <c r="D6865">
        <v>0</v>
      </c>
      <c r="E6865">
        <v>0</v>
      </c>
      <c r="F6865">
        <v>0</v>
      </c>
    </row>
    <row r="6866" spans="1:6" x14ac:dyDescent="0.25">
      <c r="A6866" s="1">
        <v>45139</v>
      </c>
      <c r="B6866" t="s">
        <v>422</v>
      </c>
      <c r="C6866" t="s">
        <v>1018</v>
      </c>
      <c r="D6866">
        <v>0</v>
      </c>
      <c r="E6866" s="2">
        <v>200000</v>
      </c>
      <c r="F6866">
        <v>0</v>
      </c>
    </row>
    <row r="6867" spans="1:6" x14ac:dyDescent="0.25">
      <c r="A6867" s="1">
        <v>45139</v>
      </c>
      <c r="B6867" t="s">
        <v>132</v>
      </c>
      <c r="C6867" t="s">
        <v>1184</v>
      </c>
      <c r="D6867">
        <v>0</v>
      </c>
      <c r="E6867" s="2">
        <v>20961.12</v>
      </c>
      <c r="F6867" s="2">
        <v>20961.12</v>
      </c>
    </row>
    <row r="6868" spans="1:6" x14ac:dyDescent="0.25">
      <c r="A6868" s="1">
        <v>45139</v>
      </c>
      <c r="B6868" t="s">
        <v>46</v>
      </c>
      <c r="C6868" t="s">
        <v>1316</v>
      </c>
      <c r="D6868" s="2">
        <v>2138451513</v>
      </c>
      <c r="E6868" s="2">
        <v>2138451513</v>
      </c>
      <c r="F6868" s="2">
        <v>2138451513</v>
      </c>
    </row>
    <row r="6869" spans="1:6" x14ac:dyDescent="0.25">
      <c r="A6869" s="1">
        <v>45139</v>
      </c>
      <c r="B6869" t="s">
        <v>21</v>
      </c>
      <c r="C6869" t="s">
        <v>526</v>
      </c>
      <c r="D6869" s="2">
        <v>9065959.4199999999</v>
      </c>
      <c r="E6869" s="2">
        <v>1297123.8999999999</v>
      </c>
      <c r="F6869" s="2">
        <v>1280127.3799999999</v>
      </c>
    </row>
    <row r="6870" spans="1:6" x14ac:dyDescent="0.25">
      <c r="A6870" s="1">
        <v>45139</v>
      </c>
      <c r="B6870" t="s">
        <v>81</v>
      </c>
      <c r="C6870" t="s">
        <v>500</v>
      </c>
      <c r="D6870">
        <v>0</v>
      </c>
      <c r="E6870">
        <v>0</v>
      </c>
      <c r="F6870">
        <v>0</v>
      </c>
    </row>
    <row r="6871" spans="1:6" x14ac:dyDescent="0.25">
      <c r="A6871" s="1">
        <v>45139</v>
      </c>
      <c r="B6871" t="s">
        <v>37</v>
      </c>
      <c r="C6871" t="s">
        <v>743</v>
      </c>
      <c r="D6871" s="2">
        <v>276207.48</v>
      </c>
      <c r="E6871" s="2">
        <v>225661.86</v>
      </c>
      <c r="F6871" s="2">
        <v>82295.679999999993</v>
      </c>
    </row>
    <row r="6872" spans="1:6" x14ac:dyDescent="0.25">
      <c r="A6872" s="1">
        <v>45139</v>
      </c>
      <c r="B6872" t="s">
        <v>15</v>
      </c>
      <c r="C6872" t="s">
        <v>550</v>
      </c>
      <c r="D6872">
        <v>0</v>
      </c>
      <c r="E6872">
        <v>0</v>
      </c>
      <c r="F6872">
        <v>0</v>
      </c>
    </row>
    <row r="6873" spans="1:6" x14ac:dyDescent="0.25">
      <c r="A6873" s="1">
        <v>45139</v>
      </c>
      <c r="B6873" t="s">
        <v>185</v>
      </c>
      <c r="C6873" t="s">
        <v>186</v>
      </c>
      <c r="D6873" s="2">
        <v>752729.68</v>
      </c>
      <c r="E6873" s="2">
        <v>318477.09999999998</v>
      </c>
      <c r="F6873" s="2">
        <v>403022006.75999999</v>
      </c>
    </row>
    <row r="6874" spans="1:6" x14ac:dyDescent="0.25">
      <c r="A6874" s="1">
        <v>45139</v>
      </c>
      <c r="B6874" t="s">
        <v>29</v>
      </c>
      <c r="C6874" t="s">
        <v>180</v>
      </c>
      <c r="D6874" s="2">
        <v>159762.35</v>
      </c>
      <c r="E6874">
        <v>0</v>
      </c>
      <c r="F6874">
        <v>0</v>
      </c>
    </row>
    <row r="6875" spans="1:6" x14ac:dyDescent="0.25">
      <c r="A6875" s="1">
        <v>45139</v>
      </c>
      <c r="B6875" t="s">
        <v>81</v>
      </c>
      <c r="C6875" t="s">
        <v>731</v>
      </c>
      <c r="D6875">
        <v>0</v>
      </c>
      <c r="E6875">
        <v>0</v>
      </c>
      <c r="F6875">
        <v>0</v>
      </c>
    </row>
    <row r="6876" spans="1:6" x14ac:dyDescent="0.25">
      <c r="A6876" s="1">
        <v>45139</v>
      </c>
      <c r="B6876" t="s">
        <v>11</v>
      </c>
      <c r="C6876" t="s">
        <v>557</v>
      </c>
      <c r="D6876">
        <v>0</v>
      </c>
      <c r="E6876" s="2">
        <v>587668748.32000005</v>
      </c>
      <c r="F6876" s="2">
        <v>587668748.32000005</v>
      </c>
    </row>
    <row r="6877" spans="1:6" x14ac:dyDescent="0.25">
      <c r="A6877" s="1">
        <v>45139</v>
      </c>
      <c r="B6877" t="s">
        <v>63</v>
      </c>
      <c r="C6877" t="s">
        <v>714</v>
      </c>
      <c r="D6877" s="2">
        <v>-1344238.39</v>
      </c>
      <c r="E6877" s="2">
        <v>1567289.07</v>
      </c>
      <c r="F6877" s="2">
        <v>2100858.4</v>
      </c>
    </row>
    <row r="6878" spans="1:6" x14ac:dyDescent="0.25">
      <c r="A6878" s="1">
        <v>45139</v>
      </c>
      <c r="B6878" t="s">
        <v>31</v>
      </c>
      <c r="C6878" t="s">
        <v>290</v>
      </c>
      <c r="D6878">
        <v>0</v>
      </c>
      <c r="E6878">
        <v>0</v>
      </c>
      <c r="F6878">
        <v>0</v>
      </c>
    </row>
    <row r="6879" spans="1:6" x14ac:dyDescent="0.25">
      <c r="A6879" s="1">
        <v>45139</v>
      </c>
      <c r="B6879" t="s">
        <v>402</v>
      </c>
      <c r="C6879" t="s">
        <v>1140</v>
      </c>
      <c r="D6879">
        <v>0</v>
      </c>
      <c r="E6879">
        <v>0</v>
      </c>
      <c r="F6879">
        <v>0</v>
      </c>
    </row>
    <row r="6880" spans="1:6" x14ac:dyDescent="0.25">
      <c r="A6880" s="1">
        <v>45139</v>
      </c>
      <c r="B6880" t="s">
        <v>9</v>
      </c>
      <c r="C6880" t="s">
        <v>73</v>
      </c>
      <c r="D6880">
        <v>0</v>
      </c>
      <c r="E6880" s="2">
        <v>8000000</v>
      </c>
      <c r="F6880" s="2">
        <v>8000000</v>
      </c>
    </row>
    <row r="6881" spans="1:6" x14ac:dyDescent="0.25">
      <c r="A6881" s="1">
        <v>45139</v>
      </c>
      <c r="B6881" t="s">
        <v>44</v>
      </c>
      <c r="C6881" t="s">
        <v>1237</v>
      </c>
      <c r="D6881" s="2">
        <v>2927105.42</v>
      </c>
      <c r="E6881">
        <v>0</v>
      </c>
      <c r="F6881">
        <v>0</v>
      </c>
    </row>
    <row r="6882" spans="1:6" x14ac:dyDescent="0.25">
      <c r="A6882" s="1">
        <v>45139</v>
      </c>
      <c r="B6882" t="s">
        <v>98</v>
      </c>
      <c r="C6882" t="s">
        <v>589</v>
      </c>
      <c r="D6882">
        <v>0</v>
      </c>
      <c r="E6882">
        <v>0</v>
      </c>
      <c r="F6882">
        <v>0</v>
      </c>
    </row>
    <row r="6883" spans="1:6" x14ac:dyDescent="0.25">
      <c r="A6883" s="1">
        <v>45139</v>
      </c>
      <c r="B6883" t="s">
        <v>162</v>
      </c>
      <c r="C6883" t="s">
        <v>1052</v>
      </c>
      <c r="D6883" s="2">
        <v>122919348</v>
      </c>
      <c r="E6883">
        <v>0</v>
      </c>
      <c r="F6883">
        <v>0</v>
      </c>
    </row>
    <row r="6884" spans="1:6" x14ac:dyDescent="0.25">
      <c r="A6884" s="1">
        <v>45139</v>
      </c>
      <c r="B6884" t="s">
        <v>1058</v>
      </c>
      <c r="C6884" t="s">
        <v>1122</v>
      </c>
      <c r="D6884">
        <v>0</v>
      </c>
      <c r="E6884" s="2">
        <v>40208.699999999997</v>
      </c>
      <c r="F6884" s="2">
        <v>40208.699999999997</v>
      </c>
    </row>
    <row r="6885" spans="1:6" x14ac:dyDescent="0.25">
      <c r="A6885" s="1">
        <v>45139</v>
      </c>
      <c r="B6885" t="s">
        <v>98</v>
      </c>
      <c r="C6885" t="s">
        <v>1256</v>
      </c>
      <c r="D6885">
        <v>0</v>
      </c>
      <c r="E6885">
        <v>0</v>
      </c>
      <c r="F6885">
        <v>0</v>
      </c>
    </row>
    <row r="6886" spans="1:6" x14ac:dyDescent="0.25">
      <c r="A6886" s="1">
        <v>45139</v>
      </c>
      <c r="B6886" t="s">
        <v>98</v>
      </c>
      <c r="C6886" t="s">
        <v>322</v>
      </c>
      <c r="D6886">
        <v>0</v>
      </c>
      <c r="E6886">
        <v>0</v>
      </c>
      <c r="F6886">
        <v>0</v>
      </c>
    </row>
    <row r="6887" spans="1:6" x14ac:dyDescent="0.25">
      <c r="A6887" s="1">
        <v>45139</v>
      </c>
      <c r="B6887" t="s">
        <v>21</v>
      </c>
      <c r="C6887" t="s">
        <v>123</v>
      </c>
      <c r="D6887" s="2">
        <v>55489764.140000001</v>
      </c>
      <c r="E6887" s="2">
        <v>16468660.24</v>
      </c>
      <c r="F6887" s="2">
        <v>15080727.75</v>
      </c>
    </row>
    <row r="6888" spans="1:6" x14ac:dyDescent="0.25">
      <c r="A6888" s="1">
        <v>45139</v>
      </c>
      <c r="B6888" t="s">
        <v>11</v>
      </c>
      <c r="C6888" t="s">
        <v>59</v>
      </c>
      <c r="D6888">
        <v>0</v>
      </c>
      <c r="E6888" s="2">
        <v>306873029.56</v>
      </c>
      <c r="F6888" s="2">
        <v>306873029.56</v>
      </c>
    </row>
    <row r="6889" spans="1:6" x14ac:dyDescent="0.25">
      <c r="A6889" s="1">
        <v>45139</v>
      </c>
      <c r="B6889" t="s">
        <v>27</v>
      </c>
      <c r="C6889" t="s">
        <v>28</v>
      </c>
      <c r="D6889" s="2">
        <v>589224.94999999995</v>
      </c>
      <c r="E6889" s="2">
        <v>5391050.9000000004</v>
      </c>
      <c r="F6889" s="2">
        <v>4079413.46</v>
      </c>
    </row>
    <row r="6890" spans="1:6" x14ac:dyDescent="0.25">
      <c r="A6890" s="1">
        <v>45139</v>
      </c>
      <c r="B6890" t="s">
        <v>65</v>
      </c>
      <c r="C6890" t="s">
        <v>201</v>
      </c>
      <c r="D6890" s="2">
        <v>116686.34</v>
      </c>
      <c r="E6890" s="2">
        <v>417649.74</v>
      </c>
      <c r="F6890" s="2">
        <v>203326.53</v>
      </c>
    </row>
    <row r="6891" spans="1:6" x14ac:dyDescent="0.25">
      <c r="A6891" s="1">
        <v>45139</v>
      </c>
      <c r="B6891" t="s">
        <v>21</v>
      </c>
      <c r="C6891" t="s">
        <v>353</v>
      </c>
      <c r="D6891">
        <v>0</v>
      </c>
      <c r="E6891">
        <v>0</v>
      </c>
      <c r="F6891">
        <v>0</v>
      </c>
    </row>
    <row r="6892" spans="1:6" x14ac:dyDescent="0.25">
      <c r="A6892" s="1">
        <v>45139</v>
      </c>
      <c r="B6892" t="s">
        <v>44</v>
      </c>
      <c r="C6892" t="s">
        <v>228</v>
      </c>
      <c r="D6892" s="2">
        <v>529999.77</v>
      </c>
      <c r="E6892" s="2">
        <v>151443.66</v>
      </c>
      <c r="F6892" s="2">
        <v>85799.52</v>
      </c>
    </row>
    <row r="6893" spans="1:6" x14ac:dyDescent="0.25">
      <c r="A6893" s="1">
        <v>45139</v>
      </c>
      <c r="B6893" t="s">
        <v>1212</v>
      </c>
      <c r="C6893" t="s">
        <v>378</v>
      </c>
      <c r="D6893">
        <v>0</v>
      </c>
      <c r="E6893">
        <v>0</v>
      </c>
      <c r="F6893">
        <v>0</v>
      </c>
    </row>
    <row r="6894" spans="1:6" x14ac:dyDescent="0.25">
      <c r="A6894" s="1">
        <v>45139</v>
      </c>
      <c r="B6894" t="s">
        <v>50</v>
      </c>
      <c r="C6894" t="s">
        <v>320</v>
      </c>
      <c r="D6894" s="2">
        <v>43400</v>
      </c>
      <c r="E6894" s="2">
        <v>1291246.72</v>
      </c>
      <c r="F6894" s="2">
        <v>1248408.29</v>
      </c>
    </row>
    <row r="6895" spans="1:6" x14ac:dyDescent="0.25">
      <c r="A6895" s="1">
        <v>45139</v>
      </c>
      <c r="B6895" t="s">
        <v>31</v>
      </c>
      <c r="C6895" t="s">
        <v>1317</v>
      </c>
      <c r="D6895">
        <v>0</v>
      </c>
      <c r="E6895">
        <v>0</v>
      </c>
      <c r="F6895">
        <v>0</v>
      </c>
    </row>
    <row r="6896" spans="1:6" x14ac:dyDescent="0.25">
      <c r="A6896" s="1">
        <v>45139</v>
      </c>
      <c r="B6896" t="s">
        <v>275</v>
      </c>
      <c r="C6896" t="s">
        <v>910</v>
      </c>
      <c r="D6896">
        <v>0</v>
      </c>
      <c r="E6896">
        <v>0</v>
      </c>
      <c r="F6896">
        <v>0</v>
      </c>
    </row>
    <row r="6897" spans="1:6" x14ac:dyDescent="0.25">
      <c r="A6897" s="1">
        <v>45139</v>
      </c>
      <c r="B6897" t="s">
        <v>40</v>
      </c>
      <c r="C6897" t="s">
        <v>762</v>
      </c>
      <c r="D6897">
        <v>0</v>
      </c>
      <c r="E6897">
        <v>0</v>
      </c>
      <c r="F6897" s="2">
        <v>15677.4</v>
      </c>
    </row>
    <row r="6898" spans="1:6" x14ac:dyDescent="0.25">
      <c r="A6898" s="1">
        <v>45139</v>
      </c>
      <c r="B6898" t="s">
        <v>11</v>
      </c>
      <c r="C6898" t="s">
        <v>749</v>
      </c>
      <c r="D6898">
        <v>0</v>
      </c>
      <c r="E6898" s="2">
        <v>-44664.7</v>
      </c>
      <c r="F6898" s="2">
        <v>31315193.739999998</v>
      </c>
    </row>
    <row r="6899" spans="1:6" x14ac:dyDescent="0.25">
      <c r="A6899" s="1">
        <v>45139</v>
      </c>
      <c r="B6899" t="s">
        <v>19</v>
      </c>
      <c r="C6899" t="s">
        <v>328</v>
      </c>
      <c r="D6899" s="2">
        <v>-69023</v>
      </c>
      <c r="E6899" s="2">
        <v>1844479.65</v>
      </c>
      <c r="F6899" s="2">
        <v>1668872.09</v>
      </c>
    </row>
    <row r="6900" spans="1:6" x14ac:dyDescent="0.25">
      <c r="A6900" s="1">
        <v>45139</v>
      </c>
      <c r="B6900" t="s">
        <v>278</v>
      </c>
      <c r="C6900" t="s">
        <v>900</v>
      </c>
      <c r="D6900">
        <v>0</v>
      </c>
      <c r="E6900" s="2">
        <v>20433.12</v>
      </c>
      <c r="F6900" s="2">
        <v>178044.66</v>
      </c>
    </row>
    <row r="6901" spans="1:6" x14ac:dyDescent="0.25">
      <c r="A6901" s="1">
        <v>45139</v>
      </c>
      <c r="B6901" t="s">
        <v>40</v>
      </c>
      <c r="C6901" t="s">
        <v>616</v>
      </c>
      <c r="D6901" s="2">
        <v>2000000</v>
      </c>
      <c r="E6901" s="2">
        <v>-50092.93</v>
      </c>
      <c r="F6901" s="2">
        <v>135206009.61000001</v>
      </c>
    </row>
    <row r="6902" spans="1:6" x14ac:dyDescent="0.25">
      <c r="A6902" s="1">
        <v>45139</v>
      </c>
      <c r="B6902" t="s">
        <v>9</v>
      </c>
      <c r="C6902" t="s">
        <v>1151</v>
      </c>
      <c r="D6902">
        <v>0</v>
      </c>
      <c r="E6902" s="2">
        <v>200000000</v>
      </c>
      <c r="F6902" s="2">
        <v>200000000</v>
      </c>
    </row>
    <row r="6903" spans="1:6" x14ac:dyDescent="0.25">
      <c r="A6903" s="1">
        <v>45139</v>
      </c>
      <c r="B6903" t="s">
        <v>132</v>
      </c>
      <c r="C6903" t="s">
        <v>1195</v>
      </c>
      <c r="D6903" s="2">
        <v>598417552</v>
      </c>
      <c r="E6903" s="2">
        <v>306823299</v>
      </c>
      <c r="F6903" s="2">
        <v>306823299</v>
      </c>
    </row>
    <row r="6904" spans="1:6" x14ac:dyDescent="0.25">
      <c r="A6904" s="1">
        <v>45139</v>
      </c>
      <c r="B6904" t="s">
        <v>92</v>
      </c>
      <c r="C6904" t="s">
        <v>488</v>
      </c>
      <c r="D6904" s="2">
        <v>604736.80000000005</v>
      </c>
      <c r="E6904" s="2">
        <v>142284.39000000001</v>
      </c>
      <c r="F6904" s="2">
        <v>141907.82999999999</v>
      </c>
    </row>
    <row r="6905" spans="1:6" x14ac:dyDescent="0.25">
      <c r="A6905" s="1">
        <v>45139</v>
      </c>
      <c r="B6905" t="s">
        <v>23</v>
      </c>
      <c r="C6905" t="s">
        <v>710</v>
      </c>
      <c r="D6905" s="2">
        <v>20000000</v>
      </c>
      <c r="E6905" s="2">
        <v>6048</v>
      </c>
      <c r="F6905" s="2">
        <v>6048</v>
      </c>
    </row>
    <row r="6906" spans="1:6" x14ac:dyDescent="0.25">
      <c r="A6906" s="1">
        <v>45139</v>
      </c>
      <c r="B6906" t="s">
        <v>21</v>
      </c>
      <c r="C6906" t="s">
        <v>330</v>
      </c>
      <c r="D6906">
        <v>0</v>
      </c>
      <c r="E6906">
        <v>0</v>
      </c>
      <c r="F6906">
        <v>0</v>
      </c>
    </row>
    <row r="6907" spans="1:6" x14ac:dyDescent="0.25">
      <c r="A6907" s="1">
        <v>45139</v>
      </c>
      <c r="B6907" t="s">
        <v>53</v>
      </c>
      <c r="C6907" t="s">
        <v>495</v>
      </c>
      <c r="D6907" s="2">
        <v>88000</v>
      </c>
      <c r="E6907" s="2">
        <v>35000</v>
      </c>
      <c r="F6907" s="2">
        <v>35000</v>
      </c>
    </row>
    <row r="6908" spans="1:6" x14ac:dyDescent="0.25">
      <c r="A6908" s="1">
        <v>45139</v>
      </c>
      <c r="B6908" t="s">
        <v>619</v>
      </c>
      <c r="C6908" t="s">
        <v>334</v>
      </c>
      <c r="D6908" s="2">
        <v>193077.21</v>
      </c>
      <c r="E6908" s="2">
        <v>193077.21</v>
      </c>
      <c r="F6908" s="2">
        <v>193077.21</v>
      </c>
    </row>
    <row r="6909" spans="1:6" x14ac:dyDescent="0.25">
      <c r="A6909" s="1">
        <v>45139</v>
      </c>
      <c r="B6909" t="s">
        <v>65</v>
      </c>
      <c r="C6909" t="s">
        <v>834</v>
      </c>
      <c r="D6909" s="2">
        <v>5197397.32</v>
      </c>
      <c r="E6909" s="2">
        <v>4880877.8899999997</v>
      </c>
      <c r="F6909" s="2">
        <v>4893092.92</v>
      </c>
    </row>
    <row r="6910" spans="1:6" x14ac:dyDescent="0.25">
      <c r="A6910" s="1">
        <v>45139</v>
      </c>
      <c r="B6910" t="s">
        <v>460</v>
      </c>
      <c r="C6910" t="s">
        <v>746</v>
      </c>
      <c r="D6910" s="2">
        <v>178720.8</v>
      </c>
      <c r="E6910" s="2">
        <v>219458.52</v>
      </c>
      <c r="F6910" s="2">
        <v>111441.63</v>
      </c>
    </row>
    <row r="6911" spans="1:6" x14ac:dyDescent="0.25">
      <c r="A6911" s="1">
        <v>45139</v>
      </c>
      <c r="B6911" t="s">
        <v>27</v>
      </c>
      <c r="C6911" t="s">
        <v>346</v>
      </c>
      <c r="D6911">
        <v>0</v>
      </c>
      <c r="E6911" s="2">
        <v>5401.63</v>
      </c>
      <c r="F6911" s="2">
        <v>5401.63</v>
      </c>
    </row>
    <row r="6912" spans="1:6" x14ac:dyDescent="0.25">
      <c r="A6912" s="1">
        <v>45139</v>
      </c>
      <c r="B6912" t="s">
        <v>107</v>
      </c>
      <c r="C6912" t="s">
        <v>1286</v>
      </c>
      <c r="D6912" s="2">
        <v>2000000</v>
      </c>
      <c r="E6912" s="2">
        <v>1258773.4099999999</v>
      </c>
      <c r="F6912" s="2">
        <v>2180602.25</v>
      </c>
    </row>
    <row r="6913" spans="1:6" x14ac:dyDescent="0.25">
      <c r="A6913" s="1">
        <v>45139</v>
      </c>
      <c r="B6913" t="s">
        <v>15</v>
      </c>
      <c r="C6913" t="s">
        <v>614</v>
      </c>
      <c r="D6913">
        <v>0</v>
      </c>
      <c r="E6913" s="2">
        <v>4000852.52</v>
      </c>
      <c r="F6913" s="2">
        <v>23300</v>
      </c>
    </row>
    <row r="6914" spans="1:6" x14ac:dyDescent="0.25">
      <c r="A6914" s="1">
        <v>45139</v>
      </c>
      <c r="B6914" t="s">
        <v>46</v>
      </c>
      <c r="C6914" t="s">
        <v>409</v>
      </c>
      <c r="D6914" s="2">
        <v>-800000</v>
      </c>
      <c r="E6914" s="2">
        <v>167006.32</v>
      </c>
      <c r="F6914" s="2">
        <v>129272.18</v>
      </c>
    </row>
    <row r="6915" spans="1:6" x14ac:dyDescent="0.25">
      <c r="A6915" s="1">
        <v>45139</v>
      </c>
      <c r="B6915" t="s">
        <v>42</v>
      </c>
      <c r="C6915" t="s">
        <v>72</v>
      </c>
      <c r="D6915">
        <v>0</v>
      </c>
      <c r="E6915">
        <v>0</v>
      </c>
      <c r="F6915">
        <v>0</v>
      </c>
    </row>
    <row r="6916" spans="1:6" x14ac:dyDescent="0.25">
      <c r="A6916" s="1">
        <v>45139</v>
      </c>
      <c r="B6916" t="s">
        <v>103</v>
      </c>
      <c r="C6916" t="s">
        <v>233</v>
      </c>
      <c r="D6916">
        <v>0</v>
      </c>
      <c r="E6916" s="2">
        <v>3225228.1</v>
      </c>
      <c r="F6916" s="2">
        <v>3225228.1</v>
      </c>
    </row>
    <row r="6917" spans="1:6" x14ac:dyDescent="0.25">
      <c r="A6917" s="1">
        <v>45139</v>
      </c>
      <c r="B6917" t="s">
        <v>50</v>
      </c>
      <c r="C6917" t="s">
        <v>146</v>
      </c>
      <c r="D6917">
        <v>0</v>
      </c>
      <c r="E6917" s="2">
        <v>16206599.99</v>
      </c>
      <c r="F6917" s="2">
        <v>16206599.99</v>
      </c>
    </row>
    <row r="6918" spans="1:6" x14ac:dyDescent="0.25">
      <c r="A6918" s="1">
        <v>45139</v>
      </c>
      <c r="B6918" t="s">
        <v>44</v>
      </c>
      <c r="C6918" t="s">
        <v>253</v>
      </c>
      <c r="D6918" s="2">
        <v>80000</v>
      </c>
      <c r="E6918" s="2">
        <v>103283.23</v>
      </c>
      <c r="F6918" s="2">
        <v>103473.23</v>
      </c>
    </row>
    <row r="6919" spans="1:6" x14ac:dyDescent="0.25">
      <c r="A6919" s="1">
        <v>45139</v>
      </c>
      <c r="B6919" t="s">
        <v>118</v>
      </c>
      <c r="C6919" t="s">
        <v>486</v>
      </c>
      <c r="D6919">
        <v>0</v>
      </c>
      <c r="E6919">
        <v>0</v>
      </c>
      <c r="F6919">
        <v>0</v>
      </c>
    </row>
    <row r="6920" spans="1:6" x14ac:dyDescent="0.25">
      <c r="A6920" s="1">
        <v>45139</v>
      </c>
      <c r="B6920" t="s">
        <v>40</v>
      </c>
      <c r="C6920" t="s">
        <v>813</v>
      </c>
      <c r="D6920">
        <v>0</v>
      </c>
      <c r="E6920">
        <v>0</v>
      </c>
      <c r="F6920" s="2">
        <v>3269627.88</v>
      </c>
    </row>
    <row r="6921" spans="1:6" x14ac:dyDescent="0.25">
      <c r="A6921" s="1">
        <v>45139</v>
      </c>
      <c r="B6921" t="s">
        <v>23</v>
      </c>
      <c r="C6921" t="s">
        <v>1088</v>
      </c>
      <c r="D6921">
        <v>0</v>
      </c>
      <c r="E6921" s="2">
        <v>509692.35</v>
      </c>
      <c r="F6921" s="2">
        <v>502134.9</v>
      </c>
    </row>
    <row r="6922" spans="1:6" x14ac:dyDescent="0.25">
      <c r="A6922" s="1">
        <v>45139</v>
      </c>
      <c r="B6922" t="s">
        <v>37</v>
      </c>
      <c r="C6922" t="s">
        <v>420</v>
      </c>
      <c r="D6922">
        <v>0</v>
      </c>
      <c r="E6922" s="2">
        <v>296361631.01999998</v>
      </c>
      <c r="F6922" s="2">
        <v>296361631.01999998</v>
      </c>
    </row>
    <row r="6923" spans="1:6" x14ac:dyDescent="0.25">
      <c r="A6923" s="1">
        <v>45139</v>
      </c>
      <c r="B6923" t="s">
        <v>29</v>
      </c>
      <c r="C6923" t="s">
        <v>260</v>
      </c>
      <c r="D6923" s="2">
        <v>2638.78</v>
      </c>
      <c r="E6923" s="2">
        <v>397772.61</v>
      </c>
      <c r="F6923" s="2">
        <v>160349533.00999999</v>
      </c>
    </row>
    <row r="6924" spans="1:6" x14ac:dyDescent="0.25">
      <c r="A6924" s="1">
        <v>45139</v>
      </c>
      <c r="B6924" t="s">
        <v>1318</v>
      </c>
      <c r="C6924" t="s">
        <v>95</v>
      </c>
      <c r="D6924">
        <v>0</v>
      </c>
      <c r="E6924">
        <v>0</v>
      </c>
      <c r="F6924">
        <v>0</v>
      </c>
    </row>
    <row r="6925" spans="1:6" x14ac:dyDescent="0.25">
      <c r="A6925" s="1">
        <v>45139</v>
      </c>
      <c r="B6925" t="s">
        <v>46</v>
      </c>
      <c r="C6925" t="s">
        <v>592</v>
      </c>
      <c r="D6925" s="2">
        <v>2110000</v>
      </c>
      <c r="E6925" s="2">
        <v>-13139.52</v>
      </c>
      <c r="F6925" s="2">
        <v>284920.76</v>
      </c>
    </row>
    <row r="6926" spans="1:6" x14ac:dyDescent="0.25">
      <c r="A6926" s="1">
        <v>45139</v>
      </c>
      <c r="B6926" t="s">
        <v>50</v>
      </c>
      <c r="C6926" t="s">
        <v>243</v>
      </c>
      <c r="D6926">
        <v>0</v>
      </c>
      <c r="E6926" s="2">
        <v>4817721.91</v>
      </c>
      <c r="F6926" s="2">
        <v>5049.72</v>
      </c>
    </row>
    <row r="6927" spans="1:6" x14ac:dyDescent="0.25">
      <c r="A6927" s="1">
        <v>45139</v>
      </c>
      <c r="B6927" t="s">
        <v>11</v>
      </c>
      <c r="C6927" t="s">
        <v>321</v>
      </c>
      <c r="D6927">
        <v>0</v>
      </c>
      <c r="E6927" s="2">
        <v>1423682478.24</v>
      </c>
      <c r="F6927" s="2">
        <v>1423682478.24</v>
      </c>
    </row>
    <row r="6928" spans="1:6" x14ac:dyDescent="0.25">
      <c r="A6928" s="1">
        <v>45139</v>
      </c>
      <c r="B6928" t="s">
        <v>50</v>
      </c>
      <c r="C6928" t="s">
        <v>1014</v>
      </c>
      <c r="D6928">
        <v>0</v>
      </c>
      <c r="E6928">
        <v>0</v>
      </c>
      <c r="F6928">
        <v>0</v>
      </c>
    </row>
    <row r="6929" spans="1:6" x14ac:dyDescent="0.25">
      <c r="A6929" s="1">
        <v>45139</v>
      </c>
      <c r="B6929" t="s">
        <v>159</v>
      </c>
      <c r="C6929" t="s">
        <v>986</v>
      </c>
      <c r="D6929">
        <v>0</v>
      </c>
      <c r="E6929" s="2">
        <v>1193908.42</v>
      </c>
      <c r="F6929">
        <v>0</v>
      </c>
    </row>
    <row r="6930" spans="1:6" x14ac:dyDescent="0.25">
      <c r="A6930" s="1">
        <v>45139</v>
      </c>
      <c r="B6930" t="s">
        <v>288</v>
      </c>
      <c r="C6930" t="s">
        <v>289</v>
      </c>
      <c r="D6930">
        <v>0</v>
      </c>
      <c r="E6930" s="2">
        <v>2103.1999999999998</v>
      </c>
      <c r="F6930">
        <v>0</v>
      </c>
    </row>
    <row r="6931" spans="1:6" x14ac:dyDescent="0.25">
      <c r="A6931" s="1">
        <v>45139</v>
      </c>
      <c r="B6931" t="s">
        <v>37</v>
      </c>
      <c r="C6931" t="s">
        <v>208</v>
      </c>
      <c r="D6931" s="2">
        <v>2205150.3199999998</v>
      </c>
      <c r="E6931" s="2">
        <v>66636908.990000002</v>
      </c>
      <c r="F6931" s="2">
        <v>66636908.990000002</v>
      </c>
    </row>
    <row r="6932" spans="1:6" x14ac:dyDescent="0.25">
      <c r="A6932" s="1">
        <v>45139</v>
      </c>
      <c r="B6932" t="s">
        <v>50</v>
      </c>
      <c r="C6932" t="s">
        <v>323</v>
      </c>
      <c r="D6932">
        <v>18.399999999999999</v>
      </c>
      <c r="E6932">
        <v>367.68</v>
      </c>
      <c r="F6932" s="2">
        <v>26340.92</v>
      </c>
    </row>
    <row r="6933" spans="1:6" x14ac:dyDescent="0.25">
      <c r="A6933" s="1">
        <v>45139</v>
      </c>
      <c r="B6933" t="s">
        <v>213</v>
      </c>
      <c r="C6933" t="s">
        <v>586</v>
      </c>
      <c r="D6933">
        <v>0</v>
      </c>
      <c r="E6933">
        <v>0</v>
      </c>
      <c r="F6933">
        <v>0</v>
      </c>
    </row>
    <row r="6934" spans="1:6" x14ac:dyDescent="0.25">
      <c r="A6934" s="1">
        <v>45139</v>
      </c>
      <c r="B6934" t="s">
        <v>181</v>
      </c>
      <c r="C6934" t="s">
        <v>1125</v>
      </c>
      <c r="D6934">
        <v>0</v>
      </c>
      <c r="E6934">
        <v>0</v>
      </c>
      <c r="F6934">
        <v>0</v>
      </c>
    </row>
    <row r="6935" spans="1:6" x14ac:dyDescent="0.25">
      <c r="A6935" s="1">
        <v>45139</v>
      </c>
      <c r="B6935" t="s">
        <v>490</v>
      </c>
      <c r="C6935" t="s">
        <v>1065</v>
      </c>
      <c r="D6935" s="2">
        <v>16099188.189999999</v>
      </c>
      <c r="E6935" s="2">
        <v>-832072.81</v>
      </c>
      <c r="F6935" s="2">
        <v>-832072.81</v>
      </c>
    </row>
    <row r="6936" spans="1:6" x14ac:dyDescent="0.25">
      <c r="A6936" s="1">
        <v>45139</v>
      </c>
      <c r="B6936" t="s">
        <v>40</v>
      </c>
      <c r="C6936" t="s">
        <v>747</v>
      </c>
      <c r="D6936" s="2">
        <v>110000</v>
      </c>
      <c r="E6936" s="2">
        <v>1041290.47</v>
      </c>
      <c r="F6936" s="2">
        <v>931290.47</v>
      </c>
    </row>
    <row r="6937" spans="1:6" x14ac:dyDescent="0.25">
      <c r="A6937" s="1">
        <v>45139</v>
      </c>
      <c r="B6937" t="s">
        <v>46</v>
      </c>
      <c r="C6937" t="s">
        <v>57</v>
      </c>
      <c r="D6937" s="2">
        <v>258591</v>
      </c>
      <c r="E6937" s="2">
        <v>13478.64</v>
      </c>
      <c r="F6937" s="2">
        <v>7057.75</v>
      </c>
    </row>
    <row r="6938" spans="1:6" x14ac:dyDescent="0.25">
      <c r="A6938" s="1">
        <v>45139</v>
      </c>
      <c r="B6938" t="s">
        <v>63</v>
      </c>
      <c r="C6938" t="s">
        <v>224</v>
      </c>
      <c r="D6938">
        <v>0</v>
      </c>
      <c r="E6938" s="2">
        <v>231512.59</v>
      </c>
      <c r="F6938">
        <v>0</v>
      </c>
    </row>
    <row r="6939" spans="1:6" x14ac:dyDescent="0.25">
      <c r="A6939" s="1">
        <v>45139</v>
      </c>
      <c r="B6939" t="s">
        <v>143</v>
      </c>
      <c r="C6939" t="s">
        <v>507</v>
      </c>
      <c r="D6939" s="2">
        <v>695909280</v>
      </c>
      <c r="E6939" s="2">
        <v>695909280</v>
      </c>
      <c r="F6939" s="2">
        <v>695909280</v>
      </c>
    </row>
    <row r="6940" spans="1:6" x14ac:dyDescent="0.25">
      <c r="A6940" s="1">
        <v>45139</v>
      </c>
      <c r="B6940" t="s">
        <v>21</v>
      </c>
      <c r="C6940" t="s">
        <v>510</v>
      </c>
      <c r="D6940">
        <v>0</v>
      </c>
      <c r="E6940" s="2">
        <v>160758.29</v>
      </c>
      <c r="F6940" s="2">
        <v>160758.29</v>
      </c>
    </row>
    <row r="6941" spans="1:6" x14ac:dyDescent="0.25">
      <c r="A6941" s="1">
        <v>45139</v>
      </c>
      <c r="B6941" t="s">
        <v>296</v>
      </c>
      <c r="C6941" t="s">
        <v>230</v>
      </c>
      <c r="D6941" s="2">
        <v>-316296.53000000003</v>
      </c>
      <c r="E6941" s="2">
        <v>847053.26</v>
      </c>
      <c r="F6941" s="2">
        <v>953984.19</v>
      </c>
    </row>
    <row r="6942" spans="1:6" x14ac:dyDescent="0.25">
      <c r="A6942" s="1">
        <v>45139</v>
      </c>
      <c r="B6942" t="s">
        <v>132</v>
      </c>
      <c r="C6942" t="s">
        <v>415</v>
      </c>
      <c r="D6942">
        <v>0</v>
      </c>
      <c r="E6942">
        <v>0</v>
      </c>
      <c r="F6942">
        <v>0</v>
      </c>
    </row>
    <row r="6943" spans="1:6" x14ac:dyDescent="0.25">
      <c r="A6943" s="1">
        <v>45139</v>
      </c>
      <c r="B6943" t="s">
        <v>29</v>
      </c>
      <c r="C6943" t="s">
        <v>631</v>
      </c>
      <c r="D6943" s="2">
        <v>3170092.96</v>
      </c>
      <c r="E6943" s="2">
        <v>1905744.86</v>
      </c>
      <c r="F6943" s="2">
        <v>1905744.86</v>
      </c>
    </row>
    <row r="6944" spans="1:6" x14ac:dyDescent="0.25">
      <c r="A6944" s="1">
        <v>45139</v>
      </c>
      <c r="B6944" t="s">
        <v>661</v>
      </c>
      <c r="C6944" t="s">
        <v>95</v>
      </c>
      <c r="D6944">
        <v>0</v>
      </c>
      <c r="E6944">
        <v>0</v>
      </c>
      <c r="F6944">
        <v>0</v>
      </c>
    </row>
    <row r="6945" spans="1:6" x14ac:dyDescent="0.25">
      <c r="A6945" s="1">
        <v>45139</v>
      </c>
      <c r="B6945" t="s">
        <v>53</v>
      </c>
      <c r="C6945" t="s">
        <v>739</v>
      </c>
      <c r="D6945">
        <v>0</v>
      </c>
      <c r="E6945" s="2">
        <v>347789498.81</v>
      </c>
      <c r="F6945" s="2">
        <v>347789498.81</v>
      </c>
    </row>
    <row r="6946" spans="1:6" x14ac:dyDescent="0.25">
      <c r="A6946" s="1">
        <v>45139</v>
      </c>
      <c r="B6946" t="s">
        <v>17</v>
      </c>
      <c r="C6946" t="s">
        <v>477</v>
      </c>
      <c r="D6946">
        <v>0</v>
      </c>
      <c r="E6946">
        <v>0</v>
      </c>
      <c r="F6946">
        <v>0</v>
      </c>
    </row>
    <row r="6947" spans="1:6" x14ac:dyDescent="0.25">
      <c r="A6947" s="1">
        <v>45139</v>
      </c>
      <c r="B6947" t="s">
        <v>103</v>
      </c>
      <c r="C6947" t="s">
        <v>220</v>
      </c>
      <c r="D6947" s="2">
        <v>230000</v>
      </c>
      <c r="E6947" s="2">
        <v>236515.45</v>
      </c>
      <c r="F6947" s="2">
        <v>106356.32</v>
      </c>
    </row>
    <row r="6948" spans="1:6" x14ac:dyDescent="0.25">
      <c r="A6948" s="1">
        <v>45139</v>
      </c>
      <c r="B6948" t="s">
        <v>31</v>
      </c>
      <c r="C6948" t="s">
        <v>925</v>
      </c>
      <c r="D6948" s="2">
        <v>452000</v>
      </c>
      <c r="E6948" s="2">
        <v>48213.48</v>
      </c>
      <c r="F6948" s="2">
        <v>48213.48</v>
      </c>
    </row>
    <row r="6949" spans="1:6" x14ac:dyDescent="0.25">
      <c r="A6949" s="1">
        <v>45139</v>
      </c>
      <c r="B6949" t="s">
        <v>132</v>
      </c>
      <c r="C6949" t="s">
        <v>956</v>
      </c>
      <c r="D6949">
        <v>0</v>
      </c>
      <c r="E6949">
        <v>0</v>
      </c>
      <c r="F6949">
        <v>0</v>
      </c>
    </row>
    <row r="6950" spans="1:6" x14ac:dyDescent="0.25">
      <c r="A6950" s="1">
        <v>45139</v>
      </c>
      <c r="B6950" t="s">
        <v>185</v>
      </c>
      <c r="C6950" t="s">
        <v>316</v>
      </c>
      <c r="D6950" s="2">
        <v>71979562.939999998</v>
      </c>
      <c r="E6950" s="2">
        <v>45664287.799999997</v>
      </c>
      <c r="F6950" s="2">
        <v>54151154.829999998</v>
      </c>
    </row>
    <row r="6951" spans="1:6" x14ac:dyDescent="0.25">
      <c r="A6951" s="1">
        <v>45139</v>
      </c>
      <c r="B6951" t="s">
        <v>48</v>
      </c>
      <c r="C6951" t="s">
        <v>1252</v>
      </c>
      <c r="D6951">
        <v>0</v>
      </c>
      <c r="E6951" s="2">
        <v>297245</v>
      </c>
      <c r="F6951" s="2">
        <v>297245</v>
      </c>
    </row>
    <row r="6952" spans="1:6" x14ac:dyDescent="0.25">
      <c r="A6952" s="1">
        <v>45139</v>
      </c>
      <c r="B6952" t="s">
        <v>37</v>
      </c>
      <c r="C6952" t="s">
        <v>88</v>
      </c>
      <c r="D6952" s="2">
        <v>1270586.08</v>
      </c>
      <c r="E6952" s="2">
        <v>1240766.29</v>
      </c>
      <c r="F6952" s="2">
        <v>1165806.33</v>
      </c>
    </row>
    <row r="6953" spans="1:6" x14ac:dyDescent="0.25">
      <c r="A6953" s="1">
        <v>45139</v>
      </c>
      <c r="B6953" t="s">
        <v>21</v>
      </c>
      <c r="C6953" t="s">
        <v>1133</v>
      </c>
      <c r="D6953" s="2">
        <v>34319966.490000002</v>
      </c>
      <c r="E6953" s="2">
        <v>709506.54</v>
      </c>
      <c r="F6953" s="2">
        <v>553553.64</v>
      </c>
    </row>
    <row r="6954" spans="1:6" x14ac:dyDescent="0.25">
      <c r="A6954" s="1">
        <v>45139</v>
      </c>
      <c r="B6954" t="s">
        <v>21</v>
      </c>
      <c r="C6954" t="s">
        <v>969</v>
      </c>
      <c r="D6954" s="2">
        <v>-28321776.16</v>
      </c>
      <c r="E6954" s="2">
        <v>2903945.17</v>
      </c>
      <c r="F6954" s="2">
        <v>169880.8</v>
      </c>
    </row>
    <row r="6955" spans="1:6" x14ac:dyDescent="0.25">
      <c r="A6955" s="1">
        <v>45139</v>
      </c>
      <c r="B6955" t="s">
        <v>17</v>
      </c>
      <c r="C6955" t="s">
        <v>930</v>
      </c>
      <c r="D6955">
        <v>0</v>
      </c>
      <c r="E6955" s="2">
        <v>2675621.5499999998</v>
      </c>
      <c r="F6955" s="2">
        <v>2675621.5499999998</v>
      </c>
    </row>
    <row r="6956" spans="1:6" x14ac:dyDescent="0.25">
      <c r="A6956" s="1">
        <v>45139</v>
      </c>
      <c r="B6956" t="s">
        <v>19</v>
      </c>
      <c r="C6956" t="s">
        <v>168</v>
      </c>
      <c r="D6956" s="2">
        <v>876611.24</v>
      </c>
      <c r="E6956" s="2">
        <v>843846.12</v>
      </c>
      <c r="F6956" s="2">
        <v>886799.74</v>
      </c>
    </row>
    <row r="6957" spans="1:6" x14ac:dyDescent="0.25">
      <c r="A6957" s="1">
        <v>45139</v>
      </c>
      <c r="B6957" t="s">
        <v>21</v>
      </c>
      <c r="C6957" t="s">
        <v>1006</v>
      </c>
      <c r="D6957">
        <v>0</v>
      </c>
      <c r="E6957">
        <v>0</v>
      </c>
      <c r="F6957">
        <v>0</v>
      </c>
    </row>
    <row r="6958" spans="1:6" x14ac:dyDescent="0.25">
      <c r="A6958" s="1">
        <v>45139</v>
      </c>
      <c r="B6958" t="s">
        <v>17</v>
      </c>
      <c r="C6958" t="s">
        <v>951</v>
      </c>
      <c r="D6958">
        <v>0</v>
      </c>
      <c r="E6958">
        <v>0</v>
      </c>
      <c r="F6958">
        <v>0</v>
      </c>
    </row>
    <row r="6959" spans="1:6" x14ac:dyDescent="0.25">
      <c r="A6959" s="1">
        <v>45139</v>
      </c>
      <c r="B6959" t="s">
        <v>15</v>
      </c>
      <c r="C6959" t="s">
        <v>1255</v>
      </c>
      <c r="D6959" s="2">
        <v>6200000</v>
      </c>
      <c r="E6959">
        <v>0</v>
      </c>
      <c r="F6959">
        <v>0</v>
      </c>
    </row>
    <row r="6960" spans="1:6" x14ac:dyDescent="0.25">
      <c r="A6960" s="1">
        <v>45139</v>
      </c>
      <c r="B6960" t="s">
        <v>63</v>
      </c>
      <c r="C6960" t="s">
        <v>1267</v>
      </c>
      <c r="D6960" s="2">
        <v>727702.93</v>
      </c>
      <c r="E6960" s="2">
        <v>1098665.3500000001</v>
      </c>
      <c r="F6960" s="2">
        <v>577757.77</v>
      </c>
    </row>
    <row r="6961" spans="1:6" x14ac:dyDescent="0.25">
      <c r="A6961" s="1">
        <v>45139</v>
      </c>
      <c r="B6961" t="s">
        <v>234</v>
      </c>
      <c r="C6961" t="s">
        <v>299</v>
      </c>
      <c r="D6961" s="2">
        <v>2806115268.0100002</v>
      </c>
      <c r="E6961" s="2">
        <v>2806115268.0100002</v>
      </c>
      <c r="F6961" s="2">
        <v>2806115268.0100002</v>
      </c>
    </row>
    <row r="6962" spans="1:6" x14ac:dyDescent="0.25">
      <c r="A6962" s="1">
        <v>45139</v>
      </c>
      <c r="B6962" t="s">
        <v>79</v>
      </c>
      <c r="C6962" t="s">
        <v>572</v>
      </c>
      <c r="D6962">
        <v>0</v>
      </c>
      <c r="E6962">
        <v>0</v>
      </c>
      <c r="F6962">
        <v>0</v>
      </c>
    </row>
    <row r="6963" spans="1:6" x14ac:dyDescent="0.25">
      <c r="A6963" s="1">
        <v>45139</v>
      </c>
      <c r="B6963" t="s">
        <v>17</v>
      </c>
      <c r="C6963" t="s">
        <v>673</v>
      </c>
      <c r="D6963">
        <v>0</v>
      </c>
      <c r="E6963">
        <v>0</v>
      </c>
      <c r="F6963">
        <v>0</v>
      </c>
    </row>
    <row r="6964" spans="1:6" x14ac:dyDescent="0.25">
      <c r="A6964" s="1">
        <v>45139</v>
      </c>
      <c r="B6964" t="s">
        <v>17</v>
      </c>
      <c r="C6964" t="s">
        <v>1013</v>
      </c>
      <c r="D6964">
        <v>0</v>
      </c>
      <c r="E6964">
        <v>0</v>
      </c>
      <c r="F6964">
        <v>0</v>
      </c>
    </row>
    <row r="6965" spans="1:6" x14ac:dyDescent="0.25">
      <c r="A6965" s="1">
        <v>45139</v>
      </c>
      <c r="B6965" t="s">
        <v>21</v>
      </c>
      <c r="C6965" t="s">
        <v>1049</v>
      </c>
      <c r="D6965">
        <v>0</v>
      </c>
      <c r="E6965">
        <v>0</v>
      </c>
      <c r="F6965">
        <v>0</v>
      </c>
    </row>
    <row r="6966" spans="1:6" x14ac:dyDescent="0.25">
      <c r="A6966" s="1">
        <v>45139</v>
      </c>
      <c r="B6966" t="s">
        <v>40</v>
      </c>
      <c r="C6966" t="s">
        <v>859</v>
      </c>
      <c r="D6966">
        <v>0</v>
      </c>
      <c r="E6966">
        <v>0</v>
      </c>
      <c r="F6966">
        <v>0</v>
      </c>
    </row>
    <row r="6967" spans="1:6" x14ac:dyDescent="0.25">
      <c r="A6967" s="1">
        <v>45139</v>
      </c>
      <c r="B6967" t="s">
        <v>162</v>
      </c>
      <c r="C6967" t="s">
        <v>376</v>
      </c>
      <c r="D6967">
        <v>0</v>
      </c>
      <c r="E6967">
        <v>0</v>
      </c>
      <c r="F6967">
        <v>0</v>
      </c>
    </row>
    <row r="6968" spans="1:6" x14ac:dyDescent="0.25">
      <c r="A6968" s="1">
        <v>45139</v>
      </c>
      <c r="B6968" t="s">
        <v>132</v>
      </c>
      <c r="C6968" t="s">
        <v>375</v>
      </c>
      <c r="D6968" s="2">
        <v>483812.8</v>
      </c>
      <c r="E6968" s="2">
        <v>2180000</v>
      </c>
      <c r="F6968" s="2">
        <v>2180000</v>
      </c>
    </row>
    <row r="6969" spans="1:6" x14ac:dyDescent="0.25">
      <c r="A6969" s="1">
        <v>45139</v>
      </c>
      <c r="B6969" t="s">
        <v>105</v>
      </c>
      <c r="C6969" t="s">
        <v>1260</v>
      </c>
      <c r="D6969">
        <v>0</v>
      </c>
      <c r="E6969">
        <v>0</v>
      </c>
      <c r="F6969">
        <v>0</v>
      </c>
    </row>
    <row r="6970" spans="1:6" x14ac:dyDescent="0.25">
      <c r="A6970" s="1">
        <v>45139</v>
      </c>
      <c r="B6970" t="s">
        <v>31</v>
      </c>
      <c r="C6970" t="s">
        <v>192</v>
      </c>
      <c r="D6970" s="2">
        <v>21111526.719999999</v>
      </c>
      <c r="E6970" s="2">
        <v>10119434.51</v>
      </c>
      <c r="F6970" s="2">
        <v>10119434.51</v>
      </c>
    </row>
    <row r="6971" spans="1:6" x14ac:dyDescent="0.25">
      <c r="A6971" s="1">
        <v>45139</v>
      </c>
      <c r="B6971" t="s">
        <v>48</v>
      </c>
      <c r="C6971" t="s">
        <v>1194</v>
      </c>
      <c r="D6971">
        <v>0</v>
      </c>
      <c r="E6971" s="2">
        <v>5657434.3799999999</v>
      </c>
      <c r="F6971" s="2">
        <v>5657434.3799999999</v>
      </c>
    </row>
    <row r="6972" spans="1:6" x14ac:dyDescent="0.25">
      <c r="A6972" s="1">
        <v>45139</v>
      </c>
      <c r="B6972" t="s">
        <v>29</v>
      </c>
      <c r="C6972" t="s">
        <v>52</v>
      </c>
      <c r="D6972">
        <v>0</v>
      </c>
      <c r="E6972">
        <v>0</v>
      </c>
      <c r="F6972">
        <v>0</v>
      </c>
    </row>
    <row r="6973" spans="1:6" x14ac:dyDescent="0.25">
      <c r="A6973" s="1">
        <v>45139</v>
      </c>
      <c r="B6973" t="s">
        <v>53</v>
      </c>
      <c r="C6973" t="s">
        <v>382</v>
      </c>
      <c r="D6973">
        <v>0</v>
      </c>
      <c r="E6973" s="2">
        <v>231859665.65000001</v>
      </c>
      <c r="F6973" s="2">
        <v>231859665.65000001</v>
      </c>
    </row>
    <row r="6974" spans="1:6" x14ac:dyDescent="0.25">
      <c r="A6974" s="1">
        <v>45139</v>
      </c>
      <c r="B6974" t="s">
        <v>107</v>
      </c>
      <c r="C6974" t="s">
        <v>108</v>
      </c>
      <c r="D6974">
        <v>0</v>
      </c>
      <c r="E6974" s="2">
        <v>43300367.810000002</v>
      </c>
      <c r="F6974" s="2">
        <v>24600254.390000001</v>
      </c>
    </row>
    <row r="6975" spans="1:6" x14ac:dyDescent="0.25">
      <c r="A6975" s="1">
        <v>45139</v>
      </c>
      <c r="B6975" t="s">
        <v>114</v>
      </c>
      <c r="C6975" t="s">
        <v>758</v>
      </c>
      <c r="D6975" s="2">
        <v>161925.17000000001</v>
      </c>
      <c r="E6975" s="2">
        <v>250416.26</v>
      </c>
      <c r="F6975" s="2">
        <v>250416.26</v>
      </c>
    </row>
    <row r="6976" spans="1:6" x14ac:dyDescent="0.25">
      <c r="A6976" s="1">
        <v>45139</v>
      </c>
      <c r="B6976" t="s">
        <v>196</v>
      </c>
      <c r="C6976" t="s">
        <v>563</v>
      </c>
      <c r="D6976">
        <v>0</v>
      </c>
      <c r="E6976">
        <v>0</v>
      </c>
      <c r="F6976">
        <v>0</v>
      </c>
    </row>
    <row r="6977" spans="1:6" x14ac:dyDescent="0.25">
      <c r="A6977" s="1">
        <v>45139</v>
      </c>
      <c r="B6977" t="s">
        <v>162</v>
      </c>
      <c r="C6977" t="s">
        <v>178</v>
      </c>
      <c r="D6977" s="2">
        <v>184166928.36000001</v>
      </c>
      <c r="E6977" s="2">
        <v>310626754</v>
      </c>
      <c r="F6977" s="2">
        <v>310626754</v>
      </c>
    </row>
    <row r="6978" spans="1:6" x14ac:dyDescent="0.25">
      <c r="A6978" s="1">
        <v>45139</v>
      </c>
      <c r="B6978" t="s">
        <v>55</v>
      </c>
      <c r="C6978" t="s">
        <v>203</v>
      </c>
      <c r="D6978">
        <v>0</v>
      </c>
      <c r="E6978">
        <v>0</v>
      </c>
      <c r="F6978">
        <v>0</v>
      </c>
    </row>
    <row r="6979" spans="1:6" x14ac:dyDescent="0.25">
      <c r="A6979" s="1">
        <v>45139</v>
      </c>
      <c r="B6979" t="s">
        <v>50</v>
      </c>
      <c r="C6979" t="s">
        <v>1010</v>
      </c>
      <c r="D6979">
        <v>0</v>
      </c>
      <c r="E6979" s="2">
        <v>228747.68</v>
      </c>
      <c r="F6979" s="2">
        <v>228747.68</v>
      </c>
    </row>
    <row r="6980" spans="1:6" x14ac:dyDescent="0.25">
      <c r="A6980" s="1">
        <v>45139</v>
      </c>
      <c r="B6980" t="s">
        <v>19</v>
      </c>
      <c r="C6980" t="s">
        <v>733</v>
      </c>
      <c r="D6980">
        <v>0</v>
      </c>
      <c r="E6980" s="2">
        <v>1207.22</v>
      </c>
      <c r="F6980">
        <v>160.16999999999999</v>
      </c>
    </row>
    <row r="6981" spans="1:6" x14ac:dyDescent="0.25">
      <c r="A6981" s="1">
        <v>45139</v>
      </c>
      <c r="B6981" t="s">
        <v>40</v>
      </c>
      <c r="C6981" t="s">
        <v>651</v>
      </c>
      <c r="D6981">
        <v>0</v>
      </c>
      <c r="E6981" s="2">
        <v>21016.2</v>
      </c>
      <c r="F6981" s="2">
        <v>18993.43</v>
      </c>
    </row>
    <row r="6982" spans="1:6" x14ac:dyDescent="0.25">
      <c r="A6982" s="1">
        <v>45139</v>
      </c>
      <c r="B6982" t="s">
        <v>100</v>
      </c>
      <c r="C6982" t="s">
        <v>1060</v>
      </c>
      <c r="D6982">
        <v>0</v>
      </c>
      <c r="E6982">
        <v>0</v>
      </c>
      <c r="F6982">
        <v>0</v>
      </c>
    </row>
    <row r="6983" spans="1:6" x14ac:dyDescent="0.25">
      <c r="A6983" s="1">
        <v>45139</v>
      </c>
      <c r="B6983" t="s">
        <v>402</v>
      </c>
      <c r="C6983" t="s">
        <v>1096</v>
      </c>
      <c r="D6983">
        <v>0</v>
      </c>
      <c r="E6983">
        <v>0</v>
      </c>
      <c r="F6983">
        <v>0</v>
      </c>
    </row>
    <row r="6984" spans="1:6" x14ac:dyDescent="0.25">
      <c r="A6984" s="1">
        <v>45139</v>
      </c>
      <c r="B6984" t="s">
        <v>98</v>
      </c>
      <c r="C6984" t="s">
        <v>613</v>
      </c>
      <c r="D6984">
        <v>0</v>
      </c>
      <c r="E6984">
        <v>0</v>
      </c>
      <c r="F6984">
        <v>0</v>
      </c>
    </row>
    <row r="6985" spans="1:6" x14ac:dyDescent="0.25">
      <c r="A6985" s="1">
        <v>45139</v>
      </c>
      <c r="B6985" t="s">
        <v>405</v>
      </c>
      <c r="C6985" t="s">
        <v>1060</v>
      </c>
      <c r="D6985">
        <v>0</v>
      </c>
      <c r="E6985">
        <v>0</v>
      </c>
      <c r="F6985">
        <v>0</v>
      </c>
    </row>
    <row r="6986" spans="1:6" x14ac:dyDescent="0.25">
      <c r="A6986" s="1">
        <v>45139</v>
      </c>
      <c r="B6986" t="s">
        <v>50</v>
      </c>
      <c r="C6986" t="s">
        <v>372</v>
      </c>
      <c r="D6986" s="2">
        <v>1188157.04</v>
      </c>
      <c r="E6986">
        <v>0</v>
      </c>
      <c r="F6986">
        <v>0</v>
      </c>
    </row>
    <row r="6987" spans="1:6" x14ac:dyDescent="0.25">
      <c r="A6987" s="1">
        <v>45139</v>
      </c>
      <c r="B6987" t="s">
        <v>90</v>
      </c>
      <c r="C6987" t="s">
        <v>895</v>
      </c>
      <c r="D6987" s="2">
        <v>1498521.05</v>
      </c>
      <c r="E6987" s="2">
        <v>458553.03</v>
      </c>
      <c r="F6987" s="2">
        <v>463719.06</v>
      </c>
    </row>
    <row r="6988" spans="1:6" x14ac:dyDescent="0.25">
      <c r="A6988" s="1">
        <v>45139</v>
      </c>
      <c r="B6988" t="s">
        <v>37</v>
      </c>
      <c r="C6988" t="s">
        <v>271</v>
      </c>
      <c r="D6988" s="2">
        <v>339990.3</v>
      </c>
      <c r="E6988" s="2">
        <v>591072.44999999995</v>
      </c>
      <c r="F6988" s="2">
        <v>397800.09</v>
      </c>
    </row>
    <row r="6989" spans="1:6" x14ac:dyDescent="0.25">
      <c r="A6989" s="1">
        <v>45139</v>
      </c>
      <c r="B6989" t="s">
        <v>40</v>
      </c>
      <c r="C6989" t="s">
        <v>455</v>
      </c>
      <c r="D6989" s="2">
        <v>1000000</v>
      </c>
      <c r="E6989" s="2">
        <v>241852.63</v>
      </c>
      <c r="F6989">
        <v>0</v>
      </c>
    </row>
    <row r="6990" spans="1:6" x14ac:dyDescent="0.25">
      <c r="A6990" s="1">
        <v>45139</v>
      </c>
      <c r="B6990" t="s">
        <v>37</v>
      </c>
      <c r="C6990" t="s">
        <v>721</v>
      </c>
      <c r="D6990" s="2">
        <v>-100010</v>
      </c>
      <c r="E6990">
        <v>0</v>
      </c>
      <c r="F6990">
        <v>0</v>
      </c>
    </row>
    <row r="6991" spans="1:6" x14ac:dyDescent="0.25">
      <c r="A6991" s="1">
        <v>45139</v>
      </c>
      <c r="B6991" t="s">
        <v>162</v>
      </c>
      <c r="C6991" t="s">
        <v>335</v>
      </c>
      <c r="D6991" s="2">
        <v>20933328.600000001</v>
      </c>
      <c r="E6991" s="2">
        <v>35337968.689999998</v>
      </c>
      <c r="F6991" s="2">
        <v>33479933.719999999</v>
      </c>
    </row>
    <row r="6992" spans="1:6" x14ac:dyDescent="0.25">
      <c r="A6992" s="1">
        <v>45139</v>
      </c>
      <c r="B6992" t="s">
        <v>11</v>
      </c>
      <c r="C6992" t="s">
        <v>1098</v>
      </c>
      <c r="D6992">
        <v>0</v>
      </c>
      <c r="E6992" s="2">
        <v>3187883591.5</v>
      </c>
      <c r="F6992">
        <v>0</v>
      </c>
    </row>
    <row r="6993" spans="1:6" x14ac:dyDescent="0.25">
      <c r="A6993" s="1">
        <v>45139</v>
      </c>
      <c r="B6993" t="s">
        <v>143</v>
      </c>
      <c r="C6993" t="s">
        <v>792</v>
      </c>
      <c r="D6993" s="2">
        <v>6286717.5700000003</v>
      </c>
      <c r="E6993">
        <v>0</v>
      </c>
      <c r="F6993">
        <v>0</v>
      </c>
    </row>
    <row r="6994" spans="1:6" x14ac:dyDescent="0.25">
      <c r="A6994" s="1">
        <v>45139</v>
      </c>
      <c r="B6994" t="s">
        <v>21</v>
      </c>
      <c r="C6994" t="s">
        <v>312</v>
      </c>
      <c r="D6994">
        <v>0</v>
      </c>
      <c r="E6994" s="2">
        <v>273467.08</v>
      </c>
      <c r="F6994" s="2">
        <v>273467.08</v>
      </c>
    </row>
    <row r="6995" spans="1:6" x14ac:dyDescent="0.25">
      <c r="A6995" s="1">
        <v>45139</v>
      </c>
      <c r="B6995" t="s">
        <v>46</v>
      </c>
      <c r="C6995" t="s">
        <v>47</v>
      </c>
      <c r="D6995">
        <v>0</v>
      </c>
      <c r="E6995" s="2">
        <v>2403333.3199999998</v>
      </c>
      <c r="F6995" s="2">
        <v>2403333.3199999998</v>
      </c>
    </row>
    <row r="6996" spans="1:6" x14ac:dyDescent="0.25">
      <c r="A6996" s="1">
        <v>45139</v>
      </c>
      <c r="B6996" t="s">
        <v>1261</v>
      </c>
      <c r="C6996" t="s">
        <v>1032</v>
      </c>
      <c r="D6996">
        <v>0</v>
      </c>
      <c r="E6996">
        <v>0</v>
      </c>
      <c r="F6996">
        <v>0</v>
      </c>
    </row>
    <row r="6997" spans="1:6" x14ac:dyDescent="0.25">
      <c r="A6997" s="1">
        <v>45139</v>
      </c>
      <c r="B6997" t="s">
        <v>682</v>
      </c>
      <c r="C6997" t="s">
        <v>866</v>
      </c>
      <c r="D6997" s="2">
        <v>190947.79</v>
      </c>
      <c r="E6997" s="2">
        <v>14330.3</v>
      </c>
      <c r="F6997" s="2">
        <v>1539.86</v>
      </c>
    </row>
    <row r="6998" spans="1:6" x14ac:dyDescent="0.25">
      <c r="A6998" s="1">
        <v>45139</v>
      </c>
      <c r="B6998" t="s">
        <v>37</v>
      </c>
      <c r="C6998" t="s">
        <v>577</v>
      </c>
      <c r="D6998" s="2">
        <v>130396.57</v>
      </c>
      <c r="E6998" s="2">
        <v>146140.93</v>
      </c>
      <c r="F6998" s="2">
        <v>146510.49</v>
      </c>
    </row>
    <row r="6999" spans="1:6" x14ac:dyDescent="0.25">
      <c r="A6999" s="1">
        <v>45139</v>
      </c>
      <c r="B6999" t="s">
        <v>42</v>
      </c>
      <c r="C6999" t="s">
        <v>174</v>
      </c>
      <c r="D6999" s="2">
        <v>12342041.449999999</v>
      </c>
      <c r="E6999" s="2">
        <v>12342041.449999999</v>
      </c>
      <c r="F6999" s="2">
        <v>12342041.449999999</v>
      </c>
    </row>
    <row r="7000" spans="1:6" x14ac:dyDescent="0.25">
      <c r="A7000" s="1">
        <v>45139</v>
      </c>
      <c r="B7000" t="s">
        <v>17</v>
      </c>
      <c r="C7000" t="s">
        <v>256</v>
      </c>
      <c r="D7000" s="2">
        <v>11078.72</v>
      </c>
      <c r="E7000" s="2">
        <v>-702423.2</v>
      </c>
      <c r="F7000" s="2">
        <v>6199478.4000000004</v>
      </c>
    </row>
    <row r="7001" spans="1:6" x14ac:dyDescent="0.25">
      <c r="A7001" s="1">
        <v>45139</v>
      </c>
      <c r="B7001" t="s">
        <v>19</v>
      </c>
      <c r="C7001" t="s">
        <v>20</v>
      </c>
      <c r="D7001">
        <v>0</v>
      </c>
      <c r="E7001" s="2">
        <v>243268.22</v>
      </c>
      <c r="F7001" s="2">
        <v>219103.86</v>
      </c>
    </row>
    <row r="7002" spans="1:6" x14ac:dyDescent="0.25">
      <c r="A7002" s="1">
        <v>45139</v>
      </c>
      <c r="B7002" t="s">
        <v>143</v>
      </c>
      <c r="C7002" t="s">
        <v>378</v>
      </c>
      <c r="D7002" s="2">
        <v>29328901</v>
      </c>
      <c r="E7002" s="2">
        <v>13906611</v>
      </c>
      <c r="F7002" s="2">
        <v>13906611</v>
      </c>
    </row>
    <row r="7003" spans="1:6" x14ac:dyDescent="0.25">
      <c r="A7003" s="1">
        <v>45139</v>
      </c>
      <c r="B7003" t="s">
        <v>25</v>
      </c>
      <c r="C7003" t="s">
        <v>26</v>
      </c>
      <c r="D7003" s="2">
        <v>133000000</v>
      </c>
      <c r="E7003" s="2">
        <v>24938759.390000001</v>
      </c>
      <c r="F7003" s="2">
        <v>18644425.07</v>
      </c>
    </row>
    <row r="7004" spans="1:6" x14ac:dyDescent="0.25">
      <c r="A7004" s="1">
        <v>45139</v>
      </c>
      <c r="B7004" t="s">
        <v>21</v>
      </c>
      <c r="C7004" t="s">
        <v>634</v>
      </c>
      <c r="D7004">
        <v>0</v>
      </c>
      <c r="E7004" s="2">
        <v>72403.03</v>
      </c>
      <c r="F7004" s="2">
        <v>72403.03</v>
      </c>
    </row>
    <row r="7005" spans="1:6" x14ac:dyDescent="0.25">
      <c r="A7005" s="1">
        <v>45139</v>
      </c>
      <c r="B7005" t="s">
        <v>288</v>
      </c>
      <c r="C7005" t="s">
        <v>434</v>
      </c>
      <c r="D7005">
        <v>0</v>
      </c>
      <c r="E7005">
        <v>0</v>
      </c>
      <c r="F7005" s="2">
        <v>149520.04</v>
      </c>
    </row>
    <row r="7006" spans="1:6" x14ac:dyDescent="0.25">
      <c r="A7006" s="1">
        <v>45139</v>
      </c>
      <c r="B7006" t="s">
        <v>1319</v>
      </c>
      <c r="C7006" t="s">
        <v>1320</v>
      </c>
      <c r="D7006">
        <v>0</v>
      </c>
      <c r="E7006">
        <v>0</v>
      </c>
      <c r="F7006">
        <v>0</v>
      </c>
    </row>
    <row r="7007" spans="1:6" x14ac:dyDescent="0.25">
      <c r="A7007" s="1">
        <v>45139</v>
      </c>
      <c r="B7007" t="s">
        <v>966</v>
      </c>
      <c r="C7007" t="s">
        <v>416</v>
      </c>
      <c r="D7007">
        <v>0</v>
      </c>
      <c r="E7007">
        <v>0</v>
      </c>
      <c r="F7007">
        <v>0</v>
      </c>
    </row>
    <row r="7008" spans="1:6" x14ac:dyDescent="0.25">
      <c r="A7008" s="1">
        <v>45139</v>
      </c>
      <c r="B7008" t="s">
        <v>96</v>
      </c>
      <c r="C7008" t="s">
        <v>574</v>
      </c>
      <c r="D7008">
        <v>0</v>
      </c>
      <c r="E7008">
        <v>0</v>
      </c>
      <c r="F7008">
        <v>0</v>
      </c>
    </row>
    <row r="7009" spans="1:6" x14ac:dyDescent="0.25">
      <c r="A7009" s="1">
        <v>45139</v>
      </c>
      <c r="B7009" t="s">
        <v>309</v>
      </c>
      <c r="C7009" t="s">
        <v>310</v>
      </c>
      <c r="D7009">
        <v>0</v>
      </c>
      <c r="E7009">
        <v>0</v>
      </c>
      <c r="F7009">
        <v>0</v>
      </c>
    </row>
    <row r="7010" spans="1:6" x14ac:dyDescent="0.25">
      <c r="A7010" s="1">
        <v>45139</v>
      </c>
      <c r="B7010" t="s">
        <v>216</v>
      </c>
      <c r="C7010" t="s">
        <v>217</v>
      </c>
      <c r="D7010">
        <v>0</v>
      </c>
      <c r="E7010">
        <v>0</v>
      </c>
      <c r="F7010">
        <v>0</v>
      </c>
    </row>
    <row r="7011" spans="1:6" x14ac:dyDescent="0.25">
      <c r="A7011" s="1">
        <v>45139</v>
      </c>
      <c r="B7011" t="s">
        <v>13</v>
      </c>
      <c r="C7011" t="s">
        <v>14</v>
      </c>
      <c r="D7011">
        <v>0</v>
      </c>
      <c r="E7011" s="2">
        <v>1972127.96</v>
      </c>
      <c r="F7011" s="2">
        <v>2371723.29</v>
      </c>
    </row>
    <row r="7012" spans="1:6" x14ac:dyDescent="0.25">
      <c r="A7012" s="1">
        <v>45139</v>
      </c>
      <c r="B7012" t="s">
        <v>21</v>
      </c>
      <c r="C7012" t="s">
        <v>998</v>
      </c>
      <c r="D7012">
        <v>0</v>
      </c>
      <c r="E7012">
        <v>0</v>
      </c>
      <c r="F7012">
        <v>0</v>
      </c>
    </row>
    <row r="7013" spans="1:6" x14ac:dyDescent="0.25">
      <c r="A7013" s="1">
        <v>45139</v>
      </c>
      <c r="B7013" t="s">
        <v>296</v>
      </c>
      <c r="C7013" t="s">
        <v>1024</v>
      </c>
      <c r="D7013" s="2">
        <v>104113966.03</v>
      </c>
      <c r="E7013" s="2">
        <v>104610234.03</v>
      </c>
      <c r="F7013" s="2">
        <v>104610234.03</v>
      </c>
    </row>
    <row r="7014" spans="1:6" x14ac:dyDescent="0.25">
      <c r="A7014" s="1">
        <v>45139</v>
      </c>
      <c r="B7014" t="s">
        <v>11</v>
      </c>
      <c r="C7014" t="s">
        <v>231</v>
      </c>
      <c r="D7014" s="2">
        <v>6696174031.1499996</v>
      </c>
      <c r="E7014" s="2">
        <v>6217662563.5900002</v>
      </c>
      <c r="F7014" s="2">
        <v>6217662563.5900002</v>
      </c>
    </row>
    <row r="7015" spans="1:6" x14ac:dyDescent="0.25">
      <c r="A7015" s="1">
        <v>45139</v>
      </c>
      <c r="B7015" t="s">
        <v>37</v>
      </c>
      <c r="C7015" t="s">
        <v>349</v>
      </c>
      <c r="D7015" s="2">
        <v>85000</v>
      </c>
      <c r="E7015" s="2">
        <v>2119534.06</v>
      </c>
      <c r="F7015" s="2">
        <v>2119534.06</v>
      </c>
    </row>
    <row r="7016" spans="1:6" x14ac:dyDescent="0.25">
      <c r="A7016" s="1">
        <v>45139</v>
      </c>
      <c r="B7016" t="s">
        <v>272</v>
      </c>
      <c r="C7016" t="s">
        <v>537</v>
      </c>
      <c r="D7016">
        <v>0</v>
      </c>
      <c r="E7016">
        <v>0</v>
      </c>
      <c r="F7016">
        <v>0</v>
      </c>
    </row>
    <row r="7017" spans="1:6" x14ac:dyDescent="0.25">
      <c r="A7017" s="1">
        <v>45139</v>
      </c>
      <c r="B7017" t="s">
        <v>21</v>
      </c>
      <c r="C7017" t="s">
        <v>451</v>
      </c>
      <c r="D7017">
        <v>0</v>
      </c>
      <c r="E7017">
        <v>0</v>
      </c>
      <c r="F7017">
        <v>0</v>
      </c>
    </row>
    <row r="7018" spans="1:6" x14ac:dyDescent="0.25">
      <c r="A7018" s="1">
        <v>45139</v>
      </c>
      <c r="B7018" t="s">
        <v>40</v>
      </c>
      <c r="C7018" t="s">
        <v>41</v>
      </c>
      <c r="D7018" s="2">
        <v>2594250.48</v>
      </c>
      <c r="E7018" s="2">
        <v>3068998.47</v>
      </c>
      <c r="F7018" s="2">
        <v>3586866.45</v>
      </c>
    </row>
    <row r="7019" spans="1:6" x14ac:dyDescent="0.25">
      <c r="A7019" s="1">
        <v>45139</v>
      </c>
      <c r="B7019" t="s">
        <v>21</v>
      </c>
      <c r="C7019" t="s">
        <v>522</v>
      </c>
      <c r="D7019" s="2">
        <v>13519912</v>
      </c>
      <c r="E7019" s="2">
        <v>13345983.789999999</v>
      </c>
      <c r="F7019" s="2">
        <v>13345983.789999999</v>
      </c>
    </row>
    <row r="7020" spans="1:6" x14ac:dyDescent="0.25">
      <c r="A7020" s="1">
        <v>45139</v>
      </c>
      <c r="B7020" t="s">
        <v>21</v>
      </c>
      <c r="C7020" t="s">
        <v>1321</v>
      </c>
      <c r="D7020" s="2">
        <v>50000000</v>
      </c>
      <c r="E7020">
        <v>0</v>
      </c>
      <c r="F7020">
        <v>0</v>
      </c>
    </row>
    <row r="7021" spans="1:6" x14ac:dyDescent="0.25">
      <c r="A7021" s="1">
        <v>45139</v>
      </c>
      <c r="B7021" t="s">
        <v>68</v>
      </c>
      <c r="C7021" t="s">
        <v>87</v>
      </c>
      <c r="D7021" s="2">
        <v>979323.64</v>
      </c>
      <c r="E7021" s="2">
        <v>579701.67000000004</v>
      </c>
      <c r="F7021" s="2">
        <v>566460.22</v>
      </c>
    </row>
    <row r="7022" spans="1:6" x14ac:dyDescent="0.25">
      <c r="A7022" s="1">
        <v>45139</v>
      </c>
      <c r="B7022" t="s">
        <v>490</v>
      </c>
      <c r="C7022" t="s">
        <v>999</v>
      </c>
      <c r="D7022">
        <v>0</v>
      </c>
      <c r="E7022">
        <v>0</v>
      </c>
      <c r="F7022">
        <v>0</v>
      </c>
    </row>
    <row r="7023" spans="1:6" x14ac:dyDescent="0.25">
      <c r="A7023" s="1">
        <v>45139</v>
      </c>
      <c r="B7023" t="s">
        <v>120</v>
      </c>
      <c r="C7023" t="s">
        <v>943</v>
      </c>
      <c r="D7023" s="2">
        <v>-8520.5400000000009</v>
      </c>
      <c r="E7023" s="2">
        <v>43879.46</v>
      </c>
      <c r="F7023" s="2">
        <v>43879.46</v>
      </c>
    </row>
    <row r="7024" spans="1:6" x14ac:dyDescent="0.25">
      <c r="A7024" s="1">
        <v>45139</v>
      </c>
      <c r="B7024" t="s">
        <v>7</v>
      </c>
      <c r="C7024" t="s">
        <v>124</v>
      </c>
      <c r="D7024">
        <v>0</v>
      </c>
      <c r="E7024" s="2">
        <v>9214587.75</v>
      </c>
      <c r="F7024" s="2">
        <v>9214587.75</v>
      </c>
    </row>
    <row r="7025" spans="1:6" x14ac:dyDescent="0.25">
      <c r="A7025" s="1">
        <v>45139</v>
      </c>
      <c r="B7025" t="s">
        <v>185</v>
      </c>
      <c r="C7025" t="s">
        <v>304</v>
      </c>
      <c r="D7025" s="2">
        <v>208339468.19999999</v>
      </c>
      <c r="E7025" s="2">
        <v>208645907.66</v>
      </c>
      <c r="F7025" s="2">
        <v>208350572.56999999</v>
      </c>
    </row>
    <row r="7026" spans="1:6" x14ac:dyDescent="0.25">
      <c r="A7026" s="1">
        <v>45139</v>
      </c>
      <c r="B7026" t="s">
        <v>11</v>
      </c>
      <c r="C7026" t="s">
        <v>12</v>
      </c>
      <c r="D7026">
        <v>0</v>
      </c>
      <c r="E7026" s="2">
        <v>3482641511.1599998</v>
      </c>
      <c r="F7026" s="2">
        <v>3482641511.1599998</v>
      </c>
    </row>
    <row r="7027" spans="1:6" x14ac:dyDescent="0.25">
      <c r="A7027" s="1">
        <v>45139</v>
      </c>
      <c r="B7027" t="s">
        <v>278</v>
      </c>
      <c r="C7027" t="s">
        <v>722</v>
      </c>
      <c r="D7027" s="2">
        <v>478026</v>
      </c>
      <c r="E7027" s="2">
        <v>220000</v>
      </c>
      <c r="F7027" s="2">
        <v>220000</v>
      </c>
    </row>
    <row r="7028" spans="1:6" x14ac:dyDescent="0.25">
      <c r="A7028" s="1">
        <v>45139</v>
      </c>
      <c r="B7028" t="s">
        <v>181</v>
      </c>
      <c r="C7028" t="s">
        <v>1322</v>
      </c>
      <c r="D7028">
        <v>0</v>
      </c>
      <c r="E7028">
        <v>0</v>
      </c>
      <c r="F7028">
        <v>0</v>
      </c>
    </row>
    <row r="7029" spans="1:6" x14ac:dyDescent="0.25">
      <c r="A7029" s="1">
        <v>45139</v>
      </c>
      <c r="B7029" t="s">
        <v>48</v>
      </c>
      <c r="C7029" t="s">
        <v>1254</v>
      </c>
      <c r="D7029">
        <v>0</v>
      </c>
      <c r="E7029" s="2">
        <v>1367990</v>
      </c>
      <c r="F7029" s="2">
        <v>1367990</v>
      </c>
    </row>
    <row r="7030" spans="1:6" x14ac:dyDescent="0.25">
      <c r="A7030" s="1">
        <v>45139</v>
      </c>
      <c r="B7030" t="s">
        <v>154</v>
      </c>
      <c r="C7030" t="s">
        <v>161</v>
      </c>
      <c r="D7030" s="2">
        <v>1557491.05</v>
      </c>
      <c r="E7030" s="2">
        <v>286229.61</v>
      </c>
      <c r="F7030" s="2">
        <v>667241.42000000004</v>
      </c>
    </row>
    <row r="7031" spans="1:6" x14ac:dyDescent="0.25">
      <c r="A7031" s="1">
        <v>45139</v>
      </c>
      <c r="B7031" t="s">
        <v>458</v>
      </c>
      <c r="C7031" t="s">
        <v>260</v>
      </c>
      <c r="D7031">
        <v>0</v>
      </c>
      <c r="E7031">
        <v>0</v>
      </c>
      <c r="F7031">
        <v>0</v>
      </c>
    </row>
    <row r="7032" spans="1:6" x14ac:dyDescent="0.25">
      <c r="A7032" s="1">
        <v>45139</v>
      </c>
      <c r="B7032" t="s">
        <v>933</v>
      </c>
      <c r="C7032" t="s">
        <v>1203</v>
      </c>
      <c r="D7032">
        <v>0</v>
      </c>
      <c r="E7032" s="2">
        <v>5649.74</v>
      </c>
      <c r="F7032" s="2">
        <v>5649.74</v>
      </c>
    </row>
    <row r="7033" spans="1:6" x14ac:dyDescent="0.25">
      <c r="A7033" s="1">
        <v>45139</v>
      </c>
      <c r="B7033" t="s">
        <v>81</v>
      </c>
      <c r="C7033" t="s">
        <v>290</v>
      </c>
      <c r="D7033">
        <v>0</v>
      </c>
      <c r="E7033">
        <v>0</v>
      </c>
      <c r="F7033">
        <v>0</v>
      </c>
    </row>
    <row r="7034" spans="1:6" x14ac:dyDescent="0.25">
      <c r="A7034" s="1">
        <v>45139</v>
      </c>
      <c r="B7034" t="s">
        <v>31</v>
      </c>
      <c r="C7034" t="s">
        <v>464</v>
      </c>
      <c r="D7034" s="2">
        <v>-56222423.670000002</v>
      </c>
      <c r="E7034" s="2">
        <v>381894.5</v>
      </c>
      <c r="F7034" s="2">
        <v>381894.5</v>
      </c>
    </row>
    <row r="7035" spans="1:6" x14ac:dyDescent="0.25">
      <c r="A7035" s="1">
        <v>45139</v>
      </c>
      <c r="B7035" t="s">
        <v>107</v>
      </c>
      <c r="C7035" t="s">
        <v>239</v>
      </c>
      <c r="D7035">
        <v>0</v>
      </c>
      <c r="E7035" s="2">
        <v>12773148.640000001</v>
      </c>
      <c r="F7035" s="2">
        <v>12773148.640000001</v>
      </c>
    </row>
    <row r="7036" spans="1:6" x14ac:dyDescent="0.25">
      <c r="A7036" s="1">
        <v>45139</v>
      </c>
      <c r="B7036" t="s">
        <v>21</v>
      </c>
      <c r="C7036" t="s">
        <v>595</v>
      </c>
      <c r="D7036" s="2">
        <v>585000</v>
      </c>
      <c r="E7036" s="2">
        <v>585000</v>
      </c>
      <c r="F7036" s="2">
        <v>585000</v>
      </c>
    </row>
    <row r="7037" spans="1:6" x14ac:dyDescent="0.25">
      <c r="A7037" s="1">
        <v>45139</v>
      </c>
      <c r="B7037" t="s">
        <v>441</v>
      </c>
      <c r="C7037" t="s">
        <v>914</v>
      </c>
      <c r="D7037">
        <v>0</v>
      </c>
      <c r="E7037">
        <v>0</v>
      </c>
      <c r="F7037">
        <v>0</v>
      </c>
    </row>
    <row r="7038" spans="1:6" x14ac:dyDescent="0.25">
      <c r="A7038" s="1">
        <v>45139</v>
      </c>
      <c r="B7038" t="s">
        <v>196</v>
      </c>
      <c r="C7038" t="s">
        <v>612</v>
      </c>
      <c r="D7038">
        <v>0</v>
      </c>
      <c r="E7038">
        <v>0</v>
      </c>
      <c r="F7038">
        <v>0</v>
      </c>
    </row>
    <row r="7039" spans="1:6" x14ac:dyDescent="0.25">
      <c r="A7039" s="1">
        <v>45139</v>
      </c>
      <c r="B7039" t="s">
        <v>37</v>
      </c>
      <c r="C7039" t="s">
        <v>1033</v>
      </c>
      <c r="D7039" s="2">
        <v>2042679.2</v>
      </c>
      <c r="E7039" s="2">
        <v>2779183.03</v>
      </c>
      <c r="F7039" s="2">
        <v>2834173.87</v>
      </c>
    </row>
    <row r="7040" spans="1:6" x14ac:dyDescent="0.25">
      <c r="A7040" s="1">
        <v>45139</v>
      </c>
      <c r="B7040" t="s">
        <v>63</v>
      </c>
      <c r="C7040" t="s">
        <v>1092</v>
      </c>
      <c r="D7040">
        <v>0</v>
      </c>
      <c r="E7040">
        <v>0</v>
      </c>
      <c r="F7040">
        <v>0</v>
      </c>
    </row>
    <row r="7041" spans="1:6" x14ac:dyDescent="0.25">
      <c r="A7041" s="1">
        <v>45139</v>
      </c>
      <c r="B7041" t="s">
        <v>23</v>
      </c>
      <c r="C7041" t="s">
        <v>294</v>
      </c>
      <c r="D7041">
        <v>0</v>
      </c>
      <c r="E7041">
        <v>0</v>
      </c>
      <c r="F7041">
        <v>0</v>
      </c>
    </row>
    <row r="7042" spans="1:6" x14ac:dyDescent="0.25">
      <c r="A7042" s="1">
        <v>45139</v>
      </c>
      <c r="B7042" t="s">
        <v>21</v>
      </c>
      <c r="C7042" t="s">
        <v>1113</v>
      </c>
      <c r="D7042">
        <v>0</v>
      </c>
      <c r="E7042">
        <v>0</v>
      </c>
      <c r="F7042">
        <v>0</v>
      </c>
    </row>
    <row r="7043" spans="1:6" x14ac:dyDescent="0.25">
      <c r="A7043" s="1">
        <v>45139</v>
      </c>
      <c r="B7043" t="s">
        <v>50</v>
      </c>
      <c r="C7043" t="s">
        <v>977</v>
      </c>
      <c r="D7043" s="2">
        <v>5200000</v>
      </c>
      <c r="E7043">
        <v>0</v>
      </c>
      <c r="F7043">
        <v>0</v>
      </c>
    </row>
    <row r="7044" spans="1:6" x14ac:dyDescent="0.25">
      <c r="A7044" s="1">
        <v>45139</v>
      </c>
      <c r="B7044" t="s">
        <v>23</v>
      </c>
      <c r="C7044" t="s">
        <v>1268</v>
      </c>
      <c r="D7044" s="2">
        <v>-1137.46</v>
      </c>
      <c r="E7044">
        <v>0</v>
      </c>
      <c r="F7044">
        <v>0</v>
      </c>
    </row>
    <row r="7045" spans="1:6" x14ac:dyDescent="0.25">
      <c r="A7045" s="1">
        <v>45139</v>
      </c>
      <c r="B7045" t="s">
        <v>23</v>
      </c>
      <c r="C7045" t="s">
        <v>891</v>
      </c>
      <c r="D7045" s="2">
        <v>-16628.22</v>
      </c>
      <c r="E7045" s="2">
        <v>554228.22</v>
      </c>
      <c r="F7045" s="2">
        <v>790848.99</v>
      </c>
    </row>
    <row r="7046" spans="1:6" x14ac:dyDescent="0.25">
      <c r="A7046" s="1">
        <v>45139</v>
      </c>
      <c r="B7046" t="s">
        <v>13</v>
      </c>
      <c r="C7046" t="s">
        <v>446</v>
      </c>
      <c r="D7046" s="2">
        <v>-10037379.369999999</v>
      </c>
      <c r="E7046" s="2">
        <v>28392603.800000001</v>
      </c>
      <c r="F7046" s="2">
        <v>28392603.800000001</v>
      </c>
    </row>
    <row r="7047" spans="1:6" x14ac:dyDescent="0.25">
      <c r="A7047" s="1">
        <v>45139</v>
      </c>
      <c r="B7047" t="s">
        <v>263</v>
      </c>
      <c r="C7047" t="s">
        <v>264</v>
      </c>
      <c r="D7047" s="2">
        <v>470211.2</v>
      </c>
      <c r="E7047" s="2">
        <v>900112.13</v>
      </c>
      <c r="F7047" s="2">
        <v>21111344.309999999</v>
      </c>
    </row>
    <row r="7048" spans="1:6" x14ac:dyDescent="0.25">
      <c r="A7048" s="1">
        <v>45139</v>
      </c>
      <c r="B7048" t="s">
        <v>40</v>
      </c>
      <c r="C7048" t="s">
        <v>135</v>
      </c>
      <c r="D7048">
        <v>0</v>
      </c>
      <c r="E7048">
        <v>0</v>
      </c>
      <c r="F7048" s="2">
        <v>205271.03</v>
      </c>
    </row>
    <row r="7049" spans="1:6" x14ac:dyDescent="0.25">
      <c r="A7049" s="1">
        <v>45139</v>
      </c>
      <c r="B7049" t="s">
        <v>79</v>
      </c>
      <c r="C7049" t="s">
        <v>1210</v>
      </c>
      <c r="D7049">
        <v>0</v>
      </c>
      <c r="E7049">
        <v>0</v>
      </c>
      <c r="F7049">
        <v>0</v>
      </c>
    </row>
    <row r="7050" spans="1:6" x14ac:dyDescent="0.25">
      <c r="A7050" s="1">
        <v>45139</v>
      </c>
      <c r="B7050" t="s">
        <v>17</v>
      </c>
      <c r="C7050" t="s">
        <v>350</v>
      </c>
      <c r="D7050" s="2">
        <v>12090098.210000001</v>
      </c>
      <c r="E7050" s="2">
        <v>1166766.46</v>
      </c>
      <c r="F7050" s="2">
        <v>3183742.46</v>
      </c>
    </row>
    <row r="7051" spans="1:6" x14ac:dyDescent="0.25">
      <c r="A7051" s="1">
        <v>45139</v>
      </c>
      <c r="B7051" t="s">
        <v>933</v>
      </c>
      <c r="C7051" t="s">
        <v>1041</v>
      </c>
      <c r="D7051">
        <v>0</v>
      </c>
      <c r="E7051" s="2">
        <v>2692492.34</v>
      </c>
      <c r="F7051" s="2">
        <v>2692492.34</v>
      </c>
    </row>
    <row r="7052" spans="1:6" x14ac:dyDescent="0.25">
      <c r="A7052" s="1">
        <v>45139</v>
      </c>
      <c r="B7052" t="s">
        <v>37</v>
      </c>
      <c r="C7052" t="s">
        <v>504</v>
      </c>
      <c r="D7052" s="2">
        <v>447463.34</v>
      </c>
      <c r="E7052" s="2">
        <v>464524.53</v>
      </c>
      <c r="F7052" s="2">
        <v>464524.53</v>
      </c>
    </row>
    <row r="7053" spans="1:6" x14ac:dyDescent="0.25">
      <c r="A7053" s="1">
        <v>45139</v>
      </c>
      <c r="B7053" t="s">
        <v>42</v>
      </c>
      <c r="C7053" t="s">
        <v>447</v>
      </c>
      <c r="D7053">
        <v>0</v>
      </c>
      <c r="E7053">
        <v>0</v>
      </c>
      <c r="F7053">
        <v>0</v>
      </c>
    </row>
    <row r="7054" spans="1:6" x14ac:dyDescent="0.25">
      <c r="A7054" s="1">
        <v>45139</v>
      </c>
      <c r="B7054" t="s">
        <v>103</v>
      </c>
      <c r="C7054" t="s">
        <v>259</v>
      </c>
      <c r="D7054" s="2">
        <v>50000</v>
      </c>
      <c r="E7054" s="2">
        <v>27769.49</v>
      </c>
      <c r="F7054" s="2">
        <v>24403.84</v>
      </c>
    </row>
    <row r="7055" spans="1:6" x14ac:dyDescent="0.25">
      <c r="A7055" s="1">
        <v>45139</v>
      </c>
      <c r="B7055" t="s">
        <v>344</v>
      </c>
      <c r="C7055" t="s">
        <v>1323</v>
      </c>
      <c r="D7055" s="2">
        <v>1988471.81</v>
      </c>
      <c r="E7055" s="2">
        <v>1988471.81</v>
      </c>
      <c r="F7055" s="2">
        <v>1988471.81</v>
      </c>
    </row>
    <row r="7056" spans="1:6" x14ac:dyDescent="0.25">
      <c r="A7056" s="1">
        <v>45139</v>
      </c>
      <c r="B7056" t="s">
        <v>92</v>
      </c>
      <c r="C7056" t="s">
        <v>93</v>
      </c>
      <c r="D7056" s="2">
        <v>1665346.84</v>
      </c>
      <c r="E7056" s="2">
        <v>595656.36</v>
      </c>
      <c r="F7056" s="2">
        <v>678843.88</v>
      </c>
    </row>
    <row r="7057" spans="1:6" x14ac:dyDescent="0.25">
      <c r="A7057" s="1">
        <v>45139</v>
      </c>
      <c r="B7057" t="s">
        <v>21</v>
      </c>
      <c r="C7057" t="s">
        <v>720</v>
      </c>
      <c r="D7057" s="2">
        <v>123192.06</v>
      </c>
      <c r="E7057" s="2">
        <v>162059.96</v>
      </c>
      <c r="F7057" s="2">
        <v>162059.96</v>
      </c>
    </row>
    <row r="7058" spans="1:6" x14ac:dyDescent="0.25">
      <c r="A7058" s="1">
        <v>45139</v>
      </c>
      <c r="B7058" t="s">
        <v>11</v>
      </c>
      <c r="C7058" t="s">
        <v>300</v>
      </c>
      <c r="D7058">
        <v>0</v>
      </c>
      <c r="E7058" s="2">
        <v>89605766.569999993</v>
      </c>
      <c r="F7058" s="2">
        <v>89605766.569999993</v>
      </c>
    </row>
    <row r="7059" spans="1:6" x14ac:dyDescent="0.25">
      <c r="A7059" s="1">
        <v>45139</v>
      </c>
      <c r="B7059" t="s">
        <v>118</v>
      </c>
      <c r="C7059" t="s">
        <v>172</v>
      </c>
      <c r="D7059">
        <v>0</v>
      </c>
      <c r="E7059" s="2">
        <v>34995</v>
      </c>
      <c r="F7059" s="2">
        <v>34995</v>
      </c>
    </row>
    <row r="7060" spans="1:6" x14ac:dyDescent="0.25">
      <c r="A7060" s="1">
        <v>45139</v>
      </c>
      <c r="B7060" t="s">
        <v>132</v>
      </c>
      <c r="C7060" t="s">
        <v>140</v>
      </c>
      <c r="D7060" s="2">
        <v>-640168.9</v>
      </c>
      <c r="E7060" s="2">
        <v>18080366.93</v>
      </c>
      <c r="F7060" s="2">
        <v>34364212.890000001</v>
      </c>
    </row>
    <row r="7061" spans="1:6" x14ac:dyDescent="0.25">
      <c r="A7061" s="1">
        <v>45139</v>
      </c>
      <c r="B7061" t="s">
        <v>490</v>
      </c>
      <c r="C7061" t="s">
        <v>1190</v>
      </c>
      <c r="D7061" s="2">
        <v>50225650</v>
      </c>
      <c r="E7061" s="2">
        <v>14562315</v>
      </c>
      <c r="F7061" s="2">
        <v>14562315</v>
      </c>
    </row>
    <row r="7062" spans="1:6" x14ac:dyDescent="0.25">
      <c r="A7062" s="1">
        <v>45139</v>
      </c>
      <c r="B7062" t="s">
        <v>105</v>
      </c>
      <c r="C7062" t="s">
        <v>310</v>
      </c>
      <c r="D7062">
        <v>0</v>
      </c>
      <c r="E7062">
        <v>0</v>
      </c>
      <c r="F7062">
        <v>0</v>
      </c>
    </row>
    <row r="7063" spans="1:6" x14ac:dyDescent="0.25">
      <c r="A7063" s="1">
        <v>45139</v>
      </c>
      <c r="B7063" t="s">
        <v>234</v>
      </c>
      <c r="C7063" t="s">
        <v>235</v>
      </c>
      <c r="D7063" s="2">
        <v>47171.26</v>
      </c>
      <c r="E7063" s="2">
        <v>1790.64</v>
      </c>
      <c r="F7063" s="2">
        <v>148294.22</v>
      </c>
    </row>
    <row r="7064" spans="1:6" x14ac:dyDescent="0.25">
      <c r="A7064" s="1">
        <v>45139</v>
      </c>
      <c r="B7064" t="s">
        <v>682</v>
      </c>
      <c r="C7064" t="s">
        <v>1067</v>
      </c>
      <c r="D7064" s="2">
        <v>234472.66</v>
      </c>
      <c r="E7064" s="2">
        <v>21400.45</v>
      </c>
      <c r="F7064" s="2">
        <v>22375.37</v>
      </c>
    </row>
    <row r="7065" spans="1:6" x14ac:dyDescent="0.25">
      <c r="A7065" s="1">
        <v>45139</v>
      </c>
      <c r="B7065" t="s">
        <v>154</v>
      </c>
      <c r="C7065" t="s">
        <v>354</v>
      </c>
      <c r="D7065">
        <v>0</v>
      </c>
      <c r="E7065" s="2">
        <v>1419623.8</v>
      </c>
      <c r="F7065" s="2">
        <v>1419623.8</v>
      </c>
    </row>
    <row r="7066" spans="1:6" x14ac:dyDescent="0.25">
      <c r="A7066" s="1">
        <v>45139</v>
      </c>
      <c r="B7066" t="s">
        <v>196</v>
      </c>
      <c r="C7066" t="s">
        <v>890</v>
      </c>
      <c r="D7066">
        <v>0</v>
      </c>
      <c r="E7066">
        <v>0</v>
      </c>
      <c r="F7066">
        <v>0</v>
      </c>
    </row>
    <row r="7067" spans="1:6" x14ac:dyDescent="0.25">
      <c r="A7067" s="1">
        <v>45139</v>
      </c>
      <c r="B7067" t="s">
        <v>726</v>
      </c>
      <c r="C7067" t="s">
        <v>961</v>
      </c>
      <c r="D7067" s="2">
        <v>83000</v>
      </c>
      <c r="E7067" s="2">
        <v>10574.45</v>
      </c>
      <c r="F7067" s="2">
        <v>5339.89</v>
      </c>
    </row>
    <row r="7068" spans="1:6" x14ac:dyDescent="0.25">
      <c r="A7068" s="1">
        <v>45139</v>
      </c>
      <c r="B7068" t="s">
        <v>159</v>
      </c>
      <c r="C7068" t="s">
        <v>525</v>
      </c>
      <c r="D7068" s="2">
        <v>-30000</v>
      </c>
      <c r="E7068" s="2">
        <v>110614.43</v>
      </c>
      <c r="F7068" s="2">
        <v>18723.57</v>
      </c>
    </row>
    <row r="7069" spans="1:6" x14ac:dyDescent="0.25">
      <c r="A7069" s="1">
        <v>45139</v>
      </c>
      <c r="B7069" t="s">
        <v>518</v>
      </c>
      <c r="C7069" t="s">
        <v>936</v>
      </c>
      <c r="D7069" s="2">
        <v>71110</v>
      </c>
      <c r="E7069">
        <v>0</v>
      </c>
      <c r="F7069">
        <v>0</v>
      </c>
    </row>
    <row r="7070" spans="1:6" x14ac:dyDescent="0.25">
      <c r="A7070" s="1">
        <v>45139</v>
      </c>
      <c r="B7070" t="s">
        <v>118</v>
      </c>
      <c r="C7070" t="s">
        <v>971</v>
      </c>
      <c r="D7070" s="2">
        <v>-174870.33</v>
      </c>
      <c r="E7070">
        <v>0</v>
      </c>
      <c r="F7070">
        <v>0</v>
      </c>
    </row>
    <row r="7071" spans="1:6" x14ac:dyDescent="0.25">
      <c r="A7071" s="1">
        <v>45139</v>
      </c>
      <c r="B7071" t="s">
        <v>21</v>
      </c>
      <c r="C7071" t="s">
        <v>1271</v>
      </c>
      <c r="D7071">
        <v>0</v>
      </c>
      <c r="E7071" s="2">
        <v>12257299.609999999</v>
      </c>
      <c r="F7071">
        <v>0</v>
      </c>
    </row>
    <row r="7072" spans="1:6" x14ac:dyDescent="0.25">
      <c r="A7072" s="1">
        <v>45139</v>
      </c>
      <c r="B7072" t="s">
        <v>407</v>
      </c>
      <c r="C7072" t="s">
        <v>408</v>
      </c>
      <c r="D7072">
        <v>0</v>
      </c>
      <c r="E7072">
        <v>357.95</v>
      </c>
      <c r="F7072">
        <v>357.95</v>
      </c>
    </row>
    <row r="7073" spans="1:6" x14ac:dyDescent="0.25">
      <c r="A7073" s="1">
        <v>45139</v>
      </c>
      <c r="B7073" t="s">
        <v>344</v>
      </c>
      <c r="C7073" t="s">
        <v>1148</v>
      </c>
      <c r="D7073" s="2">
        <v>34925.879999999997</v>
      </c>
      <c r="E7073" s="2">
        <v>14500</v>
      </c>
      <c r="F7073" s="2">
        <v>14500</v>
      </c>
    </row>
    <row r="7074" spans="1:6" x14ac:dyDescent="0.25">
      <c r="A7074" s="1">
        <v>45139</v>
      </c>
      <c r="B7074" t="s">
        <v>11</v>
      </c>
      <c r="C7074" t="s">
        <v>391</v>
      </c>
      <c r="D7074">
        <v>0</v>
      </c>
      <c r="E7074" s="2">
        <v>21259785.739999998</v>
      </c>
      <c r="F7074" s="2">
        <v>21259785.739999998</v>
      </c>
    </row>
    <row r="7075" spans="1:6" x14ac:dyDescent="0.25">
      <c r="A7075" s="1">
        <v>45139</v>
      </c>
      <c r="B7075" t="s">
        <v>21</v>
      </c>
      <c r="C7075" t="s">
        <v>994</v>
      </c>
      <c r="D7075">
        <v>0</v>
      </c>
      <c r="E7075" s="2">
        <v>332881.67</v>
      </c>
      <c r="F7075" s="2">
        <v>332881.67</v>
      </c>
    </row>
    <row r="7076" spans="1:6" x14ac:dyDescent="0.25">
      <c r="A7076" s="1">
        <v>45139</v>
      </c>
      <c r="B7076" t="s">
        <v>107</v>
      </c>
      <c r="C7076" t="s">
        <v>687</v>
      </c>
      <c r="D7076" s="2">
        <v>125569</v>
      </c>
      <c r="E7076" s="2">
        <v>74171.39</v>
      </c>
      <c r="F7076" s="2">
        <v>80103.64</v>
      </c>
    </row>
    <row r="7077" spans="1:6" x14ac:dyDescent="0.25">
      <c r="A7077" s="1">
        <v>45139</v>
      </c>
      <c r="B7077" t="s">
        <v>23</v>
      </c>
      <c r="C7077" t="s">
        <v>1012</v>
      </c>
      <c r="D7077" s="2">
        <v>5346892.58</v>
      </c>
      <c r="E7077" s="2">
        <v>11449.2</v>
      </c>
      <c r="F7077" s="2">
        <v>10056.94</v>
      </c>
    </row>
    <row r="7078" spans="1:6" x14ac:dyDescent="0.25">
      <c r="A7078" s="1">
        <v>45139</v>
      </c>
      <c r="B7078" t="s">
        <v>164</v>
      </c>
      <c r="C7078" t="s">
        <v>840</v>
      </c>
      <c r="D7078">
        <v>0</v>
      </c>
      <c r="E7078">
        <v>0</v>
      </c>
      <c r="F7078">
        <v>0</v>
      </c>
    </row>
    <row r="7079" spans="1:6" x14ac:dyDescent="0.25">
      <c r="A7079" s="1">
        <v>45139</v>
      </c>
      <c r="B7079" t="s">
        <v>422</v>
      </c>
      <c r="C7079" t="s">
        <v>1045</v>
      </c>
      <c r="D7079" s="2">
        <v>20786</v>
      </c>
      <c r="E7079">
        <v>0</v>
      </c>
      <c r="F7079">
        <v>0</v>
      </c>
    </row>
    <row r="7080" spans="1:6" x14ac:dyDescent="0.25">
      <c r="A7080" s="1">
        <v>45139</v>
      </c>
      <c r="B7080" t="s">
        <v>193</v>
      </c>
      <c r="C7080" t="s">
        <v>194</v>
      </c>
      <c r="D7080" s="2">
        <v>887633566.35000002</v>
      </c>
      <c r="E7080" s="2">
        <v>887633566.35000002</v>
      </c>
      <c r="F7080" s="2">
        <v>887633566.35000002</v>
      </c>
    </row>
    <row r="7081" spans="1:6" x14ac:dyDescent="0.25">
      <c r="A7081" s="1">
        <v>45139</v>
      </c>
      <c r="B7081" t="s">
        <v>68</v>
      </c>
      <c r="C7081" t="s">
        <v>221</v>
      </c>
      <c r="D7081" s="2">
        <v>-792683.38</v>
      </c>
      <c r="E7081" s="2">
        <v>10871044</v>
      </c>
      <c r="F7081" s="2">
        <v>4351283.91</v>
      </c>
    </row>
    <row r="7082" spans="1:6" x14ac:dyDescent="0.25">
      <c r="A7082" s="1">
        <v>45139</v>
      </c>
      <c r="B7082" t="s">
        <v>726</v>
      </c>
      <c r="C7082" t="s">
        <v>1011</v>
      </c>
      <c r="D7082" s="2">
        <v>13995.22</v>
      </c>
      <c r="E7082" s="2">
        <v>1022046.03</v>
      </c>
      <c r="F7082" s="2">
        <v>988040.34</v>
      </c>
    </row>
    <row r="7083" spans="1:6" x14ac:dyDescent="0.25">
      <c r="A7083" s="1">
        <v>45139</v>
      </c>
      <c r="B7083" t="s">
        <v>1058</v>
      </c>
      <c r="C7083" t="s">
        <v>1059</v>
      </c>
      <c r="D7083" s="2">
        <v>16237115.57</v>
      </c>
      <c r="E7083" s="2">
        <v>25476635.879999999</v>
      </c>
      <c r="F7083" s="2">
        <v>25476635.879999999</v>
      </c>
    </row>
    <row r="7084" spans="1:6" x14ac:dyDescent="0.25">
      <c r="A7084" s="1">
        <v>45139</v>
      </c>
      <c r="B7084" t="s">
        <v>518</v>
      </c>
      <c r="C7084" t="s">
        <v>906</v>
      </c>
      <c r="D7084" s="2">
        <v>1840.35</v>
      </c>
      <c r="E7084" s="2">
        <v>42961.38</v>
      </c>
      <c r="F7084" s="2">
        <v>54261.2</v>
      </c>
    </row>
    <row r="7085" spans="1:6" x14ac:dyDescent="0.25">
      <c r="A7085" s="1">
        <v>45139</v>
      </c>
      <c r="B7085" t="s">
        <v>31</v>
      </c>
      <c r="C7085" t="s">
        <v>1042</v>
      </c>
      <c r="D7085">
        <v>0</v>
      </c>
      <c r="E7085">
        <v>0</v>
      </c>
      <c r="F7085">
        <v>0</v>
      </c>
    </row>
    <row r="7086" spans="1:6" x14ac:dyDescent="0.25">
      <c r="A7086" s="1">
        <v>45139</v>
      </c>
      <c r="B7086" t="s">
        <v>31</v>
      </c>
      <c r="C7086" t="s">
        <v>558</v>
      </c>
      <c r="D7086">
        <v>0</v>
      </c>
      <c r="E7086">
        <v>0</v>
      </c>
      <c r="F7086">
        <v>0</v>
      </c>
    </row>
    <row r="7087" spans="1:6" x14ac:dyDescent="0.25">
      <c r="A7087" s="1">
        <v>45139</v>
      </c>
      <c r="B7087" t="s">
        <v>50</v>
      </c>
      <c r="C7087" t="s">
        <v>222</v>
      </c>
      <c r="D7087">
        <v>-149.55000000000001</v>
      </c>
      <c r="E7087" s="2">
        <v>1617.77</v>
      </c>
      <c r="F7087" s="2">
        <v>1617.77</v>
      </c>
    </row>
    <row r="7088" spans="1:6" x14ac:dyDescent="0.25">
      <c r="A7088" s="1">
        <v>45139</v>
      </c>
      <c r="B7088" t="s">
        <v>63</v>
      </c>
      <c r="C7088" t="s">
        <v>944</v>
      </c>
      <c r="D7088">
        <v>0</v>
      </c>
      <c r="E7088">
        <v>0</v>
      </c>
      <c r="F7088">
        <v>0</v>
      </c>
    </row>
    <row r="7089" spans="1:6" x14ac:dyDescent="0.25">
      <c r="A7089" s="1">
        <v>45139</v>
      </c>
      <c r="B7089" t="s">
        <v>42</v>
      </c>
      <c r="C7089" t="s">
        <v>893</v>
      </c>
      <c r="D7089" s="2">
        <v>-45352039.549999997</v>
      </c>
      <c r="E7089" s="2">
        <v>1240547960.45</v>
      </c>
      <c r="F7089" s="2">
        <v>1240547960.45</v>
      </c>
    </row>
    <row r="7090" spans="1:6" x14ac:dyDescent="0.25">
      <c r="A7090" s="1">
        <v>45139</v>
      </c>
      <c r="B7090" t="s">
        <v>344</v>
      </c>
      <c r="C7090" t="s">
        <v>1156</v>
      </c>
      <c r="D7090">
        <v>0</v>
      </c>
      <c r="E7090" s="2">
        <v>6246.89</v>
      </c>
      <c r="F7090" s="2">
        <v>1589.83</v>
      </c>
    </row>
    <row r="7091" spans="1:6" x14ac:dyDescent="0.25">
      <c r="A7091" s="1">
        <v>45139</v>
      </c>
      <c r="B7091" t="s">
        <v>50</v>
      </c>
      <c r="C7091" t="s">
        <v>594</v>
      </c>
      <c r="D7091" s="2">
        <v>83465.7</v>
      </c>
      <c r="E7091" s="2">
        <v>11149004.82</v>
      </c>
      <c r="F7091" s="2">
        <v>11257151.529999999</v>
      </c>
    </row>
    <row r="7092" spans="1:6" x14ac:dyDescent="0.25">
      <c r="A7092" s="1">
        <v>45139</v>
      </c>
      <c r="B7092" t="s">
        <v>261</v>
      </c>
      <c r="C7092" t="s">
        <v>34</v>
      </c>
      <c r="D7092">
        <v>0</v>
      </c>
      <c r="E7092">
        <v>0</v>
      </c>
      <c r="F7092">
        <v>0</v>
      </c>
    </row>
    <row r="7093" spans="1:6" x14ac:dyDescent="0.25">
      <c r="A7093" s="1">
        <v>45139</v>
      </c>
      <c r="B7093" t="s">
        <v>306</v>
      </c>
      <c r="C7093" t="s">
        <v>702</v>
      </c>
      <c r="D7093" s="2">
        <v>2502629.15</v>
      </c>
      <c r="E7093" s="2">
        <v>619239.61</v>
      </c>
      <c r="F7093" s="2">
        <v>746867.66</v>
      </c>
    </row>
    <row r="7094" spans="1:6" x14ac:dyDescent="0.25">
      <c r="A7094" s="1">
        <v>45139</v>
      </c>
      <c r="B7094" t="s">
        <v>278</v>
      </c>
      <c r="C7094" t="s">
        <v>395</v>
      </c>
      <c r="D7094">
        <v>0</v>
      </c>
      <c r="E7094" s="2">
        <v>3094218.16</v>
      </c>
      <c r="F7094" s="2">
        <v>3094218.16</v>
      </c>
    </row>
    <row r="7095" spans="1:6" x14ac:dyDescent="0.25">
      <c r="A7095" s="1">
        <v>45139</v>
      </c>
      <c r="B7095" t="s">
        <v>278</v>
      </c>
      <c r="C7095" t="s">
        <v>572</v>
      </c>
      <c r="D7095" s="2">
        <v>180152785.63</v>
      </c>
      <c r="E7095" s="2">
        <v>208621850.08000001</v>
      </c>
      <c r="F7095" s="2">
        <v>208296850.08000001</v>
      </c>
    </row>
    <row r="7096" spans="1:6" x14ac:dyDescent="0.25">
      <c r="A7096" s="1">
        <v>45139</v>
      </c>
      <c r="B7096" t="s">
        <v>53</v>
      </c>
      <c r="C7096" t="s">
        <v>54</v>
      </c>
      <c r="D7096">
        <v>0</v>
      </c>
      <c r="E7096" s="2">
        <v>231859665.65000001</v>
      </c>
      <c r="F7096" s="2">
        <v>231859665.65000001</v>
      </c>
    </row>
    <row r="7097" spans="1:6" x14ac:dyDescent="0.25">
      <c r="A7097" s="1">
        <v>45139</v>
      </c>
      <c r="B7097" t="s">
        <v>105</v>
      </c>
      <c r="C7097" t="s">
        <v>393</v>
      </c>
      <c r="D7097">
        <v>0</v>
      </c>
      <c r="E7097" s="2">
        <v>96681.600000000006</v>
      </c>
      <c r="F7097" s="2">
        <v>86688.94</v>
      </c>
    </row>
    <row r="7098" spans="1:6" x14ac:dyDescent="0.25">
      <c r="A7098" s="1">
        <v>45139</v>
      </c>
      <c r="B7098" t="s">
        <v>37</v>
      </c>
      <c r="C7098" t="s">
        <v>38</v>
      </c>
      <c r="D7098">
        <v>0</v>
      </c>
      <c r="E7098" s="2">
        <v>122106323.26000001</v>
      </c>
      <c r="F7098" s="2">
        <v>122106323.26000001</v>
      </c>
    </row>
    <row r="7099" spans="1:6" x14ac:dyDescent="0.25">
      <c r="A7099" s="1">
        <v>45139</v>
      </c>
      <c r="B7099" t="s">
        <v>40</v>
      </c>
      <c r="C7099" t="s">
        <v>695</v>
      </c>
      <c r="D7099">
        <v>-206.4</v>
      </c>
      <c r="E7099" s="2">
        <v>61479.66</v>
      </c>
      <c r="F7099" s="2">
        <v>3019.7</v>
      </c>
    </row>
    <row r="7100" spans="1:6" x14ac:dyDescent="0.25">
      <c r="A7100" s="1">
        <v>45139</v>
      </c>
      <c r="B7100" t="s">
        <v>405</v>
      </c>
      <c r="C7100" t="s">
        <v>1324</v>
      </c>
      <c r="D7100" s="2">
        <v>500000</v>
      </c>
      <c r="E7100">
        <v>0</v>
      </c>
      <c r="F7100">
        <v>0</v>
      </c>
    </row>
    <row r="7101" spans="1:6" x14ac:dyDescent="0.25">
      <c r="A7101" s="1">
        <v>45139</v>
      </c>
      <c r="B7101" t="s">
        <v>118</v>
      </c>
      <c r="C7101" t="s">
        <v>511</v>
      </c>
      <c r="D7101" s="2">
        <v>175540</v>
      </c>
      <c r="E7101" s="2">
        <v>40385.94</v>
      </c>
      <c r="F7101" s="2">
        <v>38416.26</v>
      </c>
    </row>
    <row r="7102" spans="1:6" x14ac:dyDescent="0.25">
      <c r="A7102" s="1">
        <v>45139</v>
      </c>
      <c r="B7102" t="s">
        <v>490</v>
      </c>
      <c r="C7102" t="s">
        <v>491</v>
      </c>
      <c r="D7102" s="2">
        <v>54820847.130000003</v>
      </c>
      <c r="E7102" s="2">
        <v>61719529.939999998</v>
      </c>
      <c r="F7102" s="2">
        <v>61719529.939999998</v>
      </c>
    </row>
    <row r="7103" spans="1:6" x14ac:dyDescent="0.25">
      <c r="A7103" s="1">
        <v>45139</v>
      </c>
      <c r="B7103" t="s">
        <v>98</v>
      </c>
      <c r="C7103" t="s">
        <v>1307</v>
      </c>
      <c r="D7103">
        <v>0</v>
      </c>
      <c r="E7103">
        <v>0</v>
      </c>
      <c r="F7103">
        <v>0</v>
      </c>
    </row>
    <row r="7104" spans="1:6" x14ac:dyDescent="0.25">
      <c r="A7104" s="1">
        <v>45139</v>
      </c>
      <c r="B7104" t="s">
        <v>288</v>
      </c>
      <c r="C7104" t="s">
        <v>480</v>
      </c>
      <c r="D7104" s="2">
        <v>4139.08</v>
      </c>
      <c r="E7104" s="2">
        <v>4139.08</v>
      </c>
      <c r="F7104" s="2">
        <v>6674.08</v>
      </c>
    </row>
    <row r="7105" spans="1:6" x14ac:dyDescent="0.25">
      <c r="A7105" s="1">
        <v>45139</v>
      </c>
      <c r="B7105" t="s">
        <v>251</v>
      </c>
      <c r="C7105" t="s">
        <v>252</v>
      </c>
      <c r="D7105" s="2">
        <v>1937594.92</v>
      </c>
      <c r="E7105" s="2">
        <v>1937594.92</v>
      </c>
      <c r="F7105" s="2">
        <v>1937594.92</v>
      </c>
    </row>
    <row r="7106" spans="1:6" x14ac:dyDescent="0.25">
      <c r="A7106" s="1">
        <v>45139</v>
      </c>
      <c r="B7106" t="s">
        <v>21</v>
      </c>
      <c r="C7106" t="s">
        <v>242</v>
      </c>
      <c r="D7106">
        <v>0</v>
      </c>
      <c r="E7106" s="2">
        <v>295173.27</v>
      </c>
      <c r="F7106" s="2">
        <v>295173.27</v>
      </c>
    </row>
    <row r="7107" spans="1:6" x14ac:dyDescent="0.25">
      <c r="A7107" s="1">
        <v>45139</v>
      </c>
      <c r="B7107" t="s">
        <v>21</v>
      </c>
      <c r="C7107" t="s">
        <v>795</v>
      </c>
      <c r="D7107" s="2">
        <v>160000</v>
      </c>
      <c r="E7107" s="2">
        <v>178127.64</v>
      </c>
      <c r="F7107" s="2">
        <v>180019.42</v>
      </c>
    </row>
    <row r="7108" spans="1:6" x14ac:dyDescent="0.25">
      <c r="A7108" s="1">
        <v>45139</v>
      </c>
      <c r="B7108" t="s">
        <v>21</v>
      </c>
      <c r="C7108" t="s">
        <v>276</v>
      </c>
      <c r="D7108" s="2">
        <v>9278471.5199999996</v>
      </c>
      <c r="E7108" s="2">
        <v>102296.42</v>
      </c>
      <c r="F7108" s="2">
        <v>102296.42</v>
      </c>
    </row>
    <row r="7109" spans="1:6" x14ac:dyDescent="0.25">
      <c r="A7109" s="1">
        <v>45139</v>
      </c>
      <c r="B7109" t="s">
        <v>21</v>
      </c>
      <c r="C7109" t="s">
        <v>973</v>
      </c>
      <c r="D7109" s="2">
        <v>60000000</v>
      </c>
      <c r="E7109" s="2">
        <v>17318056.890000001</v>
      </c>
      <c r="F7109" s="2">
        <v>17318056.890000001</v>
      </c>
    </row>
    <row r="7110" spans="1:6" x14ac:dyDescent="0.25">
      <c r="A7110" s="1">
        <v>45139</v>
      </c>
      <c r="B7110" t="s">
        <v>40</v>
      </c>
      <c r="C7110" t="s">
        <v>802</v>
      </c>
      <c r="D7110" s="2">
        <v>41450000</v>
      </c>
      <c r="E7110" s="2">
        <v>612781.89</v>
      </c>
      <c r="F7110" s="2">
        <v>193023613.09999999</v>
      </c>
    </row>
    <row r="7111" spans="1:6" x14ac:dyDescent="0.25">
      <c r="A7111" s="1">
        <v>45139</v>
      </c>
      <c r="B7111" t="s">
        <v>159</v>
      </c>
      <c r="C7111" t="s">
        <v>302</v>
      </c>
      <c r="D7111" s="2">
        <v>-12485.09</v>
      </c>
      <c r="E7111" s="2">
        <v>-3126.66</v>
      </c>
      <c r="F7111" s="2">
        <v>-3126.66</v>
      </c>
    </row>
    <row r="7112" spans="1:6" x14ac:dyDescent="0.25">
      <c r="A7112" s="1">
        <v>45139</v>
      </c>
      <c r="B7112" t="s">
        <v>1325</v>
      </c>
      <c r="C7112" t="s">
        <v>238</v>
      </c>
      <c r="D7112">
        <v>0</v>
      </c>
      <c r="E7112">
        <v>0</v>
      </c>
      <c r="F7112">
        <v>0</v>
      </c>
    </row>
    <row r="7113" spans="1:6" x14ac:dyDescent="0.25">
      <c r="A7113" s="1">
        <v>45139</v>
      </c>
      <c r="B7113" t="s">
        <v>68</v>
      </c>
      <c r="C7113" t="s">
        <v>503</v>
      </c>
      <c r="D7113" s="2">
        <v>27375268</v>
      </c>
      <c r="E7113" s="2">
        <v>12977694.789999999</v>
      </c>
      <c r="F7113" s="2">
        <v>12977694.789999999</v>
      </c>
    </row>
    <row r="7114" spans="1:6" x14ac:dyDescent="0.25">
      <c r="A7114" s="1">
        <v>45139</v>
      </c>
      <c r="B7114" t="s">
        <v>17</v>
      </c>
      <c r="C7114" t="s">
        <v>303</v>
      </c>
      <c r="D7114" s="2">
        <v>163259716.81</v>
      </c>
      <c r="E7114" s="2">
        <v>38397918.049999997</v>
      </c>
      <c r="F7114" s="2">
        <v>47315081.490000002</v>
      </c>
    </row>
    <row r="7115" spans="1:6" x14ac:dyDescent="0.25">
      <c r="A7115" s="1">
        <v>45139</v>
      </c>
      <c r="B7115" t="s">
        <v>193</v>
      </c>
      <c r="C7115" t="s">
        <v>1204</v>
      </c>
      <c r="D7115" s="2">
        <v>102352.98</v>
      </c>
      <c r="E7115" s="2">
        <v>94588.27</v>
      </c>
      <c r="F7115" s="2">
        <v>94588.27</v>
      </c>
    </row>
    <row r="7116" spans="1:6" x14ac:dyDescent="0.25">
      <c r="A7116" s="1">
        <v>45139</v>
      </c>
      <c r="B7116" t="s">
        <v>53</v>
      </c>
      <c r="C7116" t="s">
        <v>669</v>
      </c>
      <c r="D7116">
        <v>0</v>
      </c>
      <c r="E7116" s="2">
        <v>159296734.06999999</v>
      </c>
      <c r="F7116" s="2">
        <v>159201501.97999999</v>
      </c>
    </row>
    <row r="7117" spans="1:6" x14ac:dyDescent="0.25">
      <c r="A7117" s="1">
        <v>45139</v>
      </c>
      <c r="B7117" t="s">
        <v>25</v>
      </c>
      <c r="C7117" t="s">
        <v>324</v>
      </c>
      <c r="D7117">
        <v>0</v>
      </c>
      <c r="E7117" s="2">
        <v>1648248.93</v>
      </c>
      <c r="F7117" s="2">
        <v>1648248.93</v>
      </c>
    </row>
    <row r="7118" spans="1:6" x14ac:dyDescent="0.25">
      <c r="A7118" s="1">
        <v>45139</v>
      </c>
      <c r="B7118" t="s">
        <v>162</v>
      </c>
      <c r="C7118" t="s">
        <v>621</v>
      </c>
      <c r="D7118" s="2">
        <v>2628663.0299999998</v>
      </c>
      <c r="E7118" s="2">
        <v>3150813.03</v>
      </c>
      <c r="F7118" s="2">
        <v>2654396.5099999998</v>
      </c>
    </row>
    <row r="7119" spans="1:6" x14ac:dyDescent="0.25">
      <c r="A7119" s="1">
        <v>45139</v>
      </c>
      <c r="B7119" t="s">
        <v>17</v>
      </c>
      <c r="C7119" t="s">
        <v>67</v>
      </c>
      <c r="D7119">
        <v>0</v>
      </c>
      <c r="E7119" s="2">
        <v>1353725</v>
      </c>
      <c r="F7119" s="2">
        <v>1448125</v>
      </c>
    </row>
    <row r="7120" spans="1:6" x14ac:dyDescent="0.25">
      <c r="A7120" s="1">
        <v>45139</v>
      </c>
      <c r="B7120" t="s">
        <v>50</v>
      </c>
      <c r="C7120" t="s">
        <v>520</v>
      </c>
      <c r="D7120">
        <v>0</v>
      </c>
      <c r="E7120">
        <v>0</v>
      </c>
      <c r="F7120">
        <v>0</v>
      </c>
    </row>
    <row r="7121" spans="1:6" x14ac:dyDescent="0.25">
      <c r="A7121" s="1">
        <v>45139</v>
      </c>
      <c r="B7121" t="s">
        <v>118</v>
      </c>
      <c r="C7121" t="s">
        <v>742</v>
      </c>
      <c r="D7121" s="2">
        <v>373337.98</v>
      </c>
      <c r="E7121" s="2">
        <v>326353.82</v>
      </c>
      <c r="F7121" s="2">
        <v>443204.59</v>
      </c>
    </row>
    <row r="7122" spans="1:6" x14ac:dyDescent="0.25">
      <c r="A7122" s="1">
        <v>45139</v>
      </c>
      <c r="B7122" t="s">
        <v>21</v>
      </c>
      <c r="C7122" t="s">
        <v>238</v>
      </c>
      <c r="D7122" s="2">
        <v>1547496</v>
      </c>
      <c r="E7122" s="2">
        <v>638010.01</v>
      </c>
      <c r="F7122" s="2">
        <v>183597.07</v>
      </c>
    </row>
    <row r="7123" spans="1:6" x14ac:dyDescent="0.25">
      <c r="A7123" s="1">
        <v>45139</v>
      </c>
      <c r="B7123" t="s">
        <v>50</v>
      </c>
      <c r="C7123" t="s">
        <v>787</v>
      </c>
      <c r="D7123" s="2">
        <v>242840513.44999999</v>
      </c>
      <c r="E7123" s="2">
        <v>6397467.6200000001</v>
      </c>
      <c r="F7123" s="2">
        <v>5901414.5899999999</v>
      </c>
    </row>
    <row r="7124" spans="1:6" x14ac:dyDescent="0.25">
      <c r="A7124" s="1">
        <v>45139</v>
      </c>
      <c r="B7124" t="s">
        <v>65</v>
      </c>
      <c r="C7124" t="s">
        <v>883</v>
      </c>
      <c r="D7124" s="2">
        <v>16351886.25</v>
      </c>
      <c r="E7124" s="2">
        <v>288676.15000000002</v>
      </c>
      <c r="F7124" s="2">
        <v>356434.8</v>
      </c>
    </row>
    <row r="7125" spans="1:6" x14ac:dyDescent="0.25">
      <c r="A7125" s="1">
        <v>45139</v>
      </c>
      <c r="B7125" t="s">
        <v>27</v>
      </c>
      <c r="C7125" t="s">
        <v>280</v>
      </c>
      <c r="D7125">
        <v>0</v>
      </c>
      <c r="E7125">
        <v>0</v>
      </c>
      <c r="F7125">
        <v>0</v>
      </c>
    </row>
    <row r="7126" spans="1:6" x14ac:dyDescent="0.25">
      <c r="A7126" s="1">
        <v>45139</v>
      </c>
      <c r="B7126" t="s">
        <v>19</v>
      </c>
      <c r="C7126" t="s">
        <v>1002</v>
      </c>
      <c r="D7126" s="2">
        <v>102859.66</v>
      </c>
      <c r="E7126" s="2">
        <v>52656.81</v>
      </c>
      <c r="F7126" s="2">
        <v>50422.1</v>
      </c>
    </row>
    <row r="7127" spans="1:6" x14ac:dyDescent="0.25">
      <c r="A7127" s="1">
        <v>45139</v>
      </c>
      <c r="B7127" t="s">
        <v>21</v>
      </c>
      <c r="C7127" t="s">
        <v>1297</v>
      </c>
      <c r="D7127">
        <v>0</v>
      </c>
      <c r="E7127" s="2">
        <v>313337.93</v>
      </c>
      <c r="F7127" s="2">
        <v>313337.93</v>
      </c>
    </row>
    <row r="7128" spans="1:6" x14ac:dyDescent="0.25">
      <c r="A7128" s="1">
        <v>45139</v>
      </c>
      <c r="B7128" t="s">
        <v>37</v>
      </c>
      <c r="C7128" t="s">
        <v>809</v>
      </c>
      <c r="D7128" s="2">
        <v>45050.44</v>
      </c>
      <c r="E7128" s="2">
        <v>886539.33</v>
      </c>
      <c r="F7128" s="2">
        <v>722272.66</v>
      </c>
    </row>
    <row r="7129" spans="1:6" x14ac:dyDescent="0.25">
      <c r="A7129" s="1">
        <v>45139</v>
      </c>
      <c r="B7129" t="s">
        <v>118</v>
      </c>
      <c r="C7129" t="s">
        <v>389</v>
      </c>
      <c r="D7129">
        <v>0</v>
      </c>
      <c r="E7129" s="2">
        <v>424271.79</v>
      </c>
      <c r="F7129" s="2">
        <v>433848.46</v>
      </c>
    </row>
    <row r="7130" spans="1:6" x14ac:dyDescent="0.25">
      <c r="A7130" s="1">
        <v>45139</v>
      </c>
      <c r="B7130" t="s">
        <v>159</v>
      </c>
      <c r="C7130" t="s">
        <v>360</v>
      </c>
      <c r="D7130" s="2">
        <v>890000</v>
      </c>
      <c r="E7130" s="2">
        <v>863812.96</v>
      </c>
      <c r="F7130" s="2">
        <v>863812.96</v>
      </c>
    </row>
    <row r="7131" spans="1:6" x14ac:dyDescent="0.25">
      <c r="A7131" s="1">
        <v>45139</v>
      </c>
      <c r="B7131" t="s">
        <v>278</v>
      </c>
      <c r="C7131" t="s">
        <v>626</v>
      </c>
      <c r="D7131" s="2">
        <v>1310132</v>
      </c>
      <c r="E7131" s="2">
        <v>557971210.11000001</v>
      </c>
      <c r="F7131" s="2">
        <v>3596469841</v>
      </c>
    </row>
    <row r="7132" spans="1:6" x14ac:dyDescent="0.25">
      <c r="A7132" s="1">
        <v>45139</v>
      </c>
      <c r="B7132" t="s">
        <v>929</v>
      </c>
      <c r="C7132" t="s">
        <v>1014</v>
      </c>
      <c r="D7132">
        <v>0</v>
      </c>
      <c r="E7132">
        <v>0</v>
      </c>
      <c r="F7132">
        <v>0</v>
      </c>
    </row>
    <row r="7133" spans="1:6" x14ac:dyDescent="0.25">
      <c r="A7133" s="1">
        <v>45139</v>
      </c>
      <c r="B7133" t="s">
        <v>46</v>
      </c>
      <c r="C7133" t="s">
        <v>820</v>
      </c>
      <c r="D7133" s="2">
        <v>800000</v>
      </c>
      <c r="E7133" s="2">
        <v>706544.01</v>
      </c>
      <c r="F7133" s="2">
        <v>706544.01</v>
      </c>
    </row>
    <row r="7134" spans="1:6" x14ac:dyDescent="0.25">
      <c r="A7134" s="1">
        <v>45139</v>
      </c>
      <c r="B7134" t="s">
        <v>46</v>
      </c>
      <c r="C7134" t="s">
        <v>424</v>
      </c>
      <c r="D7134" s="2">
        <v>6070356</v>
      </c>
      <c r="E7134" s="2">
        <v>86330.95</v>
      </c>
      <c r="F7134" s="2">
        <v>19202.37</v>
      </c>
    </row>
    <row r="7135" spans="1:6" x14ac:dyDescent="0.25">
      <c r="A7135" s="1">
        <v>45139</v>
      </c>
      <c r="B7135" t="s">
        <v>288</v>
      </c>
      <c r="C7135" t="s">
        <v>521</v>
      </c>
      <c r="D7135">
        <v>0</v>
      </c>
      <c r="E7135">
        <v>0</v>
      </c>
      <c r="F7135">
        <v>0</v>
      </c>
    </row>
    <row r="7136" spans="1:6" x14ac:dyDescent="0.25">
      <c r="A7136" s="1">
        <v>45139</v>
      </c>
      <c r="B7136" t="s">
        <v>282</v>
      </c>
      <c r="C7136" t="s">
        <v>664</v>
      </c>
      <c r="D7136">
        <v>0</v>
      </c>
      <c r="E7136" s="2">
        <v>843494338.38999999</v>
      </c>
      <c r="F7136" s="2">
        <v>843493738.38999999</v>
      </c>
    </row>
    <row r="7137" spans="1:6" x14ac:dyDescent="0.25">
      <c r="A7137" s="1">
        <v>45139</v>
      </c>
      <c r="B7137" t="s">
        <v>21</v>
      </c>
      <c r="C7137" t="s">
        <v>970</v>
      </c>
      <c r="D7137" s="2">
        <v>17815374.859999999</v>
      </c>
      <c r="E7137" s="2">
        <v>385424.67</v>
      </c>
      <c r="F7137" s="2">
        <v>385424.67</v>
      </c>
    </row>
    <row r="7138" spans="1:6" x14ac:dyDescent="0.25">
      <c r="A7138" s="1">
        <v>45139</v>
      </c>
      <c r="B7138" t="s">
        <v>40</v>
      </c>
      <c r="C7138" t="s">
        <v>149</v>
      </c>
      <c r="D7138" s="2">
        <v>2785381.1</v>
      </c>
      <c r="E7138" s="2">
        <v>2678494.75</v>
      </c>
      <c r="F7138" s="2">
        <v>2618753.98</v>
      </c>
    </row>
    <row r="7139" spans="1:6" x14ac:dyDescent="0.25">
      <c r="A7139" s="1">
        <v>45139</v>
      </c>
      <c r="B7139" t="s">
        <v>37</v>
      </c>
      <c r="C7139" t="s">
        <v>647</v>
      </c>
      <c r="D7139" s="2">
        <v>51379.040000000001</v>
      </c>
      <c r="E7139" s="2">
        <v>39973.64</v>
      </c>
      <c r="F7139" s="2">
        <v>17663.64</v>
      </c>
    </row>
    <row r="7140" spans="1:6" x14ac:dyDescent="0.25">
      <c r="A7140" s="1">
        <v>45139</v>
      </c>
      <c r="B7140" t="s">
        <v>35</v>
      </c>
      <c r="C7140" t="s">
        <v>632</v>
      </c>
      <c r="D7140" s="2">
        <v>468213.17</v>
      </c>
      <c r="E7140" s="2">
        <v>292115.3</v>
      </c>
      <c r="F7140" s="2">
        <v>291814.58</v>
      </c>
    </row>
    <row r="7141" spans="1:6" x14ac:dyDescent="0.25">
      <c r="A7141" s="1">
        <v>45139</v>
      </c>
      <c r="B7141" t="s">
        <v>17</v>
      </c>
      <c r="C7141" t="s">
        <v>935</v>
      </c>
      <c r="D7141">
        <v>0</v>
      </c>
      <c r="E7141">
        <v>0</v>
      </c>
      <c r="F7141" s="2">
        <v>15400</v>
      </c>
    </row>
    <row r="7142" spans="1:6" x14ac:dyDescent="0.25">
      <c r="A7142" s="1">
        <v>45139</v>
      </c>
      <c r="B7142" t="s">
        <v>23</v>
      </c>
      <c r="C7142" t="s">
        <v>1165</v>
      </c>
      <c r="D7142">
        <v>0</v>
      </c>
      <c r="E7142">
        <v>0</v>
      </c>
      <c r="F7142">
        <v>0</v>
      </c>
    </row>
    <row r="7143" spans="1:6" x14ac:dyDescent="0.25">
      <c r="A7143" s="1">
        <v>45139</v>
      </c>
      <c r="B7143" t="s">
        <v>355</v>
      </c>
      <c r="C7143" t="s">
        <v>417</v>
      </c>
      <c r="D7143" s="2">
        <v>260000</v>
      </c>
      <c r="E7143" s="2">
        <v>253919.95</v>
      </c>
      <c r="F7143" s="2">
        <v>253919.95</v>
      </c>
    </row>
    <row r="7144" spans="1:6" x14ac:dyDescent="0.25">
      <c r="A7144" s="1">
        <v>45139</v>
      </c>
      <c r="B7144" t="s">
        <v>105</v>
      </c>
      <c r="C7144" t="s">
        <v>1109</v>
      </c>
      <c r="D7144">
        <v>0</v>
      </c>
      <c r="E7144" s="2">
        <v>299358.09999999998</v>
      </c>
      <c r="F7144" s="2">
        <v>299358.09999999998</v>
      </c>
    </row>
    <row r="7145" spans="1:6" x14ac:dyDescent="0.25">
      <c r="A7145" s="1">
        <v>45139</v>
      </c>
      <c r="B7145" t="s">
        <v>17</v>
      </c>
      <c r="C7145" t="s">
        <v>268</v>
      </c>
      <c r="D7145">
        <v>0</v>
      </c>
      <c r="E7145">
        <v>0</v>
      </c>
      <c r="F7145">
        <v>0</v>
      </c>
    </row>
    <row r="7146" spans="1:6" x14ac:dyDescent="0.25">
      <c r="A7146" s="1">
        <v>45139</v>
      </c>
      <c r="B7146" t="s">
        <v>40</v>
      </c>
      <c r="C7146" t="s">
        <v>388</v>
      </c>
      <c r="D7146" s="2">
        <v>214120.05</v>
      </c>
      <c r="E7146" s="2">
        <v>75108.23</v>
      </c>
      <c r="F7146" s="2">
        <v>6076.36</v>
      </c>
    </row>
    <row r="7147" spans="1:6" x14ac:dyDescent="0.25">
      <c r="A7147" s="1">
        <v>45139</v>
      </c>
      <c r="B7147" t="s">
        <v>154</v>
      </c>
      <c r="C7147" t="s">
        <v>716</v>
      </c>
      <c r="D7147" s="2">
        <v>49172.9</v>
      </c>
      <c r="E7147" s="2">
        <v>514923.1</v>
      </c>
      <c r="F7147" s="2">
        <v>495049.46</v>
      </c>
    </row>
    <row r="7148" spans="1:6" x14ac:dyDescent="0.25">
      <c r="A7148" s="1">
        <v>45139</v>
      </c>
      <c r="B7148" t="s">
        <v>21</v>
      </c>
      <c r="C7148" t="s">
        <v>463</v>
      </c>
      <c r="D7148">
        <v>0</v>
      </c>
      <c r="E7148" s="2">
        <v>127968.29</v>
      </c>
      <c r="F7148" s="2">
        <v>127968.29</v>
      </c>
    </row>
    <row r="7149" spans="1:6" x14ac:dyDescent="0.25">
      <c r="A7149" s="1">
        <v>45139</v>
      </c>
      <c r="B7149" t="s">
        <v>11</v>
      </c>
      <c r="C7149" t="s">
        <v>83</v>
      </c>
      <c r="D7149">
        <v>0</v>
      </c>
      <c r="E7149" s="2">
        <v>6955790066.4499998</v>
      </c>
      <c r="F7149" s="2">
        <v>6955790066.4499998</v>
      </c>
    </row>
    <row r="7150" spans="1:6" x14ac:dyDescent="0.25">
      <c r="A7150" s="1">
        <v>45139</v>
      </c>
      <c r="B7150" t="s">
        <v>296</v>
      </c>
      <c r="C7150" t="s">
        <v>470</v>
      </c>
      <c r="D7150" s="2">
        <v>301147.63</v>
      </c>
      <c r="E7150" s="2">
        <v>43051073.560000002</v>
      </c>
      <c r="F7150" s="2">
        <v>41853849.170000002</v>
      </c>
    </row>
    <row r="7151" spans="1:6" x14ac:dyDescent="0.25">
      <c r="A7151" s="1">
        <v>45139</v>
      </c>
      <c r="B7151" t="s">
        <v>21</v>
      </c>
      <c r="C7151" t="s">
        <v>406</v>
      </c>
      <c r="D7151" s="2">
        <v>120000000</v>
      </c>
      <c r="E7151" s="2">
        <v>8062050.4000000004</v>
      </c>
      <c r="F7151" s="2">
        <v>8062050.4000000004</v>
      </c>
    </row>
    <row r="7152" spans="1:6" x14ac:dyDescent="0.25">
      <c r="A7152" s="1">
        <v>45139</v>
      </c>
      <c r="B7152" t="s">
        <v>118</v>
      </c>
      <c r="C7152" t="s">
        <v>379</v>
      </c>
      <c r="D7152">
        <v>0</v>
      </c>
      <c r="E7152" s="2">
        <v>1749.21</v>
      </c>
      <c r="F7152">
        <v>0</v>
      </c>
    </row>
    <row r="7153" spans="1:6" x14ac:dyDescent="0.25">
      <c r="A7153" s="1">
        <v>45139</v>
      </c>
      <c r="B7153" t="s">
        <v>120</v>
      </c>
      <c r="C7153" t="s">
        <v>121</v>
      </c>
      <c r="D7153">
        <v>0</v>
      </c>
      <c r="E7153" s="2">
        <v>25938.97</v>
      </c>
      <c r="F7153" s="2">
        <v>32808.720000000001</v>
      </c>
    </row>
    <row r="7154" spans="1:6" x14ac:dyDescent="0.25">
      <c r="A7154" s="1">
        <v>45139</v>
      </c>
      <c r="B7154" t="s">
        <v>213</v>
      </c>
      <c r="C7154" t="s">
        <v>533</v>
      </c>
      <c r="D7154" s="2">
        <v>361023227.43000001</v>
      </c>
      <c r="E7154">
        <v>0</v>
      </c>
      <c r="F7154">
        <v>0</v>
      </c>
    </row>
    <row r="7155" spans="1:6" x14ac:dyDescent="0.25">
      <c r="A7155" s="1">
        <v>45139</v>
      </c>
      <c r="B7155" t="s">
        <v>282</v>
      </c>
      <c r="C7155" t="s">
        <v>571</v>
      </c>
      <c r="D7155">
        <v>0</v>
      </c>
      <c r="E7155" s="2">
        <v>109930.93</v>
      </c>
      <c r="F7155" s="2">
        <v>109930.93</v>
      </c>
    </row>
    <row r="7156" spans="1:6" x14ac:dyDescent="0.25">
      <c r="A7156" s="1">
        <v>45139</v>
      </c>
      <c r="B7156" t="s">
        <v>11</v>
      </c>
      <c r="C7156" t="s">
        <v>195</v>
      </c>
      <c r="D7156">
        <v>0</v>
      </c>
      <c r="E7156">
        <v>0</v>
      </c>
      <c r="F7156" s="2">
        <v>347205027.75999999</v>
      </c>
    </row>
    <row r="7157" spans="1:6" x14ac:dyDescent="0.25">
      <c r="A7157" s="1">
        <v>45139</v>
      </c>
      <c r="B7157" t="s">
        <v>44</v>
      </c>
      <c r="C7157" t="s">
        <v>723</v>
      </c>
      <c r="D7157" s="2">
        <v>2485700</v>
      </c>
      <c r="E7157" s="2">
        <v>461001.13</v>
      </c>
      <c r="F7157" s="2">
        <v>447016.08</v>
      </c>
    </row>
    <row r="7158" spans="1:6" x14ac:dyDescent="0.25">
      <c r="A7158" s="1">
        <v>45139</v>
      </c>
      <c r="B7158" t="s">
        <v>63</v>
      </c>
      <c r="C7158" t="s">
        <v>483</v>
      </c>
      <c r="D7158">
        <v>0</v>
      </c>
      <c r="E7158">
        <v>0</v>
      </c>
      <c r="F7158">
        <v>0</v>
      </c>
    </row>
    <row r="7159" spans="1:6" x14ac:dyDescent="0.25">
      <c r="A7159" s="1">
        <v>45139</v>
      </c>
      <c r="B7159" t="s">
        <v>23</v>
      </c>
      <c r="C7159" t="s">
        <v>131</v>
      </c>
      <c r="D7159" s="2">
        <v>1110841.29</v>
      </c>
      <c r="E7159" s="2">
        <v>284149.57</v>
      </c>
      <c r="F7159" s="2">
        <v>437503.09</v>
      </c>
    </row>
    <row r="7160" spans="1:6" x14ac:dyDescent="0.25">
      <c r="A7160" s="1">
        <v>45139</v>
      </c>
      <c r="B7160" t="s">
        <v>31</v>
      </c>
      <c r="C7160" t="s">
        <v>972</v>
      </c>
      <c r="D7160">
        <v>0</v>
      </c>
      <c r="E7160">
        <v>0</v>
      </c>
      <c r="F7160">
        <v>0</v>
      </c>
    </row>
    <row r="7161" spans="1:6" x14ac:dyDescent="0.25">
      <c r="A7161" s="1">
        <v>45139</v>
      </c>
      <c r="B7161" t="s">
        <v>17</v>
      </c>
      <c r="C7161" t="s">
        <v>18</v>
      </c>
      <c r="D7161" s="2">
        <v>22164835.149999999</v>
      </c>
      <c r="E7161" s="2">
        <v>22164835.149999999</v>
      </c>
      <c r="F7161" s="2">
        <v>22164835.149999999</v>
      </c>
    </row>
    <row r="7162" spans="1:6" x14ac:dyDescent="0.25">
      <c r="A7162" s="1">
        <v>45139</v>
      </c>
      <c r="B7162" t="s">
        <v>44</v>
      </c>
      <c r="C7162" t="s">
        <v>45</v>
      </c>
      <c r="D7162" s="2">
        <v>15079.08</v>
      </c>
      <c r="E7162" s="2">
        <v>12711.81</v>
      </c>
      <c r="F7162" s="2">
        <v>12711.81</v>
      </c>
    </row>
    <row r="7163" spans="1:6" x14ac:dyDescent="0.25">
      <c r="A7163" s="1">
        <v>45139</v>
      </c>
      <c r="B7163" t="s">
        <v>21</v>
      </c>
      <c r="C7163" t="s">
        <v>757</v>
      </c>
      <c r="D7163">
        <v>0</v>
      </c>
      <c r="E7163" s="2">
        <v>454838.75</v>
      </c>
      <c r="F7163" s="2">
        <v>262919.15999999997</v>
      </c>
    </row>
    <row r="7164" spans="1:6" x14ac:dyDescent="0.25">
      <c r="A7164" s="1">
        <v>45139</v>
      </c>
      <c r="B7164" t="s">
        <v>44</v>
      </c>
      <c r="C7164" t="s">
        <v>1115</v>
      </c>
      <c r="D7164" s="2">
        <v>112015.2</v>
      </c>
      <c r="E7164" s="2">
        <v>198140.34</v>
      </c>
      <c r="F7164" s="2">
        <v>190938.55</v>
      </c>
    </row>
    <row r="7165" spans="1:6" x14ac:dyDescent="0.25">
      <c r="A7165" s="1">
        <v>45139</v>
      </c>
      <c r="B7165" t="s">
        <v>251</v>
      </c>
      <c r="C7165" t="s">
        <v>1016</v>
      </c>
      <c r="D7165">
        <v>0</v>
      </c>
      <c r="E7165">
        <v>0</v>
      </c>
      <c r="F7165">
        <v>0</v>
      </c>
    </row>
    <row r="7166" spans="1:6" x14ac:dyDescent="0.25">
      <c r="A7166" s="1">
        <v>45139</v>
      </c>
      <c r="B7166" t="s">
        <v>92</v>
      </c>
      <c r="C7166" t="s">
        <v>862</v>
      </c>
      <c r="D7166" s="2">
        <v>406465.44</v>
      </c>
      <c r="E7166" s="2">
        <v>480810.07</v>
      </c>
      <c r="F7166" s="2">
        <v>479056.58</v>
      </c>
    </row>
    <row r="7167" spans="1:6" x14ac:dyDescent="0.25">
      <c r="A7167" s="1">
        <v>45139</v>
      </c>
      <c r="B7167" t="s">
        <v>48</v>
      </c>
      <c r="C7167" t="s">
        <v>1326</v>
      </c>
      <c r="D7167">
        <v>0</v>
      </c>
      <c r="E7167">
        <v>0</v>
      </c>
      <c r="F7167">
        <v>0</v>
      </c>
    </row>
    <row r="7168" spans="1:6" x14ac:dyDescent="0.25">
      <c r="A7168" s="1">
        <v>45139</v>
      </c>
      <c r="B7168" t="s">
        <v>21</v>
      </c>
      <c r="C7168" t="s">
        <v>643</v>
      </c>
      <c r="D7168">
        <v>0</v>
      </c>
      <c r="E7168" s="2">
        <v>646164.68000000005</v>
      </c>
      <c r="F7168" s="2">
        <v>646164.68000000005</v>
      </c>
    </row>
    <row r="7169" spans="1:6" x14ac:dyDescent="0.25">
      <c r="A7169" s="1">
        <v>45139</v>
      </c>
      <c r="B7169" t="s">
        <v>162</v>
      </c>
      <c r="C7169" t="s">
        <v>218</v>
      </c>
      <c r="D7169" s="2">
        <v>165828960</v>
      </c>
      <c r="E7169" s="2">
        <v>330601920</v>
      </c>
      <c r="F7169" s="2">
        <v>330601920</v>
      </c>
    </row>
    <row r="7170" spans="1:6" x14ac:dyDescent="0.25">
      <c r="A7170" s="1">
        <v>45139</v>
      </c>
      <c r="B7170" t="s">
        <v>21</v>
      </c>
      <c r="C7170" t="s">
        <v>790</v>
      </c>
      <c r="D7170" s="2">
        <v>2589872.44</v>
      </c>
      <c r="E7170" s="2">
        <v>8676553.1799999997</v>
      </c>
      <c r="F7170" s="2">
        <v>6937314.2300000004</v>
      </c>
    </row>
    <row r="7171" spans="1:6" x14ac:dyDescent="0.25">
      <c r="A7171" s="1">
        <v>45139</v>
      </c>
      <c r="B7171" t="s">
        <v>23</v>
      </c>
      <c r="C7171" t="s">
        <v>74</v>
      </c>
      <c r="D7171">
        <v>0</v>
      </c>
      <c r="E7171">
        <v>0</v>
      </c>
      <c r="F7171">
        <v>0</v>
      </c>
    </row>
    <row r="7172" spans="1:6" x14ac:dyDescent="0.25">
      <c r="A7172" s="1">
        <v>45139</v>
      </c>
      <c r="B7172" t="s">
        <v>185</v>
      </c>
      <c r="C7172" t="s">
        <v>190</v>
      </c>
      <c r="D7172" s="2">
        <v>201063.56</v>
      </c>
      <c r="E7172" s="2">
        <v>59299.29</v>
      </c>
      <c r="F7172" s="2">
        <v>95987067.730000004</v>
      </c>
    </row>
    <row r="7173" spans="1:6" x14ac:dyDescent="0.25">
      <c r="A7173" s="1">
        <v>45139</v>
      </c>
      <c r="B7173" t="s">
        <v>422</v>
      </c>
      <c r="C7173" t="s">
        <v>473</v>
      </c>
      <c r="D7173" s="2">
        <v>22149.88</v>
      </c>
      <c r="E7173" s="2">
        <v>22149.88</v>
      </c>
      <c r="F7173" s="2">
        <v>22149.88</v>
      </c>
    </row>
    <row r="7174" spans="1:6" x14ac:dyDescent="0.25">
      <c r="A7174" s="1">
        <v>45139</v>
      </c>
      <c r="B7174" t="s">
        <v>40</v>
      </c>
      <c r="C7174" t="s">
        <v>654</v>
      </c>
      <c r="D7174">
        <v>0</v>
      </c>
      <c r="E7174" s="2">
        <v>2431</v>
      </c>
      <c r="F7174" s="2">
        <v>2431</v>
      </c>
    </row>
    <row r="7175" spans="1:6" x14ac:dyDescent="0.25">
      <c r="A7175" s="1">
        <v>45139</v>
      </c>
      <c r="B7175" t="s">
        <v>46</v>
      </c>
      <c r="C7175" t="s">
        <v>674</v>
      </c>
      <c r="D7175" s="2">
        <v>16532612.210000001</v>
      </c>
      <c r="E7175" s="2">
        <v>27807604.02</v>
      </c>
      <c r="F7175" s="2">
        <v>17209175.16</v>
      </c>
    </row>
    <row r="7176" spans="1:6" x14ac:dyDescent="0.25">
      <c r="A7176" s="1">
        <v>45139</v>
      </c>
      <c r="B7176" t="s">
        <v>37</v>
      </c>
      <c r="C7176" t="s">
        <v>1327</v>
      </c>
      <c r="D7176" s="2">
        <v>35046893.490000002</v>
      </c>
      <c r="E7176">
        <v>0</v>
      </c>
      <c r="F7176">
        <v>0</v>
      </c>
    </row>
    <row r="7177" spans="1:6" x14ac:dyDescent="0.25">
      <c r="A7177" s="1">
        <v>45139</v>
      </c>
      <c r="B7177" t="s">
        <v>21</v>
      </c>
      <c r="C7177" t="s">
        <v>650</v>
      </c>
      <c r="D7177">
        <v>0</v>
      </c>
      <c r="E7177" s="2">
        <v>259974.05</v>
      </c>
      <c r="F7177" s="2">
        <v>25664557.940000001</v>
      </c>
    </row>
    <row r="7178" spans="1:6" x14ac:dyDescent="0.25">
      <c r="A7178" s="1">
        <v>45139</v>
      </c>
      <c r="B7178" t="s">
        <v>127</v>
      </c>
      <c r="C7178" t="s">
        <v>171</v>
      </c>
      <c r="D7178" s="2">
        <v>229999.66</v>
      </c>
      <c r="E7178" s="2">
        <v>41360.449999999997</v>
      </c>
      <c r="F7178" s="2">
        <v>41360.449999999997</v>
      </c>
    </row>
    <row r="7179" spans="1:6" x14ac:dyDescent="0.25">
      <c r="A7179" s="1">
        <v>45139</v>
      </c>
      <c r="B7179" t="s">
        <v>31</v>
      </c>
      <c r="C7179" t="s">
        <v>1257</v>
      </c>
      <c r="D7179">
        <v>0</v>
      </c>
      <c r="E7179">
        <v>0</v>
      </c>
      <c r="F7179">
        <v>94.8</v>
      </c>
    </row>
    <row r="7180" spans="1:6" x14ac:dyDescent="0.25">
      <c r="A7180" s="1">
        <v>45139</v>
      </c>
      <c r="B7180" t="s">
        <v>48</v>
      </c>
      <c r="C7180" t="s">
        <v>1289</v>
      </c>
      <c r="D7180">
        <v>0</v>
      </c>
      <c r="E7180" s="2">
        <v>2070402</v>
      </c>
      <c r="F7180" s="2">
        <v>2070402</v>
      </c>
    </row>
    <row r="7181" spans="1:6" x14ac:dyDescent="0.25">
      <c r="A7181" s="1">
        <v>45139</v>
      </c>
      <c r="B7181" t="s">
        <v>90</v>
      </c>
      <c r="C7181" t="s">
        <v>326</v>
      </c>
      <c r="D7181" s="2">
        <v>71828.710000000006</v>
      </c>
      <c r="E7181" s="2">
        <v>452120.35</v>
      </c>
      <c r="F7181" s="2">
        <v>460954.42</v>
      </c>
    </row>
    <row r="7182" spans="1:6" x14ac:dyDescent="0.25">
      <c r="A7182" s="1">
        <v>45139</v>
      </c>
      <c r="B7182" t="s">
        <v>143</v>
      </c>
      <c r="C7182" t="s">
        <v>144</v>
      </c>
      <c r="D7182" s="2">
        <v>2036000</v>
      </c>
      <c r="E7182">
        <v>0</v>
      </c>
      <c r="F7182">
        <v>0</v>
      </c>
    </row>
    <row r="7183" spans="1:6" x14ac:dyDescent="0.25">
      <c r="A7183" s="1">
        <v>45139</v>
      </c>
      <c r="B7183" t="s">
        <v>19</v>
      </c>
      <c r="C7183" t="s">
        <v>39</v>
      </c>
      <c r="D7183" s="2">
        <v>457605.57</v>
      </c>
      <c r="E7183" s="2">
        <v>494922.67</v>
      </c>
      <c r="F7183" s="2">
        <v>493430.09</v>
      </c>
    </row>
    <row r="7184" spans="1:6" x14ac:dyDescent="0.25">
      <c r="A7184" s="1">
        <v>45139</v>
      </c>
      <c r="B7184" t="s">
        <v>306</v>
      </c>
      <c r="C7184" t="s">
        <v>307</v>
      </c>
      <c r="D7184" s="2">
        <v>-400408.11</v>
      </c>
      <c r="E7184" s="2">
        <v>1496250.27</v>
      </c>
      <c r="F7184" s="2">
        <v>1883324.8</v>
      </c>
    </row>
    <row r="7185" spans="1:6" x14ac:dyDescent="0.25">
      <c r="A7185" s="1">
        <v>45139</v>
      </c>
      <c r="B7185" t="s">
        <v>132</v>
      </c>
      <c r="C7185" t="s">
        <v>429</v>
      </c>
      <c r="D7185" s="2">
        <v>6735313.1600000001</v>
      </c>
      <c r="E7185" s="2">
        <v>13782261.98</v>
      </c>
      <c r="F7185" s="2">
        <v>16984200.530000001</v>
      </c>
    </row>
    <row r="7186" spans="1:6" x14ac:dyDescent="0.25">
      <c r="A7186" s="1">
        <v>45139</v>
      </c>
      <c r="B7186" t="s">
        <v>31</v>
      </c>
      <c r="C7186" t="s">
        <v>553</v>
      </c>
      <c r="D7186">
        <v>0</v>
      </c>
      <c r="E7186">
        <v>0</v>
      </c>
      <c r="F7186">
        <v>0</v>
      </c>
    </row>
    <row r="7187" spans="1:6" x14ac:dyDescent="0.25">
      <c r="A7187" s="1">
        <v>45139</v>
      </c>
      <c r="B7187" t="s">
        <v>90</v>
      </c>
      <c r="C7187" t="s">
        <v>428</v>
      </c>
      <c r="D7187" s="2">
        <v>10126166.58</v>
      </c>
      <c r="E7187" s="2">
        <v>40299048.289999999</v>
      </c>
      <c r="F7187" s="2">
        <v>40299048.289999999</v>
      </c>
    </row>
    <row r="7188" spans="1:6" x14ac:dyDescent="0.25">
      <c r="A7188" s="1">
        <v>45139</v>
      </c>
      <c r="B7188" t="s">
        <v>234</v>
      </c>
      <c r="C7188" t="s">
        <v>1294</v>
      </c>
      <c r="D7188">
        <v>0</v>
      </c>
      <c r="E7188" s="2">
        <v>1035.06</v>
      </c>
      <c r="F7188" s="2">
        <v>1035.06</v>
      </c>
    </row>
    <row r="7189" spans="1:6" x14ac:dyDescent="0.25">
      <c r="A7189" s="1">
        <v>45139</v>
      </c>
      <c r="B7189" t="s">
        <v>31</v>
      </c>
      <c r="C7189" t="s">
        <v>668</v>
      </c>
      <c r="D7189">
        <v>0</v>
      </c>
      <c r="E7189">
        <v>0</v>
      </c>
      <c r="F7189">
        <v>0</v>
      </c>
    </row>
    <row r="7190" spans="1:6" x14ac:dyDescent="0.25">
      <c r="A7190" s="1">
        <v>45139</v>
      </c>
      <c r="B7190" t="s">
        <v>682</v>
      </c>
      <c r="C7190" t="s">
        <v>1185</v>
      </c>
      <c r="D7190" s="2">
        <v>64876.82</v>
      </c>
      <c r="E7190" s="2">
        <v>162129.46</v>
      </c>
      <c r="F7190" s="2">
        <v>150491.97</v>
      </c>
    </row>
    <row r="7191" spans="1:6" x14ac:dyDescent="0.25">
      <c r="A7191" s="1">
        <v>45139</v>
      </c>
      <c r="B7191" t="s">
        <v>143</v>
      </c>
      <c r="C7191" t="s">
        <v>517</v>
      </c>
      <c r="D7191" s="2">
        <v>4179000</v>
      </c>
      <c r="E7191">
        <v>0</v>
      </c>
      <c r="F7191">
        <v>0</v>
      </c>
    </row>
    <row r="7192" spans="1:6" x14ac:dyDescent="0.25">
      <c r="A7192" s="1">
        <v>45139</v>
      </c>
      <c r="B7192" t="s">
        <v>176</v>
      </c>
      <c r="C7192" t="s">
        <v>95</v>
      </c>
      <c r="D7192">
        <v>0</v>
      </c>
      <c r="E7192">
        <v>0</v>
      </c>
      <c r="F7192">
        <v>0</v>
      </c>
    </row>
    <row r="7193" spans="1:6" x14ac:dyDescent="0.25">
      <c r="A7193" s="1">
        <v>45139</v>
      </c>
      <c r="B7193" t="s">
        <v>23</v>
      </c>
      <c r="C7193" t="s">
        <v>418</v>
      </c>
      <c r="D7193" s="2">
        <v>598887.19999999995</v>
      </c>
      <c r="E7193" s="2">
        <v>11845533.49</v>
      </c>
      <c r="F7193" s="2">
        <v>11770392.32</v>
      </c>
    </row>
    <row r="7194" spans="1:6" x14ac:dyDescent="0.25">
      <c r="A7194" s="1">
        <v>45139</v>
      </c>
      <c r="B7194" t="s">
        <v>42</v>
      </c>
      <c r="C7194" t="s">
        <v>670</v>
      </c>
      <c r="D7194">
        <v>0</v>
      </c>
      <c r="E7194">
        <v>0</v>
      </c>
      <c r="F7194" s="2">
        <v>276204.14</v>
      </c>
    </row>
    <row r="7195" spans="1:6" x14ac:dyDescent="0.25">
      <c r="A7195" s="1">
        <v>45139</v>
      </c>
      <c r="B7195" t="s">
        <v>19</v>
      </c>
      <c r="C7195" t="s">
        <v>397</v>
      </c>
      <c r="D7195" s="2">
        <v>767888.85</v>
      </c>
      <c r="E7195" s="2">
        <v>260038.29</v>
      </c>
      <c r="F7195" s="2">
        <v>401286.73</v>
      </c>
    </row>
    <row r="7196" spans="1:6" x14ac:dyDescent="0.25">
      <c r="A7196" s="1">
        <v>45139</v>
      </c>
      <c r="B7196" t="s">
        <v>40</v>
      </c>
      <c r="C7196" t="s">
        <v>644</v>
      </c>
      <c r="D7196" s="2">
        <v>913840.85</v>
      </c>
      <c r="E7196" s="2">
        <v>353840.82</v>
      </c>
      <c r="F7196" s="2">
        <v>310187.40999999997</v>
      </c>
    </row>
    <row r="7197" spans="1:6" x14ac:dyDescent="0.25">
      <c r="A7197" s="1">
        <v>45139</v>
      </c>
      <c r="B7197" t="s">
        <v>118</v>
      </c>
      <c r="C7197" t="s">
        <v>169</v>
      </c>
      <c r="D7197">
        <v>0</v>
      </c>
      <c r="E7197">
        <v>0</v>
      </c>
      <c r="F7197">
        <v>0</v>
      </c>
    </row>
    <row r="7198" spans="1:6" x14ac:dyDescent="0.25">
      <c r="A7198" s="1">
        <v>45139</v>
      </c>
      <c r="B7198" t="s">
        <v>460</v>
      </c>
      <c r="C7198" t="s">
        <v>856</v>
      </c>
      <c r="D7198" s="2">
        <v>584145.84</v>
      </c>
      <c r="E7198" s="2">
        <v>3959001.49</v>
      </c>
      <c r="F7198" s="2">
        <v>6879981.5</v>
      </c>
    </row>
    <row r="7199" spans="1:6" x14ac:dyDescent="0.25">
      <c r="A7199" s="1">
        <v>45139</v>
      </c>
      <c r="B7199" t="s">
        <v>105</v>
      </c>
      <c r="C7199" t="s">
        <v>336</v>
      </c>
      <c r="D7199" s="2">
        <v>3777511.96</v>
      </c>
      <c r="E7199" s="2">
        <v>3880025.2</v>
      </c>
      <c r="F7199" s="2">
        <v>4286149.03</v>
      </c>
    </row>
    <row r="7200" spans="1:6" x14ac:dyDescent="0.25">
      <c r="A7200" s="1">
        <v>45139</v>
      </c>
      <c r="B7200" t="s">
        <v>23</v>
      </c>
      <c r="C7200" t="s">
        <v>1220</v>
      </c>
      <c r="D7200">
        <v>0</v>
      </c>
      <c r="E7200" s="2">
        <v>138651</v>
      </c>
      <c r="F7200" s="2">
        <v>138651</v>
      </c>
    </row>
    <row r="7201" spans="1:6" x14ac:dyDescent="0.25">
      <c r="A7201" s="1">
        <v>45139</v>
      </c>
      <c r="B7201" t="s">
        <v>21</v>
      </c>
      <c r="C7201" t="s">
        <v>775</v>
      </c>
      <c r="D7201">
        <v>0</v>
      </c>
      <c r="E7201">
        <v>0</v>
      </c>
      <c r="F7201" s="2">
        <v>193295.31</v>
      </c>
    </row>
    <row r="7202" spans="1:6" x14ac:dyDescent="0.25">
      <c r="A7202" s="1">
        <v>45139</v>
      </c>
      <c r="B7202" t="s">
        <v>114</v>
      </c>
      <c r="C7202" t="s">
        <v>945</v>
      </c>
      <c r="D7202">
        <v>0</v>
      </c>
      <c r="E7202" s="2">
        <v>20645.310000000001</v>
      </c>
      <c r="F7202" s="2">
        <v>20645.310000000001</v>
      </c>
    </row>
    <row r="7203" spans="1:6" x14ac:dyDescent="0.25">
      <c r="A7203" s="1">
        <v>45139</v>
      </c>
      <c r="B7203" t="s">
        <v>143</v>
      </c>
      <c r="C7203" t="s">
        <v>413</v>
      </c>
      <c r="D7203">
        <v>0</v>
      </c>
      <c r="E7203">
        <v>0</v>
      </c>
      <c r="F7203">
        <v>0</v>
      </c>
    </row>
    <row r="7204" spans="1:6" x14ac:dyDescent="0.25">
      <c r="A7204" s="1">
        <v>45139</v>
      </c>
      <c r="B7204" t="s">
        <v>13</v>
      </c>
      <c r="C7204" t="s">
        <v>737</v>
      </c>
      <c r="D7204">
        <v>0</v>
      </c>
      <c r="E7204" s="2">
        <v>5732869.6100000003</v>
      </c>
      <c r="F7204" s="2">
        <v>6047559.79</v>
      </c>
    </row>
    <row r="7205" spans="1:6" x14ac:dyDescent="0.25">
      <c r="A7205" s="1">
        <v>45139</v>
      </c>
      <c r="B7205" t="s">
        <v>15</v>
      </c>
      <c r="C7205" t="s">
        <v>948</v>
      </c>
      <c r="D7205" s="2">
        <v>1020673.61</v>
      </c>
      <c r="E7205" s="2">
        <v>30252.92</v>
      </c>
      <c r="F7205" s="2">
        <v>7752.92</v>
      </c>
    </row>
    <row r="7206" spans="1:6" x14ac:dyDescent="0.25">
      <c r="A7206" s="1">
        <v>45139</v>
      </c>
      <c r="B7206" t="s">
        <v>50</v>
      </c>
      <c r="C7206" t="s">
        <v>625</v>
      </c>
      <c r="D7206" s="2">
        <v>581675.81999999995</v>
      </c>
      <c r="E7206" s="2">
        <v>921860.16</v>
      </c>
      <c r="F7206" s="2">
        <v>190903.45</v>
      </c>
    </row>
    <row r="7207" spans="1:6" x14ac:dyDescent="0.25">
      <c r="A7207" s="1">
        <v>45139</v>
      </c>
      <c r="B7207" t="s">
        <v>63</v>
      </c>
      <c r="C7207" t="s">
        <v>142</v>
      </c>
      <c r="D7207" s="2">
        <v>471200.95</v>
      </c>
      <c r="E7207" s="2">
        <v>370170.38</v>
      </c>
      <c r="F7207" s="2">
        <v>219649.11</v>
      </c>
    </row>
    <row r="7208" spans="1:6" x14ac:dyDescent="0.25">
      <c r="A7208" s="1">
        <v>45139</v>
      </c>
      <c r="B7208" t="s">
        <v>278</v>
      </c>
      <c r="C7208" t="s">
        <v>481</v>
      </c>
      <c r="D7208" s="2">
        <v>-14196.21</v>
      </c>
      <c r="E7208">
        <v>0</v>
      </c>
      <c r="F7208">
        <v>0</v>
      </c>
    </row>
    <row r="7209" spans="1:6" x14ac:dyDescent="0.25">
      <c r="A7209" s="1">
        <v>45139</v>
      </c>
      <c r="B7209" t="s">
        <v>143</v>
      </c>
      <c r="C7209" t="s">
        <v>1161</v>
      </c>
      <c r="D7209">
        <v>0</v>
      </c>
      <c r="E7209">
        <v>0</v>
      </c>
      <c r="F7209">
        <v>0</v>
      </c>
    </row>
    <row r="7210" spans="1:6" x14ac:dyDescent="0.25">
      <c r="A7210" s="1">
        <v>45139</v>
      </c>
      <c r="B7210" t="s">
        <v>23</v>
      </c>
      <c r="C7210" t="s">
        <v>760</v>
      </c>
      <c r="D7210" s="2">
        <v>79466756.920000002</v>
      </c>
      <c r="E7210" s="2">
        <v>468610.67</v>
      </c>
      <c r="F7210" s="2">
        <v>468610.67</v>
      </c>
    </row>
    <row r="7211" spans="1:6" x14ac:dyDescent="0.25">
      <c r="A7211" s="1">
        <v>45139</v>
      </c>
      <c r="B7211" t="s">
        <v>398</v>
      </c>
      <c r="C7211" t="s">
        <v>1046</v>
      </c>
      <c r="D7211" s="2">
        <v>12272351.359999999</v>
      </c>
      <c r="E7211" s="2">
        <v>2469268.79</v>
      </c>
      <c r="F7211" s="2">
        <v>4790357.78</v>
      </c>
    </row>
    <row r="7212" spans="1:6" x14ac:dyDescent="0.25">
      <c r="A7212" s="1">
        <v>45139</v>
      </c>
      <c r="B7212" t="s">
        <v>21</v>
      </c>
      <c r="C7212" t="s">
        <v>456</v>
      </c>
      <c r="D7212" s="2">
        <v>1250000</v>
      </c>
      <c r="E7212" s="2">
        <v>8581.08</v>
      </c>
      <c r="F7212" s="2">
        <v>8581.08</v>
      </c>
    </row>
    <row r="7213" spans="1:6" x14ac:dyDescent="0.25">
      <c r="A7213" s="1">
        <v>45139</v>
      </c>
      <c r="B7213" t="s">
        <v>1328</v>
      </c>
      <c r="C7213" t="s">
        <v>532</v>
      </c>
      <c r="D7213">
        <v>0</v>
      </c>
      <c r="E7213">
        <v>0</v>
      </c>
      <c r="F7213">
        <v>0</v>
      </c>
    </row>
    <row r="7214" spans="1:6" x14ac:dyDescent="0.25">
      <c r="A7214" s="1">
        <v>45139</v>
      </c>
      <c r="B7214" t="s">
        <v>46</v>
      </c>
      <c r="C7214" t="s">
        <v>587</v>
      </c>
      <c r="D7214" s="2">
        <v>50000</v>
      </c>
      <c r="E7214" s="2">
        <v>45088.99</v>
      </c>
      <c r="F7214" s="2">
        <v>44472.02</v>
      </c>
    </row>
    <row r="7215" spans="1:6" x14ac:dyDescent="0.25">
      <c r="A7215" s="1">
        <v>45139</v>
      </c>
      <c r="B7215" t="s">
        <v>40</v>
      </c>
      <c r="C7215" t="s">
        <v>325</v>
      </c>
      <c r="D7215">
        <v>0</v>
      </c>
      <c r="E7215">
        <v>0</v>
      </c>
      <c r="F7215" s="2">
        <v>3019114.4</v>
      </c>
    </row>
    <row r="7216" spans="1:6" x14ac:dyDescent="0.25">
      <c r="A7216" s="1">
        <v>45139</v>
      </c>
      <c r="B7216" t="s">
        <v>251</v>
      </c>
      <c r="C7216" t="s">
        <v>725</v>
      </c>
      <c r="D7216" s="2">
        <v>29791694.68</v>
      </c>
      <c r="E7216" s="2">
        <v>47405268.590000004</v>
      </c>
      <c r="F7216" s="2">
        <v>15784778.42</v>
      </c>
    </row>
    <row r="7217" spans="1:6" x14ac:dyDescent="0.25">
      <c r="A7217" s="1">
        <v>45139</v>
      </c>
      <c r="B7217" t="s">
        <v>29</v>
      </c>
      <c r="C7217" t="s">
        <v>1155</v>
      </c>
      <c r="D7217" s="2">
        <v>4000</v>
      </c>
      <c r="E7217" s="2">
        <v>3528.07</v>
      </c>
      <c r="F7217" s="2">
        <v>3528.07</v>
      </c>
    </row>
    <row r="7218" spans="1:6" x14ac:dyDescent="0.25">
      <c r="A7218" s="1">
        <v>45139</v>
      </c>
      <c r="B7218" t="s">
        <v>21</v>
      </c>
      <c r="C7218" t="s">
        <v>642</v>
      </c>
      <c r="D7218" s="2">
        <v>828403.69</v>
      </c>
      <c r="E7218" s="2">
        <v>676558.31</v>
      </c>
      <c r="F7218" s="2">
        <v>1027499.86</v>
      </c>
    </row>
    <row r="7219" spans="1:6" x14ac:dyDescent="0.25">
      <c r="A7219" s="1">
        <v>45139</v>
      </c>
      <c r="B7219" t="s">
        <v>769</v>
      </c>
      <c r="C7219" t="s">
        <v>1131</v>
      </c>
      <c r="D7219">
        <v>0</v>
      </c>
      <c r="E7219">
        <v>0</v>
      </c>
      <c r="F7219">
        <v>0</v>
      </c>
    </row>
    <row r="7220" spans="1:6" x14ac:dyDescent="0.25">
      <c r="A7220" s="1">
        <v>45139</v>
      </c>
      <c r="B7220" t="s">
        <v>42</v>
      </c>
      <c r="C7220" t="s">
        <v>1207</v>
      </c>
      <c r="D7220" s="2">
        <v>90000000</v>
      </c>
      <c r="E7220" s="2">
        <v>11450000</v>
      </c>
      <c r="F7220" s="2">
        <v>11450000</v>
      </c>
    </row>
    <row r="7221" spans="1:6" x14ac:dyDescent="0.25">
      <c r="A7221" s="1">
        <v>45139</v>
      </c>
      <c r="B7221" t="s">
        <v>46</v>
      </c>
      <c r="C7221" t="s">
        <v>1007</v>
      </c>
      <c r="D7221">
        <v>0</v>
      </c>
      <c r="E7221" s="2">
        <v>3703.01</v>
      </c>
      <c r="F7221" s="2">
        <v>3703.01</v>
      </c>
    </row>
    <row r="7222" spans="1:6" x14ac:dyDescent="0.25">
      <c r="A7222" s="1">
        <v>45139</v>
      </c>
      <c r="B7222" t="s">
        <v>206</v>
      </c>
      <c r="C7222" t="s">
        <v>832</v>
      </c>
      <c r="D7222">
        <v>0</v>
      </c>
      <c r="E7222" s="2">
        <v>2373.0100000000002</v>
      </c>
      <c r="F7222" s="2">
        <v>2373.0100000000002</v>
      </c>
    </row>
    <row r="7223" spans="1:6" x14ac:dyDescent="0.25">
      <c r="A7223" s="1">
        <v>45139</v>
      </c>
      <c r="B7223" t="s">
        <v>476</v>
      </c>
      <c r="C7223" t="s">
        <v>950</v>
      </c>
      <c r="D7223">
        <v>0</v>
      </c>
      <c r="E7223">
        <v>0</v>
      </c>
      <c r="F7223">
        <v>0</v>
      </c>
    </row>
    <row r="7224" spans="1:6" x14ac:dyDescent="0.25">
      <c r="A7224" s="1">
        <v>45139</v>
      </c>
      <c r="B7224" t="s">
        <v>101</v>
      </c>
      <c r="C7224" t="s">
        <v>536</v>
      </c>
      <c r="D7224" s="2">
        <v>873160.64</v>
      </c>
      <c r="E7224" s="2">
        <v>477949.06</v>
      </c>
      <c r="F7224" s="2">
        <v>456022</v>
      </c>
    </row>
    <row r="7225" spans="1:6" x14ac:dyDescent="0.25">
      <c r="A7225" s="1">
        <v>45139</v>
      </c>
      <c r="B7225" t="s">
        <v>383</v>
      </c>
      <c r="C7225" t="s">
        <v>1200</v>
      </c>
      <c r="D7225">
        <v>0</v>
      </c>
      <c r="E7225">
        <v>0</v>
      </c>
      <c r="F7225">
        <v>0</v>
      </c>
    </row>
    <row r="7226" spans="1:6" x14ac:dyDescent="0.25">
      <c r="A7226" s="1">
        <v>45139</v>
      </c>
      <c r="B7226" t="s">
        <v>98</v>
      </c>
      <c r="C7226" t="s">
        <v>1000</v>
      </c>
      <c r="D7226">
        <v>0</v>
      </c>
      <c r="E7226">
        <v>0</v>
      </c>
      <c r="F7226">
        <v>0</v>
      </c>
    </row>
    <row r="7227" spans="1:6" x14ac:dyDescent="0.25">
      <c r="A7227" s="1">
        <v>45139</v>
      </c>
      <c r="B7227" t="s">
        <v>13</v>
      </c>
      <c r="C7227" t="s">
        <v>266</v>
      </c>
      <c r="D7227">
        <v>0</v>
      </c>
      <c r="E7227" s="2">
        <v>78412.11</v>
      </c>
      <c r="F7227" s="2">
        <v>1378976.83</v>
      </c>
    </row>
    <row r="7228" spans="1:6" x14ac:dyDescent="0.25">
      <c r="A7228" s="1">
        <v>45139</v>
      </c>
      <c r="B7228" t="s">
        <v>23</v>
      </c>
      <c r="C7228" t="s">
        <v>305</v>
      </c>
      <c r="D7228" s="2">
        <v>19019349.030000001</v>
      </c>
      <c r="E7228" s="2">
        <v>17313174.82</v>
      </c>
      <c r="F7228" s="2">
        <v>17010581.210000001</v>
      </c>
    </row>
    <row r="7229" spans="1:6" x14ac:dyDescent="0.25">
      <c r="A7229" s="1">
        <v>45139</v>
      </c>
      <c r="B7229" t="s">
        <v>50</v>
      </c>
      <c r="C7229" t="s">
        <v>51</v>
      </c>
      <c r="D7229">
        <v>0</v>
      </c>
      <c r="E7229">
        <v>0</v>
      </c>
      <c r="F7229">
        <v>0</v>
      </c>
    </row>
    <row r="7230" spans="1:6" x14ac:dyDescent="0.25">
      <c r="A7230" s="1">
        <v>45139</v>
      </c>
      <c r="B7230" t="s">
        <v>21</v>
      </c>
      <c r="C7230" t="s">
        <v>523</v>
      </c>
      <c r="D7230">
        <v>0</v>
      </c>
      <c r="E7230" s="2">
        <v>405036.46</v>
      </c>
      <c r="F7230" s="2">
        <v>202518.23</v>
      </c>
    </row>
    <row r="7231" spans="1:6" x14ac:dyDescent="0.25">
      <c r="A7231" s="1">
        <v>45139</v>
      </c>
      <c r="B7231" t="s">
        <v>50</v>
      </c>
      <c r="C7231" t="s">
        <v>689</v>
      </c>
      <c r="D7231">
        <v>0</v>
      </c>
      <c r="E7231" s="2">
        <v>24330.32</v>
      </c>
      <c r="F7231" s="2">
        <v>33851.89</v>
      </c>
    </row>
    <row r="7232" spans="1:6" x14ac:dyDescent="0.25">
      <c r="A7232" s="1">
        <v>45139</v>
      </c>
      <c r="B7232" t="s">
        <v>21</v>
      </c>
      <c r="C7232" t="s">
        <v>212</v>
      </c>
      <c r="D7232">
        <v>0</v>
      </c>
      <c r="E7232" s="2">
        <v>2686558.72</v>
      </c>
      <c r="F7232">
        <v>0</v>
      </c>
    </row>
    <row r="7233" spans="1:6" x14ac:dyDescent="0.25">
      <c r="A7233" s="1">
        <v>45139</v>
      </c>
      <c r="B7233" t="s">
        <v>23</v>
      </c>
      <c r="C7233" t="s">
        <v>281</v>
      </c>
      <c r="D7233" s="2">
        <v>652000</v>
      </c>
      <c r="E7233" s="2">
        <v>32347.77</v>
      </c>
      <c r="F7233" s="2">
        <v>13686.84</v>
      </c>
    </row>
    <row r="7234" spans="1:6" x14ac:dyDescent="0.25">
      <c r="A7234" s="1">
        <v>45139</v>
      </c>
      <c r="B7234" t="s">
        <v>114</v>
      </c>
      <c r="C7234" t="s">
        <v>1062</v>
      </c>
      <c r="D7234">
        <v>0</v>
      </c>
      <c r="E7234">
        <v>0</v>
      </c>
      <c r="F7234">
        <v>0</v>
      </c>
    </row>
    <row r="7235" spans="1:6" x14ac:dyDescent="0.25">
      <c r="A7235" s="1">
        <v>45139</v>
      </c>
      <c r="B7235" t="s">
        <v>9</v>
      </c>
      <c r="C7235" t="s">
        <v>10</v>
      </c>
      <c r="D7235" s="2">
        <v>3200000</v>
      </c>
      <c r="E7235">
        <v>0</v>
      </c>
      <c r="F7235">
        <v>0</v>
      </c>
    </row>
    <row r="7236" spans="1:6" x14ac:dyDescent="0.25">
      <c r="A7236" s="1">
        <v>45139</v>
      </c>
      <c r="B7236" t="s">
        <v>50</v>
      </c>
      <c r="C7236" t="s">
        <v>1048</v>
      </c>
      <c r="D7236">
        <v>0</v>
      </c>
      <c r="E7236">
        <v>0</v>
      </c>
      <c r="F7236" s="2">
        <v>78329.86</v>
      </c>
    </row>
    <row r="7237" spans="1:6" x14ac:dyDescent="0.25">
      <c r="A7237" s="1">
        <v>45139</v>
      </c>
      <c r="B7237" t="s">
        <v>407</v>
      </c>
      <c r="C7237" t="s">
        <v>1029</v>
      </c>
      <c r="D7237" s="2">
        <v>3079206</v>
      </c>
      <c r="E7237">
        <v>0</v>
      </c>
      <c r="F7237">
        <v>0</v>
      </c>
    </row>
    <row r="7238" spans="1:6" x14ac:dyDescent="0.25">
      <c r="A7238" s="1">
        <v>45139</v>
      </c>
      <c r="B7238" t="s">
        <v>21</v>
      </c>
      <c r="C7238" t="s">
        <v>122</v>
      </c>
      <c r="D7238">
        <v>0</v>
      </c>
      <c r="E7238">
        <v>0</v>
      </c>
      <c r="F7238">
        <v>0</v>
      </c>
    </row>
    <row r="7239" spans="1:6" x14ac:dyDescent="0.25">
      <c r="A7239" s="1">
        <v>45139</v>
      </c>
      <c r="B7239" t="s">
        <v>19</v>
      </c>
      <c r="C7239" t="s">
        <v>156</v>
      </c>
      <c r="D7239" s="2">
        <v>804781.08</v>
      </c>
      <c r="E7239" s="2">
        <v>1691109.12</v>
      </c>
      <c r="F7239" s="2">
        <v>1490521.03</v>
      </c>
    </row>
    <row r="7240" spans="1:6" x14ac:dyDescent="0.25">
      <c r="A7240" s="1">
        <v>45139</v>
      </c>
      <c r="B7240" t="s">
        <v>17</v>
      </c>
      <c r="C7240" t="s">
        <v>377</v>
      </c>
      <c r="D7240" s="2">
        <v>-778875</v>
      </c>
      <c r="E7240" s="2">
        <v>17884303.300000001</v>
      </c>
      <c r="F7240" s="2">
        <v>16468969.27</v>
      </c>
    </row>
    <row r="7241" spans="1:6" x14ac:dyDescent="0.25">
      <c r="A7241" s="1">
        <v>45139</v>
      </c>
      <c r="B7241" t="s">
        <v>21</v>
      </c>
      <c r="C7241" t="s">
        <v>211</v>
      </c>
      <c r="D7241">
        <v>0</v>
      </c>
      <c r="E7241">
        <v>0</v>
      </c>
      <c r="F7241">
        <v>0</v>
      </c>
    </row>
    <row r="7242" spans="1:6" x14ac:dyDescent="0.25">
      <c r="A7242" s="1">
        <v>45139</v>
      </c>
      <c r="B7242" t="s">
        <v>187</v>
      </c>
      <c r="C7242" t="s">
        <v>830</v>
      </c>
      <c r="D7242" s="2">
        <v>2656814.92</v>
      </c>
      <c r="E7242" s="2">
        <v>1743896.04</v>
      </c>
      <c r="F7242" s="2">
        <v>803877.18</v>
      </c>
    </row>
    <row r="7243" spans="1:6" x14ac:dyDescent="0.25">
      <c r="A7243" s="1">
        <v>45139</v>
      </c>
      <c r="B7243" t="s">
        <v>23</v>
      </c>
      <c r="C7243" t="s">
        <v>677</v>
      </c>
      <c r="D7243" s="2">
        <v>6629.37</v>
      </c>
      <c r="E7243" s="2">
        <v>194687.73</v>
      </c>
      <c r="F7243" s="2">
        <v>194414.2</v>
      </c>
    </row>
    <row r="7244" spans="1:6" x14ac:dyDescent="0.25">
      <c r="A7244" s="1">
        <v>45139</v>
      </c>
      <c r="B7244" t="s">
        <v>309</v>
      </c>
      <c r="C7244" t="s">
        <v>645</v>
      </c>
      <c r="D7244">
        <v>0</v>
      </c>
      <c r="E7244">
        <v>0</v>
      </c>
      <c r="F7244">
        <v>0</v>
      </c>
    </row>
    <row r="7245" spans="1:6" x14ac:dyDescent="0.25">
      <c r="A7245" s="1">
        <v>45139</v>
      </c>
      <c r="B7245" t="s">
        <v>105</v>
      </c>
      <c r="C7245" t="s">
        <v>755</v>
      </c>
      <c r="D7245" s="2">
        <v>3040383.84</v>
      </c>
      <c r="E7245" s="2">
        <v>938475.44</v>
      </c>
      <c r="F7245" s="2">
        <v>938475.44</v>
      </c>
    </row>
    <row r="7246" spans="1:6" x14ac:dyDescent="0.25">
      <c r="A7246" s="1">
        <v>45139</v>
      </c>
      <c r="B7246" t="s">
        <v>23</v>
      </c>
      <c r="C7246" t="s">
        <v>776</v>
      </c>
      <c r="D7246" s="2">
        <v>323745.61</v>
      </c>
      <c r="E7246" s="2">
        <v>25787509.620000001</v>
      </c>
      <c r="F7246" s="2">
        <v>26206455.870000001</v>
      </c>
    </row>
    <row r="7247" spans="1:6" x14ac:dyDescent="0.25">
      <c r="A7247" s="1">
        <v>45139</v>
      </c>
      <c r="B7247" t="s">
        <v>518</v>
      </c>
      <c r="C7247" t="s">
        <v>1329</v>
      </c>
      <c r="D7247" s="2">
        <v>1500000</v>
      </c>
      <c r="E7247" s="2">
        <v>500000</v>
      </c>
      <c r="F7247" s="2">
        <v>500000</v>
      </c>
    </row>
    <row r="7248" spans="1:6" x14ac:dyDescent="0.25">
      <c r="A7248" s="1">
        <v>45139</v>
      </c>
      <c r="B7248" t="s">
        <v>159</v>
      </c>
      <c r="C7248" t="s">
        <v>160</v>
      </c>
      <c r="D7248">
        <v>0</v>
      </c>
      <c r="E7248" s="2">
        <v>3500</v>
      </c>
      <c r="F7248" s="2">
        <v>177782.3</v>
      </c>
    </row>
    <row r="7249" spans="1:6" x14ac:dyDescent="0.25">
      <c r="A7249" s="1">
        <v>45139</v>
      </c>
      <c r="B7249" t="s">
        <v>17</v>
      </c>
      <c r="C7249" t="s">
        <v>1051</v>
      </c>
      <c r="D7249">
        <v>0</v>
      </c>
      <c r="E7249" s="2">
        <v>294089.03999999998</v>
      </c>
      <c r="F7249" s="2">
        <v>147044.51999999999</v>
      </c>
    </row>
    <row r="7250" spans="1:6" x14ac:dyDescent="0.25">
      <c r="A7250" s="1">
        <v>45139</v>
      </c>
      <c r="B7250" t="s">
        <v>100</v>
      </c>
      <c r="C7250" t="s">
        <v>416</v>
      </c>
      <c r="D7250">
        <v>0</v>
      </c>
      <c r="E7250">
        <v>0</v>
      </c>
      <c r="F7250">
        <v>0</v>
      </c>
    </row>
    <row r="7251" spans="1:6" x14ac:dyDescent="0.25">
      <c r="A7251" s="1">
        <v>45139</v>
      </c>
      <c r="B7251" t="s">
        <v>40</v>
      </c>
      <c r="C7251" t="s">
        <v>539</v>
      </c>
      <c r="D7251" s="2">
        <v>325764.11</v>
      </c>
      <c r="E7251" s="2">
        <v>505160.62</v>
      </c>
      <c r="F7251" s="2">
        <v>606577.05000000005</v>
      </c>
    </row>
    <row r="7252" spans="1:6" x14ac:dyDescent="0.25">
      <c r="A7252" s="1">
        <v>45139</v>
      </c>
      <c r="B7252" t="s">
        <v>426</v>
      </c>
      <c r="C7252" t="s">
        <v>427</v>
      </c>
      <c r="D7252">
        <v>0</v>
      </c>
      <c r="E7252" s="2">
        <v>3049254265.0999999</v>
      </c>
      <c r="F7252" s="2">
        <v>3049254265.0999999</v>
      </c>
    </row>
    <row r="7253" spans="1:6" x14ac:dyDescent="0.25">
      <c r="A7253" s="1">
        <v>45139</v>
      </c>
      <c r="B7253" t="s">
        <v>234</v>
      </c>
      <c r="C7253" t="s">
        <v>962</v>
      </c>
      <c r="D7253" s="2">
        <v>70000</v>
      </c>
      <c r="E7253" s="2">
        <v>9223.65</v>
      </c>
      <c r="F7253">
        <v>0</v>
      </c>
    </row>
    <row r="7254" spans="1:6" x14ac:dyDescent="0.25">
      <c r="A7254" s="1">
        <v>45139</v>
      </c>
      <c r="B7254" t="s">
        <v>11</v>
      </c>
      <c r="C7254" t="s">
        <v>794</v>
      </c>
      <c r="D7254">
        <v>0</v>
      </c>
      <c r="E7254" s="2">
        <v>-4038.69</v>
      </c>
      <c r="F7254" s="2">
        <v>88768083.069999993</v>
      </c>
    </row>
    <row r="7255" spans="1:6" x14ac:dyDescent="0.25">
      <c r="A7255" s="1">
        <v>45139</v>
      </c>
      <c r="B7255" t="s">
        <v>132</v>
      </c>
      <c r="C7255" t="s">
        <v>265</v>
      </c>
      <c r="D7255">
        <v>0</v>
      </c>
      <c r="E7255" s="2">
        <v>108333333.33</v>
      </c>
      <c r="F7255" s="2">
        <v>108333333.33</v>
      </c>
    </row>
    <row r="7256" spans="1:6" x14ac:dyDescent="0.25">
      <c r="A7256" s="1">
        <v>45139</v>
      </c>
      <c r="B7256" t="s">
        <v>46</v>
      </c>
      <c r="C7256" t="s">
        <v>712</v>
      </c>
      <c r="D7256" s="2">
        <v>3282569.3</v>
      </c>
      <c r="E7256" s="2">
        <v>789624.7</v>
      </c>
      <c r="F7256" s="2">
        <v>780129.13</v>
      </c>
    </row>
    <row r="7257" spans="1:6" x14ac:dyDescent="0.25">
      <c r="A7257" s="1">
        <v>45139</v>
      </c>
      <c r="B7257" t="s">
        <v>40</v>
      </c>
      <c r="C7257" t="s">
        <v>1082</v>
      </c>
      <c r="D7257" s="2">
        <v>3911.29</v>
      </c>
      <c r="E7257" s="2">
        <v>188148.58</v>
      </c>
      <c r="F7257" s="2">
        <v>140599.29</v>
      </c>
    </row>
    <row r="7258" spans="1:6" x14ac:dyDescent="0.25">
      <c r="A7258" s="1">
        <v>45139</v>
      </c>
      <c r="B7258" t="s">
        <v>114</v>
      </c>
      <c r="C7258" t="s">
        <v>115</v>
      </c>
      <c r="D7258" s="2">
        <v>1039181446.0700001</v>
      </c>
      <c r="E7258" s="2">
        <v>529246423.83999997</v>
      </c>
      <c r="F7258" s="2">
        <v>529246423.83999997</v>
      </c>
    </row>
    <row r="7259" spans="1:6" x14ac:dyDescent="0.25">
      <c r="A7259" s="1">
        <v>45139</v>
      </c>
      <c r="B7259" t="s">
        <v>46</v>
      </c>
      <c r="C7259" t="s">
        <v>584</v>
      </c>
      <c r="D7259" s="2">
        <v>8996574.5500000007</v>
      </c>
      <c r="E7259" s="2">
        <v>1700893.53</v>
      </c>
      <c r="F7259" s="2">
        <v>4138492.14</v>
      </c>
    </row>
    <row r="7260" spans="1:6" x14ac:dyDescent="0.25">
      <c r="A7260" s="1">
        <v>45139</v>
      </c>
      <c r="B7260" t="s">
        <v>107</v>
      </c>
      <c r="C7260" t="s">
        <v>505</v>
      </c>
      <c r="D7260" s="2">
        <v>54722381.810000002</v>
      </c>
      <c r="E7260" s="2">
        <v>53774088.259999998</v>
      </c>
      <c r="F7260" s="2">
        <v>53774088.259999998</v>
      </c>
    </row>
    <row r="7261" spans="1:6" x14ac:dyDescent="0.25">
      <c r="A7261" s="1">
        <v>45139</v>
      </c>
      <c r="B7261" t="s">
        <v>344</v>
      </c>
      <c r="C7261" t="s">
        <v>568</v>
      </c>
      <c r="D7261" s="2">
        <v>72998.990000000005</v>
      </c>
      <c r="E7261" s="2">
        <v>2708.1</v>
      </c>
      <c r="F7261" s="2">
        <v>2708.1</v>
      </c>
    </row>
    <row r="7262" spans="1:6" x14ac:dyDescent="0.25">
      <c r="A7262" s="1">
        <v>45139</v>
      </c>
      <c r="B7262" t="s">
        <v>21</v>
      </c>
      <c r="C7262" t="s">
        <v>1201</v>
      </c>
      <c r="D7262">
        <v>0</v>
      </c>
      <c r="E7262">
        <v>0</v>
      </c>
      <c r="F7262">
        <v>0</v>
      </c>
    </row>
    <row r="7263" spans="1:6" x14ac:dyDescent="0.25">
      <c r="A7263" s="1">
        <v>45139</v>
      </c>
      <c r="B7263" t="s">
        <v>405</v>
      </c>
      <c r="C7263" t="s">
        <v>839</v>
      </c>
      <c r="D7263">
        <v>0</v>
      </c>
      <c r="E7263">
        <v>0</v>
      </c>
      <c r="F7263">
        <v>0</v>
      </c>
    </row>
    <row r="7264" spans="1:6" x14ac:dyDescent="0.25">
      <c r="A7264" s="1">
        <v>45139</v>
      </c>
      <c r="B7264" t="s">
        <v>37</v>
      </c>
      <c r="C7264" t="s">
        <v>151</v>
      </c>
      <c r="D7264">
        <v>0</v>
      </c>
      <c r="E7264" s="2">
        <v>93335.19</v>
      </c>
      <c r="F7264" s="2">
        <v>93335.19</v>
      </c>
    </row>
    <row r="7265" spans="1:6" x14ac:dyDescent="0.25">
      <c r="A7265" s="1">
        <v>45139</v>
      </c>
      <c r="B7265" t="s">
        <v>25</v>
      </c>
      <c r="C7265" t="s">
        <v>319</v>
      </c>
      <c r="D7265" s="2">
        <v>664438.5</v>
      </c>
      <c r="E7265" s="2">
        <v>254362.94</v>
      </c>
      <c r="F7265" s="2">
        <v>159816.14000000001</v>
      </c>
    </row>
    <row r="7266" spans="1:6" x14ac:dyDescent="0.25">
      <c r="A7266" s="1">
        <v>45139</v>
      </c>
      <c r="B7266" t="s">
        <v>398</v>
      </c>
      <c r="C7266" t="s">
        <v>498</v>
      </c>
      <c r="D7266" s="2">
        <v>619896</v>
      </c>
      <c r="E7266" s="2">
        <v>232536.37</v>
      </c>
      <c r="F7266" s="2">
        <v>271929.49</v>
      </c>
    </row>
    <row r="7267" spans="1:6" x14ac:dyDescent="0.25">
      <c r="A7267" s="1">
        <v>45139</v>
      </c>
      <c r="B7267" t="s">
        <v>44</v>
      </c>
      <c r="C7267" t="s">
        <v>872</v>
      </c>
      <c r="D7267" s="2">
        <v>195408.9</v>
      </c>
      <c r="E7267" s="2">
        <v>212206.59</v>
      </c>
      <c r="F7267" s="2">
        <v>47172.53</v>
      </c>
    </row>
    <row r="7268" spans="1:6" x14ac:dyDescent="0.25">
      <c r="A7268" s="1">
        <v>45139</v>
      </c>
      <c r="B7268" t="s">
        <v>107</v>
      </c>
      <c r="C7268" t="s">
        <v>499</v>
      </c>
      <c r="D7268" s="2">
        <v>278036.3</v>
      </c>
      <c r="E7268" s="2">
        <v>340441.46</v>
      </c>
      <c r="F7268" s="2">
        <v>16428.5</v>
      </c>
    </row>
    <row r="7269" spans="1:6" x14ac:dyDescent="0.25">
      <c r="A7269" s="1">
        <v>45139</v>
      </c>
      <c r="B7269" t="s">
        <v>44</v>
      </c>
      <c r="C7269" t="s">
        <v>846</v>
      </c>
      <c r="D7269" s="2">
        <v>10414.879999999999</v>
      </c>
      <c r="E7269" s="2">
        <v>89026.77</v>
      </c>
      <c r="F7269" s="2">
        <v>104124.52</v>
      </c>
    </row>
    <row r="7270" spans="1:6" x14ac:dyDescent="0.25">
      <c r="A7270" s="1">
        <v>45139</v>
      </c>
      <c r="B7270" t="s">
        <v>143</v>
      </c>
      <c r="C7270" t="s">
        <v>1175</v>
      </c>
      <c r="D7270" s="2">
        <v>290442265</v>
      </c>
      <c r="E7270" s="2">
        <v>721505565.12</v>
      </c>
      <c r="F7270" s="2">
        <v>424127488.06</v>
      </c>
    </row>
    <row r="7271" spans="1:6" x14ac:dyDescent="0.25">
      <c r="A7271" s="1">
        <v>45139</v>
      </c>
      <c r="B7271" t="s">
        <v>44</v>
      </c>
      <c r="C7271" t="s">
        <v>579</v>
      </c>
      <c r="D7271" s="2">
        <v>7823.4</v>
      </c>
      <c r="E7271" s="2">
        <v>101777</v>
      </c>
      <c r="F7271" s="2">
        <v>66624.69</v>
      </c>
    </row>
    <row r="7272" spans="1:6" x14ac:dyDescent="0.25">
      <c r="A7272" s="1">
        <v>45139</v>
      </c>
      <c r="B7272" t="s">
        <v>31</v>
      </c>
      <c r="C7272" t="s">
        <v>430</v>
      </c>
      <c r="D7272">
        <v>0</v>
      </c>
      <c r="E7272">
        <v>0</v>
      </c>
      <c r="F7272">
        <v>0</v>
      </c>
    </row>
    <row r="7273" spans="1:6" x14ac:dyDescent="0.25">
      <c r="A7273" s="1">
        <v>45139</v>
      </c>
      <c r="B7273" t="s">
        <v>114</v>
      </c>
      <c r="C7273" t="s">
        <v>136</v>
      </c>
      <c r="D7273" s="2">
        <v>11064685.460000001</v>
      </c>
      <c r="E7273" s="2">
        <v>1021391.87</v>
      </c>
      <c r="F7273" s="2">
        <v>1021707.97</v>
      </c>
    </row>
    <row r="7274" spans="1:6" x14ac:dyDescent="0.25">
      <c r="A7274" s="1">
        <v>45139</v>
      </c>
      <c r="B7274" t="s">
        <v>75</v>
      </c>
      <c r="C7274" t="s">
        <v>85</v>
      </c>
      <c r="D7274" s="2">
        <v>108617.12</v>
      </c>
      <c r="E7274" s="2">
        <v>79731.289999999994</v>
      </c>
      <c r="F7274" s="2">
        <v>616691.31999999995</v>
      </c>
    </row>
    <row r="7275" spans="1:6" x14ac:dyDescent="0.25">
      <c r="A7275" s="1">
        <v>45139</v>
      </c>
      <c r="B7275" t="s">
        <v>966</v>
      </c>
      <c r="C7275" t="s">
        <v>1060</v>
      </c>
      <c r="D7275">
        <v>0</v>
      </c>
      <c r="E7275">
        <v>0</v>
      </c>
      <c r="F7275">
        <v>0</v>
      </c>
    </row>
    <row r="7276" spans="1:6" x14ac:dyDescent="0.25">
      <c r="A7276" s="1">
        <v>45139</v>
      </c>
      <c r="B7276" t="s">
        <v>17</v>
      </c>
      <c r="C7276" t="s">
        <v>270</v>
      </c>
      <c r="D7276" s="2">
        <v>583352.85</v>
      </c>
      <c r="E7276" s="2">
        <v>1520709.11</v>
      </c>
      <c r="F7276" s="2">
        <v>1271367.3799999999</v>
      </c>
    </row>
    <row r="7277" spans="1:6" x14ac:dyDescent="0.25">
      <c r="A7277" s="1">
        <v>45139</v>
      </c>
      <c r="B7277" t="s">
        <v>518</v>
      </c>
      <c r="C7277" t="s">
        <v>519</v>
      </c>
      <c r="D7277" s="2">
        <v>274296.38</v>
      </c>
      <c r="E7277" s="2">
        <v>298470.42</v>
      </c>
      <c r="F7277" s="2">
        <v>1516284.62</v>
      </c>
    </row>
    <row r="7278" spans="1:6" x14ac:dyDescent="0.25">
      <c r="A7278" s="1">
        <v>45139</v>
      </c>
      <c r="B7278" t="s">
        <v>101</v>
      </c>
      <c r="C7278" t="s">
        <v>984</v>
      </c>
      <c r="D7278" s="2">
        <v>722666.07</v>
      </c>
      <c r="E7278" s="2">
        <v>443845.93</v>
      </c>
      <c r="F7278" s="2">
        <v>161561.98000000001</v>
      </c>
    </row>
    <row r="7279" spans="1:6" x14ac:dyDescent="0.25">
      <c r="A7279" s="1">
        <v>45139</v>
      </c>
      <c r="B7279" t="s">
        <v>50</v>
      </c>
      <c r="C7279" t="s">
        <v>287</v>
      </c>
      <c r="D7279" s="2">
        <v>3010000</v>
      </c>
      <c r="E7279" s="2">
        <v>287070.59000000003</v>
      </c>
      <c r="F7279" s="2">
        <v>19401.88</v>
      </c>
    </row>
    <row r="7280" spans="1:6" x14ac:dyDescent="0.25">
      <c r="A7280" s="1">
        <v>45139</v>
      </c>
      <c r="B7280" t="s">
        <v>23</v>
      </c>
      <c r="C7280" t="s">
        <v>394</v>
      </c>
      <c r="D7280" s="2">
        <v>250000</v>
      </c>
      <c r="E7280">
        <v>0</v>
      </c>
      <c r="F7280">
        <v>0</v>
      </c>
    </row>
    <row r="7281" spans="1:6" x14ac:dyDescent="0.25">
      <c r="A7281" s="1">
        <v>45139</v>
      </c>
      <c r="B7281" t="s">
        <v>422</v>
      </c>
      <c r="C7281" t="s">
        <v>678</v>
      </c>
      <c r="D7281" s="2">
        <v>2473717.67</v>
      </c>
      <c r="E7281">
        <v>0</v>
      </c>
      <c r="F7281">
        <v>0</v>
      </c>
    </row>
    <row r="7282" spans="1:6" x14ac:dyDescent="0.25">
      <c r="A7282" s="1">
        <v>45139</v>
      </c>
      <c r="B7282" t="s">
        <v>50</v>
      </c>
      <c r="C7282" t="s">
        <v>574</v>
      </c>
      <c r="D7282" s="2">
        <v>8753864.1300000008</v>
      </c>
      <c r="E7282" s="2">
        <v>9290446.4399999995</v>
      </c>
      <c r="F7282" s="2">
        <v>9985257.5800000001</v>
      </c>
    </row>
    <row r="7283" spans="1:6" x14ac:dyDescent="0.25">
      <c r="A7283" s="1">
        <v>45139</v>
      </c>
      <c r="B7283" t="s">
        <v>23</v>
      </c>
      <c r="C7283" t="s">
        <v>630</v>
      </c>
      <c r="D7283" s="2">
        <v>292951.92</v>
      </c>
      <c r="E7283" s="2">
        <v>120985.43</v>
      </c>
      <c r="F7283" s="2">
        <v>86075.43</v>
      </c>
    </row>
    <row r="7284" spans="1:6" x14ac:dyDescent="0.25">
      <c r="A7284" s="1">
        <v>45139</v>
      </c>
      <c r="B7284" t="s">
        <v>460</v>
      </c>
      <c r="C7284" t="s">
        <v>1330</v>
      </c>
      <c r="D7284">
        <v>0</v>
      </c>
      <c r="E7284">
        <v>0</v>
      </c>
      <c r="F7284">
        <v>0</v>
      </c>
    </row>
    <row r="7285" spans="1:6" x14ac:dyDescent="0.25">
      <c r="A7285" s="1">
        <v>45139</v>
      </c>
      <c r="B7285" t="s">
        <v>46</v>
      </c>
      <c r="C7285" t="s">
        <v>241</v>
      </c>
      <c r="D7285" s="2">
        <v>1356172.59</v>
      </c>
      <c r="E7285" s="2">
        <v>1111148.3899999999</v>
      </c>
      <c r="F7285" s="2">
        <v>4604892.18</v>
      </c>
    </row>
    <row r="7286" spans="1:6" x14ac:dyDescent="0.25">
      <c r="A7286" s="1">
        <v>45139</v>
      </c>
      <c r="B7286" t="s">
        <v>13</v>
      </c>
      <c r="C7286" t="s">
        <v>617</v>
      </c>
      <c r="D7286" s="2">
        <v>60538.879999999997</v>
      </c>
      <c r="E7286" s="2">
        <v>46611.74</v>
      </c>
      <c r="F7286" s="2">
        <v>211099.75</v>
      </c>
    </row>
    <row r="7287" spans="1:6" x14ac:dyDescent="0.25">
      <c r="A7287" s="1">
        <v>45139</v>
      </c>
      <c r="B7287" t="s">
        <v>21</v>
      </c>
      <c r="C7287" t="s">
        <v>462</v>
      </c>
      <c r="D7287" s="2">
        <v>170276.71</v>
      </c>
      <c r="E7287" s="2">
        <v>751083.59</v>
      </c>
      <c r="F7287" s="2">
        <v>675102.41</v>
      </c>
    </row>
    <row r="7288" spans="1:6" x14ac:dyDescent="0.25">
      <c r="A7288" s="1">
        <v>45139</v>
      </c>
      <c r="B7288" t="s">
        <v>726</v>
      </c>
      <c r="C7288" t="s">
        <v>837</v>
      </c>
      <c r="D7288" s="2">
        <v>383740.96</v>
      </c>
      <c r="E7288" s="2">
        <v>1100040.58</v>
      </c>
      <c r="F7288" s="2">
        <v>1096369.68</v>
      </c>
    </row>
    <row r="7289" spans="1:6" x14ac:dyDescent="0.25">
      <c r="A7289" s="1">
        <v>45139</v>
      </c>
      <c r="B7289" t="s">
        <v>272</v>
      </c>
      <c r="C7289" t="s">
        <v>273</v>
      </c>
      <c r="D7289" s="2">
        <v>129800</v>
      </c>
      <c r="E7289" s="2">
        <v>33923.32</v>
      </c>
      <c r="F7289" s="2">
        <v>33923.32</v>
      </c>
    </row>
    <row r="7290" spans="1:6" x14ac:dyDescent="0.25">
      <c r="A7290" s="1">
        <v>45139</v>
      </c>
      <c r="B7290" t="s">
        <v>46</v>
      </c>
      <c r="C7290" t="s">
        <v>295</v>
      </c>
      <c r="D7290" s="2">
        <v>1806542.35</v>
      </c>
      <c r="E7290" s="2">
        <v>1101645.01</v>
      </c>
      <c r="F7290" s="2">
        <v>1474664.98</v>
      </c>
    </row>
    <row r="7291" spans="1:6" x14ac:dyDescent="0.25">
      <c r="A7291" s="1">
        <v>45139</v>
      </c>
      <c r="B7291" t="s">
        <v>23</v>
      </c>
      <c r="C7291" t="s">
        <v>482</v>
      </c>
      <c r="D7291" s="2">
        <v>-19804968.329999998</v>
      </c>
      <c r="E7291" s="2">
        <v>1531858.66</v>
      </c>
      <c r="F7291" s="2">
        <v>758165.87</v>
      </c>
    </row>
    <row r="7292" spans="1:6" x14ac:dyDescent="0.25">
      <c r="A7292" s="1">
        <v>45139</v>
      </c>
      <c r="B7292" t="s">
        <v>92</v>
      </c>
      <c r="C7292" t="s">
        <v>317</v>
      </c>
      <c r="D7292" s="2">
        <v>312374.64</v>
      </c>
      <c r="E7292" s="2">
        <v>366015.64</v>
      </c>
      <c r="F7292" s="2">
        <v>366015.64</v>
      </c>
    </row>
    <row r="7293" spans="1:6" x14ac:dyDescent="0.25">
      <c r="A7293" s="1">
        <v>45139</v>
      </c>
      <c r="B7293" t="s">
        <v>23</v>
      </c>
      <c r="C7293" t="s">
        <v>603</v>
      </c>
      <c r="D7293">
        <v>0</v>
      </c>
      <c r="E7293" s="2">
        <v>570896.74</v>
      </c>
      <c r="F7293" s="2">
        <v>605126.74</v>
      </c>
    </row>
    <row r="7294" spans="1:6" x14ac:dyDescent="0.25">
      <c r="A7294" s="1">
        <v>45139</v>
      </c>
      <c r="B7294" t="s">
        <v>40</v>
      </c>
      <c r="C7294" t="s">
        <v>215</v>
      </c>
      <c r="D7294">
        <v>0</v>
      </c>
      <c r="E7294">
        <v>0</v>
      </c>
      <c r="F7294">
        <v>0</v>
      </c>
    </row>
    <row r="7295" spans="1:6" x14ac:dyDescent="0.25">
      <c r="A7295" s="1">
        <v>45139</v>
      </c>
      <c r="B7295" t="s">
        <v>11</v>
      </c>
      <c r="C7295" t="s">
        <v>778</v>
      </c>
      <c r="D7295">
        <v>0</v>
      </c>
      <c r="E7295" s="2">
        <v>-17787.990000000002</v>
      </c>
      <c r="F7295" s="2">
        <v>178566346.71000001</v>
      </c>
    </row>
    <row r="7296" spans="1:6" x14ac:dyDescent="0.25">
      <c r="A7296" s="1">
        <v>45139</v>
      </c>
      <c r="B7296" t="s">
        <v>21</v>
      </c>
      <c r="C7296" t="s">
        <v>652</v>
      </c>
      <c r="D7296">
        <v>0</v>
      </c>
      <c r="E7296" s="2">
        <v>35189362.420000002</v>
      </c>
      <c r="F7296" s="2">
        <v>36246818.880000003</v>
      </c>
    </row>
    <row r="7297" spans="1:6" x14ac:dyDescent="0.25">
      <c r="A7297" s="1">
        <v>45139</v>
      </c>
      <c r="B7297" t="s">
        <v>21</v>
      </c>
      <c r="C7297" t="s">
        <v>797</v>
      </c>
      <c r="D7297" s="2">
        <v>42667111.520000003</v>
      </c>
      <c r="E7297">
        <v>0</v>
      </c>
      <c r="F7297">
        <v>0</v>
      </c>
    </row>
    <row r="7298" spans="1:6" x14ac:dyDescent="0.25">
      <c r="A7298" s="1">
        <v>45139</v>
      </c>
      <c r="B7298" t="s">
        <v>17</v>
      </c>
      <c r="C7298" t="s">
        <v>145</v>
      </c>
      <c r="D7298">
        <v>0</v>
      </c>
      <c r="E7298" s="2">
        <v>5010876.72</v>
      </c>
      <c r="F7298" s="2">
        <v>4951384.4000000004</v>
      </c>
    </row>
    <row r="7299" spans="1:6" x14ac:dyDescent="0.25">
      <c r="A7299" s="1">
        <v>45139</v>
      </c>
      <c r="B7299" t="s">
        <v>21</v>
      </c>
      <c r="C7299" t="s">
        <v>497</v>
      </c>
      <c r="D7299" s="2">
        <v>1000000</v>
      </c>
      <c r="E7299" s="2">
        <v>975391.19</v>
      </c>
      <c r="F7299" s="2">
        <v>1055490.32</v>
      </c>
    </row>
    <row r="7300" spans="1:6" x14ac:dyDescent="0.25">
      <c r="A7300" s="1">
        <v>45139</v>
      </c>
      <c r="B7300" t="s">
        <v>288</v>
      </c>
      <c r="C7300" t="s">
        <v>390</v>
      </c>
      <c r="D7300" s="2">
        <v>37909.74</v>
      </c>
      <c r="E7300" s="2">
        <v>209888.23</v>
      </c>
      <c r="F7300" s="2">
        <v>284265.24</v>
      </c>
    </row>
    <row r="7301" spans="1:6" x14ac:dyDescent="0.25">
      <c r="A7301" s="1">
        <v>45139</v>
      </c>
      <c r="B7301" t="s">
        <v>55</v>
      </c>
      <c r="C7301" t="s">
        <v>198</v>
      </c>
      <c r="D7301">
        <v>0</v>
      </c>
      <c r="E7301">
        <v>0</v>
      </c>
      <c r="F7301">
        <v>0</v>
      </c>
    </row>
    <row r="7302" spans="1:6" x14ac:dyDescent="0.25">
      <c r="A7302" s="1">
        <v>45139</v>
      </c>
      <c r="B7302" t="s">
        <v>17</v>
      </c>
      <c r="C7302" t="s">
        <v>782</v>
      </c>
      <c r="D7302" s="2">
        <v>2754004</v>
      </c>
      <c r="E7302" s="2">
        <v>814604</v>
      </c>
      <c r="F7302">
        <v>0</v>
      </c>
    </row>
    <row r="7303" spans="1:6" x14ac:dyDescent="0.25">
      <c r="A7303" s="1">
        <v>45139</v>
      </c>
      <c r="B7303" t="s">
        <v>118</v>
      </c>
      <c r="C7303" t="s">
        <v>277</v>
      </c>
      <c r="D7303" s="2">
        <v>1482510.62</v>
      </c>
      <c r="E7303" s="2">
        <v>24408.17</v>
      </c>
      <c r="F7303" s="2">
        <v>6557.5</v>
      </c>
    </row>
    <row r="7304" spans="1:6" x14ac:dyDescent="0.25">
      <c r="A7304" s="1">
        <v>45139</v>
      </c>
      <c r="B7304" t="s">
        <v>37</v>
      </c>
      <c r="C7304" t="s">
        <v>840</v>
      </c>
      <c r="D7304" s="2">
        <v>186775239.41999999</v>
      </c>
      <c r="E7304" s="2">
        <v>17386332.710000001</v>
      </c>
      <c r="F7304" s="2">
        <v>16390138.970000001</v>
      </c>
    </row>
    <row r="7305" spans="1:6" x14ac:dyDescent="0.25">
      <c r="A7305" s="1">
        <v>45139</v>
      </c>
      <c r="B7305" t="s">
        <v>11</v>
      </c>
      <c r="C7305" t="s">
        <v>342</v>
      </c>
      <c r="D7305" s="2">
        <v>24239983.800000001</v>
      </c>
      <c r="E7305" s="2">
        <v>1228948610.0599999</v>
      </c>
      <c r="F7305" s="2">
        <v>1105019781.3</v>
      </c>
    </row>
    <row r="7306" spans="1:6" x14ac:dyDescent="0.25">
      <c r="A7306" s="1">
        <v>45139</v>
      </c>
      <c r="B7306" t="s">
        <v>21</v>
      </c>
      <c r="C7306" t="s">
        <v>524</v>
      </c>
      <c r="D7306">
        <v>0</v>
      </c>
      <c r="E7306" s="2">
        <v>1280644.06</v>
      </c>
      <c r="F7306" s="2">
        <v>1280644.06</v>
      </c>
    </row>
    <row r="7307" spans="1:6" x14ac:dyDescent="0.25">
      <c r="A7307" s="1">
        <v>45139</v>
      </c>
      <c r="B7307" t="s">
        <v>9</v>
      </c>
      <c r="C7307" t="s">
        <v>667</v>
      </c>
      <c r="D7307" s="2">
        <v>104640.06</v>
      </c>
      <c r="E7307" s="2">
        <v>66567</v>
      </c>
      <c r="F7307" s="2">
        <v>92931</v>
      </c>
    </row>
    <row r="7308" spans="1:6" x14ac:dyDescent="0.25">
      <c r="A7308" s="1">
        <v>45139</v>
      </c>
      <c r="B7308" t="s">
        <v>272</v>
      </c>
      <c r="C7308" t="s">
        <v>593</v>
      </c>
      <c r="D7308" s="2">
        <v>4859139.16</v>
      </c>
      <c r="E7308" s="2">
        <v>3154326.82</v>
      </c>
      <c r="F7308" s="2">
        <v>3040249.65</v>
      </c>
    </row>
    <row r="7309" spans="1:6" x14ac:dyDescent="0.25">
      <c r="A7309" s="1">
        <v>45139</v>
      </c>
      <c r="B7309" t="s">
        <v>21</v>
      </c>
      <c r="C7309" t="s">
        <v>963</v>
      </c>
      <c r="D7309">
        <v>0</v>
      </c>
      <c r="E7309" s="2">
        <v>4450763.26</v>
      </c>
      <c r="F7309" s="2">
        <v>4450763.26</v>
      </c>
    </row>
    <row r="7310" spans="1:6" x14ac:dyDescent="0.25">
      <c r="A7310" s="1">
        <v>45139</v>
      </c>
      <c r="B7310" t="s">
        <v>821</v>
      </c>
      <c r="C7310" t="s">
        <v>822</v>
      </c>
      <c r="D7310">
        <v>0</v>
      </c>
      <c r="E7310" s="2">
        <v>39306.879999999997</v>
      </c>
      <c r="F7310" s="2">
        <v>64543.01</v>
      </c>
    </row>
    <row r="7311" spans="1:6" x14ac:dyDescent="0.25">
      <c r="A7311" s="1">
        <v>45139</v>
      </c>
      <c r="B7311" t="s">
        <v>23</v>
      </c>
      <c r="C7311" t="s">
        <v>610</v>
      </c>
      <c r="D7311" s="2">
        <v>789210.1</v>
      </c>
      <c r="E7311" s="2">
        <v>61651839.219999999</v>
      </c>
      <c r="F7311" s="2">
        <v>31172648.18</v>
      </c>
    </row>
    <row r="7312" spans="1:6" x14ac:dyDescent="0.25">
      <c r="A7312" s="1">
        <v>45139</v>
      </c>
      <c r="B7312" t="s">
        <v>46</v>
      </c>
      <c r="C7312" t="s">
        <v>987</v>
      </c>
      <c r="D7312" s="2">
        <v>50000</v>
      </c>
      <c r="E7312" s="2">
        <v>98184.09</v>
      </c>
      <c r="F7312" s="2">
        <v>848729.57</v>
      </c>
    </row>
    <row r="7313" spans="1:6" x14ac:dyDescent="0.25">
      <c r="A7313" s="1">
        <v>45139</v>
      </c>
      <c r="B7313" t="s">
        <v>23</v>
      </c>
      <c r="C7313" t="s">
        <v>698</v>
      </c>
      <c r="D7313" s="2">
        <v>230756</v>
      </c>
      <c r="E7313" s="2">
        <v>286759.36</v>
      </c>
      <c r="F7313" s="2">
        <v>461981.04</v>
      </c>
    </row>
    <row r="7314" spans="1:6" x14ac:dyDescent="0.25">
      <c r="A7314" s="1">
        <v>45139</v>
      </c>
      <c r="B7314" t="s">
        <v>383</v>
      </c>
      <c r="C7314" t="s">
        <v>1197</v>
      </c>
      <c r="D7314">
        <v>0</v>
      </c>
      <c r="E7314">
        <v>0</v>
      </c>
      <c r="F7314">
        <v>0</v>
      </c>
    </row>
    <row r="7315" spans="1:6" x14ac:dyDescent="0.25">
      <c r="A7315" s="1">
        <v>45139</v>
      </c>
      <c r="B7315" t="s">
        <v>31</v>
      </c>
      <c r="C7315" t="s">
        <v>167</v>
      </c>
      <c r="D7315">
        <v>0</v>
      </c>
      <c r="E7315">
        <v>0</v>
      </c>
      <c r="F7315">
        <v>0</v>
      </c>
    </row>
    <row r="7316" spans="1:6" x14ac:dyDescent="0.25">
      <c r="A7316" s="1">
        <v>45139</v>
      </c>
      <c r="B7316" t="s">
        <v>96</v>
      </c>
      <c r="C7316" t="s">
        <v>243</v>
      </c>
      <c r="D7316">
        <v>0</v>
      </c>
      <c r="E7316">
        <v>0</v>
      </c>
      <c r="F7316">
        <v>0</v>
      </c>
    </row>
    <row r="7317" spans="1:6" x14ac:dyDescent="0.25">
      <c r="A7317" s="1">
        <v>45139</v>
      </c>
      <c r="B7317" t="s">
        <v>40</v>
      </c>
      <c r="C7317" t="s">
        <v>815</v>
      </c>
      <c r="D7317" s="2">
        <v>-2000</v>
      </c>
      <c r="E7317" s="2">
        <v>14989.65</v>
      </c>
      <c r="F7317" s="2">
        <v>14989.65</v>
      </c>
    </row>
    <row r="7318" spans="1:6" x14ac:dyDescent="0.25">
      <c r="A7318" s="1">
        <v>45139</v>
      </c>
      <c r="B7318" t="s">
        <v>23</v>
      </c>
      <c r="C7318" t="s">
        <v>580</v>
      </c>
      <c r="D7318" s="2">
        <v>5011.8999999999996</v>
      </c>
      <c r="E7318" s="2">
        <v>146859.9</v>
      </c>
      <c r="F7318" s="2">
        <v>123797.09</v>
      </c>
    </row>
    <row r="7319" spans="1:6" x14ac:dyDescent="0.25">
      <c r="A7319" s="1">
        <v>45139</v>
      </c>
      <c r="B7319" t="s">
        <v>831</v>
      </c>
      <c r="C7319" t="s">
        <v>95</v>
      </c>
      <c r="D7319">
        <v>0</v>
      </c>
      <c r="E7319">
        <v>0</v>
      </c>
      <c r="F7319">
        <v>0</v>
      </c>
    </row>
    <row r="7320" spans="1:6" x14ac:dyDescent="0.25">
      <c r="A7320" s="1">
        <v>45139</v>
      </c>
      <c r="B7320" t="s">
        <v>21</v>
      </c>
      <c r="C7320" t="s">
        <v>939</v>
      </c>
      <c r="D7320">
        <v>0</v>
      </c>
      <c r="E7320" s="2">
        <v>136133.5</v>
      </c>
      <c r="F7320" s="2">
        <v>12864.62</v>
      </c>
    </row>
    <row r="7321" spans="1:6" x14ac:dyDescent="0.25">
      <c r="A7321" s="1">
        <v>45139</v>
      </c>
      <c r="B7321" t="s">
        <v>263</v>
      </c>
      <c r="C7321" t="s">
        <v>1189</v>
      </c>
      <c r="D7321">
        <v>0</v>
      </c>
      <c r="E7321" s="2">
        <v>4000750.64</v>
      </c>
      <c r="F7321" s="2">
        <v>1202482.05</v>
      </c>
    </row>
    <row r="7322" spans="1:6" x14ac:dyDescent="0.25">
      <c r="A7322" s="1">
        <v>45139</v>
      </c>
      <c r="B7322" t="s">
        <v>61</v>
      </c>
      <c r="C7322" t="s">
        <v>728</v>
      </c>
      <c r="D7322">
        <v>0</v>
      </c>
      <c r="E7322">
        <v>0</v>
      </c>
      <c r="F7322">
        <v>0</v>
      </c>
    </row>
    <row r="7323" spans="1:6" x14ac:dyDescent="0.25">
      <c r="A7323" s="1">
        <v>45139</v>
      </c>
      <c r="B7323" t="s">
        <v>132</v>
      </c>
      <c r="C7323" t="s">
        <v>133</v>
      </c>
      <c r="D7323" s="2">
        <v>226203</v>
      </c>
      <c r="E7323">
        <v>0</v>
      </c>
      <c r="F7323">
        <v>0</v>
      </c>
    </row>
    <row r="7324" spans="1:6" x14ac:dyDescent="0.25">
      <c r="A7324" s="1">
        <v>45139</v>
      </c>
      <c r="B7324" t="s">
        <v>21</v>
      </c>
      <c r="C7324" t="s">
        <v>562</v>
      </c>
      <c r="D7324" s="2">
        <v>160831.24</v>
      </c>
      <c r="E7324" s="2">
        <v>6961490.7199999997</v>
      </c>
      <c r="F7324" s="2">
        <v>6436747.7400000002</v>
      </c>
    </row>
    <row r="7325" spans="1:6" x14ac:dyDescent="0.25">
      <c r="A7325" s="1">
        <v>45139</v>
      </c>
      <c r="B7325" t="s">
        <v>405</v>
      </c>
      <c r="C7325" t="s">
        <v>72</v>
      </c>
      <c r="D7325">
        <v>0</v>
      </c>
      <c r="E7325">
        <v>0</v>
      </c>
      <c r="F7325">
        <v>0</v>
      </c>
    </row>
    <row r="7326" spans="1:6" x14ac:dyDescent="0.25">
      <c r="A7326" s="1">
        <v>45139</v>
      </c>
      <c r="B7326" t="s">
        <v>383</v>
      </c>
      <c r="C7326" t="s">
        <v>754</v>
      </c>
      <c r="D7326">
        <v>0</v>
      </c>
      <c r="E7326">
        <v>0</v>
      </c>
      <c r="F7326">
        <v>0</v>
      </c>
    </row>
    <row r="7327" spans="1:6" x14ac:dyDescent="0.25">
      <c r="A7327" s="1">
        <v>45139</v>
      </c>
      <c r="B7327" t="s">
        <v>21</v>
      </c>
      <c r="C7327" t="s">
        <v>1026</v>
      </c>
      <c r="D7327">
        <v>0</v>
      </c>
      <c r="E7327">
        <v>0</v>
      </c>
      <c r="F7327">
        <v>0</v>
      </c>
    </row>
    <row r="7328" spans="1:6" x14ac:dyDescent="0.25">
      <c r="A7328" s="1">
        <v>45139</v>
      </c>
      <c r="B7328" t="s">
        <v>21</v>
      </c>
      <c r="C7328" t="s">
        <v>202</v>
      </c>
      <c r="D7328" s="2">
        <v>1899933</v>
      </c>
      <c r="E7328">
        <v>0</v>
      </c>
      <c r="F7328">
        <v>0</v>
      </c>
    </row>
    <row r="7329" spans="1:6" x14ac:dyDescent="0.25">
      <c r="A7329" s="1">
        <v>45139</v>
      </c>
      <c r="B7329" t="s">
        <v>44</v>
      </c>
      <c r="C7329" t="s">
        <v>254</v>
      </c>
      <c r="D7329" s="2">
        <v>176003.13</v>
      </c>
      <c r="E7329" s="2">
        <v>127350.55</v>
      </c>
      <c r="F7329" s="2">
        <v>127388.52</v>
      </c>
    </row>
    <row r="7330" spans="1:6" x14ac:dyDescent="0.25">
      <c r="A7330" s="1">
        <v>45139</v>
      </c>
      <c r="B7330" t="s">
        <v>11</v>
      </c>
      <c r="C7330" t="s">
        <v>566</v>
      </c>
      <c r="D7330" s="2">
        <v>28081880.359999999</v>
      </c>
      <c r="E7330" s="2">
        <v>30491663.18</v>
      </c>
      <c r="F7330" s="2">
        <v>503405974.11000001</v>
      </c>
    </row>
    <row r="7331" spans="1:6" x14ac:dyDescent="0.25">
      <c r="A7331" s="1">
        <v>45139</v>
      </c>
      <c r="B7331" t="s">
        <v>23</v>
      </c>
      <c r="C7331" t="s">
        <v>1020</v>
      </c>
      <c r="D7331" s="2">
        <v>248180.88</v>
      </c>
      <c r="E7331" s="2">
        <v>344246.34</v>
      </c>
      <c r="F7331" s="2">
        <v>1161723.69</v>
      </c>
    </row>
    <row r="7332" spans="1:6" x14ac:dyDescent="0.25">
      <c r="A7332" s="1">
        <v>45139</v>
      </c>
      <c r="B7332" t="s">
        <v>114</v>
      </c>
      <c r="C7332" t="s">
        <v>882</v>
      </c>
      <c r="D7332" s="2">
        <v>1219606.03</v>
      </c>
      <c r="E7332" s="2">
        <v>1155292.81</v>
      </c>
      <c r="F7332" s="2">
        <v>1155292.81</v>
      </c>
    </row>
    <row r="7333" spans="1:6" x14ac:dyDescent="0.25">
      <c r="A7333" s="1">
        <v>45139</v>
      </c>
      <c r="B7333" t="s">
        <v>118</v>
      </c>
      <c r="C7333" t="s">
        <v>179</v>
      </c>
      <c r="D7333">
        <v>0</v>
      </c>
      <c r="E7333">
        <v>0</v>
      </c>
      <c r="F7333">
        <v>0</v>
      </c>
    </row>
    <row r="7334" spans="1:6" x14ac:dyDescent="0.25">
      <c r="A7334" s="1">
        <v>45139</v>
      </c>
      <c r="B7334" t="s">
        <v>23</v>
      </c>
      <c r="C7334" t="s">
        <v>343</v>
      </c>
      <c r="D7334" s="2">
        <v>-4042283.4</v>
      </c>
      <c r="E7334" s="2">
        <v>22653571.210000001</v>
      </c>
      <c r="F7334" s="2">
        <v>22664043.210000001</v>
      </c>
    </row>
    <row r="7335" spans="1:6" x14ac:dyDescent="0.25">
      <c r="A7335" s="1">
        <v>45139</v>
      </c>
      <c r="B7335" t="s">
        <v>27</v>
      </c>
      <c r="C7335" t="s">
        <v>535</v>
      </c>
      <c r="D7335" s="2">
        <v>6196503.71</v>
      </c>
      <c r="E7335" s="2">
        <v>12713107.65</v>
      </c>
      <c r="F7335" s="2">
        <v>13000695.189999999</v>
      </c>
    </row>
    <row r="7336" spans="1:6" x14ac:dyDescent="0.25">
      <c r="A7336" s="1">
        <v>45139</v>
      </c>
      <c r="B7336" t="s">
        <v>21</v>
      </c>
      <c r="C7336" t="s">
        <v>608</v>
      </c>
      <c r="D7336">
        <v>0</v>
      </c>
      <c r="E7336" s="2">
        <v>3201359.26</v>
      </c>
      <c r="F7336" s="2">
        <v>2937856.54</v>
      </c>
    </row>
    <row r="7337" spans="1:6" x14ac:dyDescent="0.25">
      <c r="A7337" s="1">
        <v>45139</v>
      </c>
      <c r="B7337" t="s">
        <v>114</v>
      </c>
      <c r="C7337" t="s">
        <v>597</v>
      </c>
      <c r="D7337" s="2">
        <v>67357064.060000002</v>
      </c>
      <c r="E7337" s="2">
        <v>6947801.9299999997</v>
      </c>
      <c r="F7337" s="2">
        <v>7279674.5499999998</v>
      </c>
    </row>
    <row r="7338" spans="1:6" x14ac:dyDescent="0.25">
      <c r="A7338" s="1">
        <v>45139</v>
      </c>
      <c r="B7338" t="s">
        <v>40</v>
      </c>
      <c r="C7338" t="s">
        <v>541</v>
      </c>
      <c r="D7338">
        <v>835.36</v>
      </c>
      <c r="E7338" s="2">
        <v>137039.39000000001</v>
      </c>
      <c r="F7338" s="2">
        <v>137039.39000000001</v>
      </c>
    </row>
    <row r="7339" spans="1:6" x14ac:dyDescent="0.25">
      <c r="A7339" s="1">
        <v>45139</v>
      </c>
      <c r="B7339" t="s">
        <v>105</v>
      </c>
      <c r="C7339" t="s">
        <v>1084</v>
      </c>
      <c r="D7339" s="2">
        <v>1367661</v>
      </c>
      <c r="E7339" s="2">
        <v>351906</v>
      </c>
      <c r="F7339" s="2">
        <v>351906</v>
      </c>
    </row>
    <row r="7340" spans="1:6" x14ac:dyDescent="0.25">
      <c r="A7340" s="1">
        <v>45139</v>
      </c>
      <c r="B7340" t="s">
        <v>213</v>
      </c>
      <c r="C7340" t="s">
        <v>1061</v>
      </c>
      <c r="D7340">
        <v>0</v>
      </c>
      <c r="E7340">
        <v>0</v>
      </c>
      <c r="F7340">
        <v>0</v>
      </c>
    </row>
    <row r="7341" spans="1:6" x14ac:dyDescent="0.25">
      <c r="A7341" s="1">
        <v>45139</v>
      </c>
      <c r="B7341" t="s">
        <v>40</v>
      </c>
      <c r="C7341" t="s">
        <v>555</v>
      </c>
      <c r="D7341" s="2">
        <v>68800432.5</v>
      </c>
      <c r="E7341" s="2">
        <v>39238783.659999996</v>
      </c>
      <c r="F7341" s="2">
        <v>42652348.039999999</v>
      </c>
    </row>
    <row r="7342" spans="1:6" x14ac:dyDescent="0.25">
      <c r="A7342" s="1">
        <v>45139</v>
      </c>
      <c r="B7342" t="s">
        <v>773</v>
      </c>
      <c r="C7342" t="s">
        <v>774</v>
      </c>
      <c r="D7342" s="2">
        <v>99019075.450000003</v>
      </c>
      <c r="E7342" s="2">
        <v>21127175.850000001</v>
      </c>
      <c r="F7342" s="2">
        <v>20871360.370000001</v>
      </c>
    </row>
    <row r="7343" spans="1:6" x14ac:dyDescent="0.25">
      <c r="A7343" s="1">
        <v>45139</v>
      </c>
      <c r="B7343" t="s">
        <v>11</v>
      </c>
      <c r="C7343" t="s">
        <v>204</v>
      </c>
      <c r="D7343">
        <v>0</v>
      </c>
      <c r="E7343" s="2">
        <v>126215170.53</v>
      </c>
      <c r="F7343" s="2">
        <v>126215170.53</v>
      </c>
    </row>
    <row r="7344" spans="1:6" x14ac:dyDescent="0.25">
      <c r="A7344" s="1">
        <v>45139</v>
      </c>
      <c r="B7344" t="s">
        <v>101</v>
      </c>
      <c r="C7344" t="s">
        <v>203</v>
      </c>
      <c r="D7344" s="2">
        <v>14472941.1</v>
      </c>
      <c r="E7344" s="2">
        <v>2517471.25</v>
      </c>
      <c r="F7344" s="2">
        <v>3888568.67</v>
      </c>
    </row>
    <row r="7345" spans="1:6" x14ac:dyDescent="0.25">
      <c r="A7345" s="1">
        <v>45139</v>
      </c>
      <c r="B7345" t="s">
        <v>37</v>
      </c>
      <c r="C7345" t="s">
        <v>492</v>
      </c>
      <c r="D7345" s="2">
        <v>5124068.8499999996</v>
      </c>
      <c r="E7345" s="2">
        <v>60216.12</v>
      </c>
      <c r="F7345" s="2">
        <v>54451.11</v>
      </c>
    </row>
    <row r="7346" spans="1:6" x14ac:dyDescent="0.25">
      <c r="A7346" s="1">
        <v>45139</v>
      </c>
      <c r="B7346" t="s">
        <v>306</v>
      </c>
      <c r="C7346" t="s">
        <v>841</v>
      </c>
      <c r="D7346" s="2">
        <v>1858381.75</v>
      </c>
      <c r="E7346" s="2">
        <v>2178889.62</v>
      </c>
      <c r="F7346" s="2">
        <v>2190846.5099999998</v>
      </c>
    </row>
    <row r="7347" spans="1:6" x14ac:dyDescent="0.25">
      <c r="A7347" s="1">
        <v>45139</v>
      </c>
      <c r="B7347" t="s">
        <v>37</v>
      </c>
      <c r="C7347" t="s">
        <v>583</v>
      </c>
      <c r="D7347" s="2">
        <v>358122.55</v>
      </c>
      <c r="E7347" s="2">
        <v>54897.87</v>
      </c>
      <c r="F7347" s="2">
        <v>26528.25</v>
      </c>
    </row>
    <row r="7348" spans="1:6" x14ac:dyDescent="0.25">
      <c r="A7348" s="1">
        <v>45139</v>
      </c>
      <c r="B7348" t="s">
        <v>27</v>
      </c>
      <c r="C7348" t="s">
        <v>811</v>
      </c>
      <c r="D7348" s="2">
        <v>-330892.61</v>
      </c>
      <c r="E7348" s="2">
        <v>146577.60999999999</v>
      </c>
      <c r="F7348" s="2">
        <v>140801.70000000001</v>
      </c>
    </row>
    <row r="7349" spans="1:6" x14ac:dyDescent="0.25">
      <c r="A7349" s="1">
        <v>45139</v>
      </c>
      <c r="B7349" t="s">
        <v>21</v>
      </c>
      <c r="C7349" t="s">
        <v>404</v>
      </c>
      <c r="D7349">
        <v>0</v>
      </c>
      <c r="E7349">
        <v>0</v>
      </c>
      <c r="F7349">
        <v>0</v>
      </c>
    </row>
    <row r="7350" spans="1:6" x14ac:dyDescent="0.25">
      <c r="A7350" s="1">
        <v>45139</v>
      </c>
      <c r="B7350" t="s">
        <v>21</v>
      </c>
      <c r="C7350" t="s">
        <v>366</v>
      </c>
      <c r="D7350" s="2">
        <v>441030.52</v>
      </c>
      <c r="E7350" s="2">
        <v>166460.06</v>
      </c>
      <c r="F7350" s="2">
        <v>139783.51</v>
      </c>
    </row>
    <row r="7351" spans="1:6" x14ac:dyDescent="0.25">
      <c r="A7351" s="1">
        <v>45139</v>
      </c>
      <c r="B7351" t="s">
        <v>13</v>
      </c>
      <c r="C7351" t="s">
        <v>711</v>
      </c>
      <c r="D7351" s="2">
        <v>2144615.33</v>
      </c>
      <c r="E7351" s="2">
        <v>4628634.17</v>
      </c>
      <c r="F7351" s="2">
        <v>4748047.1900000004</v>
      </c>
    </row>
    <row r="7352" spans="1:6" x14ac:dyDescent="0.25">
      <c r="A7352" s="1">
        <v>45139</v>
      </c>
      <c r="B7352" t="s">
        <v>42</v>
      </c>
      <c r="C7352" t="s">
        <v>978</v>
      </c>
      <c r="D7352" s="2">
        <v>35000000</v>
      </c>
      <c r="E7352">
        <v>0</v>
      </c>
      <c r="F7352" s="2">
        <v>13299671.82</v>
      </c>
    </row>
    <row r="7353" spans="1:6" x14ac:dyDescent="0.25">
      <c r="A7353" s="1">
        <v>45139</v>
      </c>
      <c r="B7353" t="s">
        <v>40</v>
      </c>
      <c r="C7353" t="s">
        <v>450</v>
      </c>
      <c r="D7353" s="2">
        <v>-1362.7</v>
      </c>
      <c r="E7353" s="2">
        <v>390919.16</v>
      </c>
      <c r="F7353" s="2">
        <v>381041.38</v>
      </c>
    </row>
    <row r="7354" spans="1:6" x14ac:dyDescent="0.25">
      <c r="A7354" s="1">
        <v>45139</v>
      </c>
      <c r="B7354" t="s">
        <v>549</v>
      </c>
      <c r="C7354" t="s">
        <v>825</v>
      </c>
      <c r="D7354">
        <v>0</v>
      </c>
      <c r="E7354">
        <v>0</v>
      </c>
      <c r="F7354">
        <v>0</v>
      </c>
    </row>
    <row r="7355" spans="1:6" x14ac:dyDescent="0.25">
      <c r="A7355" s="1">
        <v>45139</v>
      </c>
      <c r="B7355" t="s">
        <v>15</v>
      </c>
      <c r="C7355" t="s">
        <v>693</v>
      </c>
      <c r="D7355" s="2">
        <v>3706572.66</v>
      </c>
      <c r="E7355" s="2">
        <v>2856199.59</v>
      </c>
      <c r="F7355" s="2">
        <v>3553478.21</v>
      </c>
    </row>
    <row r="7356" spans="1:6" x14ac:dyDescent="0.25">
      <c r="A7356" s="1">
        <v>45139</v>
      </c>
      <c r="B7356" t="s">
        <v>40</v>
      </c>
      <c r="C7356" t="s">
        <v>449</v>
      </c>
      <c r="D7356" s="2">
        <v>-507006.69</v>
      </c>
      <c r="E7356" s="2">
        <v>755093.03</v>
      </c>
      <c r="F7356" s="2">
        <v>836160.33</v>
      </c>
    </row>
    <row r="7357" spans="1:6" x14ac:dyDescent="0.25">
      <c r="A7357" s="1">
        <v>45139</v>
      </c>
      <c r="B7357" t="s">
        <v>40</v>
      </c>
      <c r="C7357" t="s">
        <v>1141</v>
      </c>
      <c r="D7357">
        <v>0</v>
      </c>
      <c r="E7357">
        <v>0</v>
      </c>
      <c r="F7357">
        <v>0</v>
      </c>
    </row>
    <row r="7358" spans="1:6" x14ac:dyDescent="0.25">
      <c r="A7358" s="1">
        <v>45139</v>
      </c>
      <c r="B7358" t="s">
        <v>21</v>
      </c>
      <c r="C7358" t="s">
        <v>1105</v>
      </c>
      <c r="D7358" s="2">
        <v>2250000</v>
      </c>
      <c r="E7358" s="2">
        <v>1509909.69</v>
      </c>
      <c r="F7358" s="2">
        <v>1509909.69</v>
      </c>
    </row>
    <row r="7359" spans="1:6" x14ac:dyDescent="0.25">
      <c r="A7359" s="1">
        <v>45139</v>
      </c>
      <c r="B7359" t="s">
        <v>648</v>
      </c>
      <c r="C7359" t="s">
        <v>649</v>
      </c>
      <c r="D7359" s="2">
        <v>116000</v>
      </c>
      <c r="E7359" s="2">
        <v>1596055.37</v>
      </c>
      <c r="F7359" s="2">
        <v>1715481.02</v>
      </c>
    </row>
    <row r="7360" spans="1:6" x14ac:dyDescent="0.25">
      <c r="A7360" s="1">
        <v>45139</v>
      </c>
      <c r="B7360" t="s">
        <v>23</v>
      </c>
      <c r="C7360" t="s">
        <v>807</v>
      </c>
      <c r="D7360" s="2">
        <v>327703.90999999997</v>
      </c>
      <c r="E7360" s="2">
        <v>367551.24</v>
      </c>
      <c r="F7360" s="2">
        <v>347071.24</v>
      </c>
    </row>
    <row r="7361" spans="1:6" x14ac:dyDescent="0.25">
      <c r="A7361" s="1">
        <v>45139</v>
      </c>
      <c r="B7361" t="s">
        <v>75</v>
      </c>
      <c r="C7361" t="s">
        <v>269</v>
      </c>
      <c r="D7361">
        <v>0</v>
      </c>
      <c r="E7361">
        <v>0</v>
      </c>
      <c r="F7361" s="2">
        <v>235220</v>
      </c>
    </row>
    <row r="7362" spans="1:6" x14ac:dyDescent="0.25">
      <c r="A7362" s="1">
        <v>45139</v>
      </c>
      <c r="B7362" t="s">
        <v>46</v>
      </c>
      <c r="C7362" t="s">
        <v>86</v>
      </c>
      <c r="D7362" s="2">
        <v>2176627.06</v>
      </c>
      <c r="E7362" s="2">
        <v>943513.25</v>
      </c>
      <c r="F7362" s="2">
        <v>1166186.77</v>
      </c>
    </row>
    <row r="7363" spans="1:6" x14ac:dyDescent="0.25">
      <c r="A7363" s="1">
        <v>45139</v>
      </c>
      <c r="B7363" t="s">
        <v>40</v>
      </c>
      <c r="C7363" t="s">
        <v>591</v>
      </c>
      <c r="D7363" s="2">
        <v>9174514.6699999999</v>
      </c>
      <c r="E7363" s="2">
        <v>14452893.66</v>
      </c>
      <c r="F7363" s="2">
        <v>14929285.65</v>
      </c>
    </row>
    <row r="7364" spans="1:6" x14ac:dyDescent="0.25">
      <c r="A7364" s="1">
        <v>45139</v>
      </c>
      <c r="B7364" t="s">
        <v>216</v>
      </c>
      <c r="C7364" t="s">
        <v>781</v>
      </c>
      <c r="D7364" s="2">
        <v>35357.089999999997</v>
      </c>
      <c r="E7364" s="2">
        <v>2038469.69</v>
      </c>
      <c r="F7364" s="2">
        <v>850448</v>
      </c>
    </row>
    <row r="7365" spans="1:6" x14ac:dyDescent="0.25">
      <c r="A7365" s="1">
        <v>45139</v>
      </c>
      <c r="B7365" t="s">
        <v>15</v>
      </c>
      <c r="C7365" t="s">
        <v>732</v>
      </c>
      <c r="D7365">
        <v>0</v>
      </c>
      <c r="E7365">
        <v>0</v>
      </c>
      <c r="F7365">
        <v>0</v>
      </c>
    </row>
    <row r="7366" spans="1:6" x14ac:dyDescent="0.25">
      <c r="A7366" s="1">
        <v>45139</v>
      </c>
      <c r="B7366" t="s">
        <v>13</v>
      </c>
      <c r="C7366" t="s">
        <v>475</v>
      </c>
      <c r="D7366" s="2">
        <v>-407835.92</v>
      </c>
      <c r="E7366" s="2">
        <v>611929.9</v>
      </c>
      <c r="F7366" s="2">
        <v>620178.4</v>
      </c>
    </row>
    <row r="7367" spans="1:6" x14ac:dyDescent="0.25">
      <c r="A7367" s="1">
        <v>45139</v>
      </c>
      <c r="B7367" t="s">
        <v>40</v>
      </c>
      <c r="C7367" t="s">
        <v>528</v>
      </c>
      <c r="D7367" s="2">
        <v>152547.42000000001</v>
      </c>
      <c r="E7367" s="2">
        <v>50739.92</v>
      </c>
      <c r="F7367" s="2">
        <v>56511.89</v>
      </c>
    </row>
    <row r="7368" spans="1:6" x14ac:dyDescent="0.25">
      <c r="A7368" s="1">
        <v>45139</v>
      </c>
      <c r="B7368" t="s">
        <v>125</v>
      </c>
      <c r="C7368" t="s">
        <v>126</v>
      </c>
      <c r="D7368" s="2">
        <v>1113149.1100000001</v>
      </c>
      <c r="E7368" s="2">
        <v>1117652.1100000001</v>
      </c>
      <c r="F7368" s="2">
        <v>1117652.1100000001</v>
      </c>
    </row>
    <row r="7369" spans="1:6" x14ac:dyDescent="0.25">
      <c r="A7369" s="1">
        <v>45139</v>
      </c>
      <c r="B7369" t="s">
        <v>162</v>
      </c>
      <c r="C7369" t="s">
        <v>291</v>
      </c>
      <c r="D7369" s="2">
        <v>102643011.73</v>
      </c>
      <c r="E7369" s="2">
        <v>113665848.87</v>
      </c>
      <c r="F7369" s="2">
        <v>182238970.91</v>
      </c>
    </row>
    <row r="7370" spans="1:6" x14ac:dyDescent="0.25">
      <c r="A7370" s="1">
        <v>45139</v>
      </c>
      <c r="B7370" t="s">
        <v>162</v>
      </c>
      <c r="C7370" t="s">
        <v>605</v>
      </c>
      <c r="D7370" s="2">
        <v>1386712.14</v>
      </c>
      <c r="E7370" s="2">
        <v>166165.44</v>
      </c>
      <c r="F7370" s="2">
        <v>186171.34</v>
      </c>
    </row>
    <row r="7371" spans="1:6" x14ac:dyDescent="0.25">
      <c r="A7371" s="1">
        <v>45139</v>
      </c>
      <c r="B7371" t="s">
        <v>11</v>
      </c>
      <c r="C7371" t="s">
        <v>484</v>
      </c>
      <c r="D7371">
        <v>0</v>
      </c>
      <c r="E7371" s="2">
        <v>2872510.95</v>
      </c>
      <c r="F7371" s="2">
        <v>2872510.95</v>
      </c>
    </row>
    <row r="7372" spans="1:6" x14ac:dyDescent="0.25">
      <c r="A7372" s="1">
        <v>45139</v>
      </c>
      <c r="B7372" t="s">
        <v>42</v>
      </c>
      <c r="C7372" t="s">
        <v>719</v>
      </c>
      <c r="D7372" s="2">
        <v>2642481</v>
      </c>
      <c r="E7372">
        <v>0</v>
      </c>
      <c r="F7372" s="2">
        <v>19848099.559999999</v>
      </c>
    </row>
    <row r="7373" spans="1:6" x14ac:dyDescent="0.25">
      <c r="A7373" s="1">
        <v>45139</v>
      </c>
      <c r="B7373" t="s">
        <v>50</v>
      </c>
      <c r="C7373" t="s">
        <v>767</v>
      </c>
      <c r="D7373" s="2">
        <v>-162558.94</v>
      </c>
      <c r="E7373" s="2">
        <v>49473.8</v>
      </c>
      <c r="F7373" s="2">
        <v>29401.64</v>
      </c>
    </row>
    <row r="7374" spans="1:6" x14ac:dyDescent="0.25">
      <c r="A7374" s="1">
        <v>45139</v>
      </c>
      <c r="B7374" t="s">
        <v>17</v>
      </c>
      <c r="C7374" t="s">
        <v>1331</v>
      </c>
      <c r="D7374">
        <v>0</v>
      </c>
      <c r="E7374">
        <v>0</v>
      </c>
      <c r="F7374">
        <v>0</v>
      </c>
    </row>
    <row r="7375" spans="1:6" x14ac:dyDescent="0.25">
      <c r="A7375" s="1">
        <v>45139</v>
      </c>
      <c r="B7375" t="s">
        <v>422</v>
      </c>
      <c r="C7375" t="s">
        <v>1035</v>
      </c>
      <c r="D7375" s="2">
        <v>610000000</v>
      </c>
      <c r="E7375" s="2">
        <v>568675698</v>
      </c>
      <c r="F7375" s="2">
        <v>568675698</v>
      </c>
    </row>
    <row r="7376" spans="1:6" x14ac:dyDescent="0.25">
      <c r="A7376" s="1">
        <v>45139</v>
      </c>
      <c r="B7376" t="s">
        <v>460</v>
      </c>
      <c r="C7376" t="s">
        <v>461</v>
      </c>
      <c r="D7376" s="2">
        <v>19678.16</v>
      </c>
      <c r="E7376" s="2">
        <v>405126.92</v>
      </c>
      <c r="F7376" s="2">
        <v>250315.17</v>
      </c>
    </row>
    <row r="7377" spans="1:6" x14ac:dyDescent="0.25">
      <c r="A7377" s="1">
        <v>45139</v>
      </c>
      <c r="B7377" t="s">
        <v>296</v>
      </c>
      <c r="C7377" t="s">
        <v>552</v>
      </c>
      <c r="D7377" s="2">
        <v>-1649181.18</v>
      </c>
      <c r="E7377" s="2">
        <v>2235558.1800000002</v>
      </c>
      <c r="F7377" s="2">
        <v>2078450.8</v>
      </c>
    </row>
    <row r="7378" spans="1:6" x14ac:dyDescent="0.25">
      <c r="A7378" s="1">
        <v>45139</v>
      </c>
      <c r="B7378" t="s">
        <v>181</v>
      </c>
      <c r="C7378" t="s">
        <v>182</v>
      </c>
      <c r="D7378">
        <v>0</v>
      </c>
      <c r="E7378">
        <v>0</v>
      </c>
      <c r="F7378">
        <v>0</v>
      </c>
    </row>
    <row r="7379" spans="1:6" x14ac:dyDescent="0.25">
      <c r="A7379" s="1">
        <v>45139</v>
      </c>
      <c r="B7379" t="s">
        <v>48</v>
      </c>
      <c r="C7379" t="s">
        <v>1247</v>
      </c>
      <c r="D7379">
        <v>0</v>
      </c>
      <c r="E7379">
        <v>0</v>
      </c>
      <c r="F7379">
        <v>0</v>
      </c>
    </row>
    <row r="7380" spans="1:6" x14ac:dyDescent="0.25">
      <c r="A7380" s="1">
        <v>45139</v>
      </c>
      <c r="B7380" t="s">
        <v>648</v>
      </c>
      <c r="C7380" t="s">
        <v>1047</v>
      </c>
      <c r="D7380" s="2">
        <v>42660</v>
      </c>
      <c r="E7380" s="2">
        <v>564082.56000000006</v>
      </c>
      <c r="F7380" s="2">
        <v>2857.98</v>
      </c>
    </row>
    <row r="7381" spans="1:6" x14ac:dyDescent="0.25">
      <c r="A7381" s="1">
        <v>45139</v>
      </c>
      <c r="B7381" t="s">
        <v>37</v>
      </c>
      <c r="C7381" t="s">
        <v>734</v>
      </c>
      <c r="D7381">
        <v>0</v>
      </c>
      <c r="E7381" s="2">
        <v>623755.29</v>
      </c>
      <c r="F7381" s="2">
        <v>528092.93999999994</v>
      </c>
    </row>
    <row r="7382" spans="1:6" x14ac:dyDescent="0.25">
      <c r="A7382" s="1">
        <v>45139</v>
      </c>
      <c r="B7382" t="s">
        <v>48</v>
      </c>
      <c r="C7382" t="s">
        <v>183</v>
      </c>
      <c r="D7382" s="2">
        <v>53000</v>
      </c>
      <c r="E7382" s="2">
        <v>52301</v>
      </c>
      <c r="F7382" s="2">
        <v>52301</v>
      </c>
    </row>
    <row r="7383" spans="1:6" x14ac:dyDescent="0.25">
      <c r="A7383" s="1">
        <v>45139</v>
      </c>
      <c r="B7383" t="s">
        <v>11</v>
      </c>
      <c r="C7383" t="s">
        <v>116</v>
      </c>
      <c r="D7383">
        <v>0</v>
      </c>
      <c r="E7383" s="2">
        <v>6646643756.5500002</v>
      </c>
      <c r="F7383" s="2">
        <v>6646643756.5500002</v>
      </c>
    </row>
    <row r="7384" spans="1:6" x14ac:dyDescent="0.25">
      <c r="A7384" s="1">
        <v>45139</v>
      </c>
      <c r="B7384" t="s">
        <v>251</v>
      </c>
      <c r="C7384" t="s">
        <v>332</v>
      </c>
      <c r="D7384" s="2">
        <v>360000</v>
      </c>
      <c r="E7384" s="2">
        <v>51254794.219999999</v>
      </c>
      <c r="F7384">
        <v>0</v>
      </c>
    </row>
    <row r="7385" spans="1:6" x14ac:dyDescent="0.25">
      <c r="A7385" s="1">
        <v>45139</v>
      </c>
      <c r="B7385" t="s">
        <v>143</v>
      </c>
      <c r="C7385" t="s">
        <v>351</v>
      </c>
      <c r="D7385" s="2">
        <v>1636015590.4100001</v>
      </c>
      <c r="E7385" s="2">
        <v>1543852664.52</v>
      </c>
      <c r="F7385" s="2">
        <v>1543848029.49</v>
      </c>
    </row>
    <row r="7386" spans="1:6" x14ac:dyDescent="0.25">
      <c r="A7386" s="1">
        <v>45139</v>
      </c>
      <c r="B7386" t="s">
        <v>50</v>
      </c>
      <c r="C7386" t="s">
        <v>274</v>
      </c>
      <c r="D7386" s="2">
        <v>399749.6</v>
      </c>
      <c r="E7386" s="2">
        <v>9341.5400000000009</v>
      </c>
      <c r="F7386" s="2">
        <v>5233</v>
      </c>
    </row>
    <row r="7387" spans="1:6" x14ac:dyDescent="0.25">
      <c r="A7387" s="1">
        <v>45139</v>
      </c>
      <c r="B7387" t="s">
        <v>17</v>
      </c>
      <c r="C7387" t="s">
        <v>327</v>
      </c>
      <c r="D7387">
        <v>0</v>
      </c>
      <c r="E7387" s="2">
        <v>35041.919999999998</v>
      </c>
      <c r="F7387" s="2">
        <v>35041.919999999998</v>
      </c>
    </row>
    <row r="7388" spans="1:6" x14ac:dyDescent="0.25">
      <c r="A7388" s="1">
        <v>45139</v>
      </c>
      <c r="B7388" t="s">
        <v>98</v>
      </c>
      <c r="C7388" t="s">
        <v>543</v>
      </c>
      <c r="D7388">
        <v>0</v>
      </c>
      <c r="E7388">
        <v>0</v>
      </c>
      <c r="F7388">
        <v>0</v>
      </c>
    </row>
    <row r="7389" spans="1:6" x14ac:dyDescent="0.25">
      <c r="A7389" s="1">
        <v>45139</v>
      </c>
      <c r="B7389" t="s">
        <v>35</v>
      </c>
      <c r="C7389" t="s">
        <v>560</v>
      </c>
      <c r="D7389" s="2">
        <v>41760.25</v>
      </c>
      <c r="E7389" s="2">
        <v>1310861.8799999999</v>
      </c>
      <c r="F7389" s="2">
        <v>1318390</v>
      </c>
    </row>
    <row r="7390" spans="1:6" x14ac:dyDescent="0.25">
      <c r="A7390" s="1">
        <v>45139</v>
      </c>
      <c r="B7390" t="s">
        <v>7</v>
      </c>
      <c r="C7390" t="s">
        <v>448</v>
      </c>
      <c r="D7390">
        <v>-0.01</v>
      </c>
      <c r="E7390" s="2">
        <v>7107500.5</v>
      </c>
      <c r="F7390" s="2">
        <v>5617013.7000000002</v>
      </c>
    </row>
    <row r="7391" spans="1:6" x14ac:dyDescent="0.25">
      <c r="A7391" s="1">
        <v>45139</v>
      </c>
      <c r="B7391" t="s">
        <v>11</v>
      </c>
      <c r="C7391" t="s">
        <v>696</v>
      </c>
      <c r="D7391" s="2">
        <v>159769.01</v>
      </c>
      <c r="E7391" s="2">
        <v>216813.95</v>
      </c>
      <c r="F7391" s="2">
        <v>39034675.659999996</v>
      </c>
    </row>
    <row r="7392" spans="1:6" x14ac:dyDescent="0.25">
      <c r="A7392" s="1">
        <v>45139</v>
      </c>
      <c r="B7392" t="s">
        <v>50</v>
      </c>
      <c r="C7392" t="s">
        <v>735</v>
      </c>
      <c r="D7392" s="2">
        <v>548265.46</v>
      </c>
      <c r="E7392" s="2">
        <v>189651.55</v>
      </c>
      <c r="F7392" s="2">
        <v>14350.08</v>
      </c>
    </row>
    <row r="7393" spans="1:6" x14ac:dyDescent="0.25">
      <c r="A7393" s="1">
        <v>45139</v>
      </c>
      <c r="B7393" t="s">
        <v>92</v>
      </c>
      <c r="C7393" t="s">
        <v>465</v>
      </c>
      <c r="D7393" s="2">
        <v>2833270.18</v>
      </c>
      <c r="E7393" s="2">
        <v>3985708.96</v>
      </c>
      <c r="F7393" s="2">
        <v>2764329.66</v>
      </c>
    </row>
    <row r="7394" spans="1:6" x14ac:dyDescent="0.25">
      <c r="A7394" s="1">
        <v>45139</v>
      </c>
      <c r="B7394" t="s">
        <v>11</v>
      </c>
      <c r="C7394" t="s">
        <v>471</v>
      </c>
      <c r="D7394" s="2">
        <v>40171565.030000001</v>
      </c>
      <c r="E7394" s="2">
        <v>38299164.640000001</v>
      </c>
      <c r="F7394" s="2">
        <v>38061802.950000003</v>
      </c>
    </row>
    <row r="7395" spans="1:6" x14ac:dyDescent="0.25">
      <c r="A7395" s="1">
        <v>45139</v>
      </c>
      <c r="B7395" t="s">
        <v>402</v>
      </c>
      <c r="C7395" t="s">
        <v>403</v>
      </c>
      <c r="D7395">
        <v>0</v>
      </c>
      <c r="E7395">
        <v>0</v>
      </c>
      <c r="F7395">
        <v>0</v>
      </c>
    </row>
    <row r="7396" spans="1:6" x14ac:dyDescent="0.25">
      <c r="A7396" s="1">
        <v>45139</v>
      </c>
      <c r="B7396" t="s">
        <v>40</v>
      </c>
      <c r="C7396" t="s">
        <v>850</v>
      </c>
      <c r="D7396" s="2">
        <v>651877.18000000005</v>
      </c>
      <c r="E7396" s="2">
        <v>1942546.61</v>
      </c>
      <c r="F7396" s="2">
        <v>2544314.73</v>
      </c>
    </row>
    <row r="7397" spans="1:6" x14ac:dyDescent="0.25">
      <c r="A7397" s="1">
        <v>45139</v>
      </c>
      <c r="B7397" t="s">
        <v>23</v>
      </c>
      <c r="C7397" t="s">
        <v>665</v>
      </c>
      <c r="D7397" s="2">
        <v>2359049.06</v>
      </c>
      <c r="E7397" s="2">
        <v>404442.67</v>
      </c>
      <c r="F7397" s="2">
        <v>426975.89</v>
      </c>
    </row>
    <row r="7398" spans="1:6" x14ac:dyDescent="0.25">
      <c r="A7398" s="1">
        <v>45139</v>
      </c>
      <c r="B7398" t="s">
        <v>23</v>
      </c>
      <c r="C7398" t="s">
        <v>1116</v>
      </c>
      <c r="D7398">
        <v>0</v>
      </c>
      <c r="E7398">
        <v>967.84</v>
      </c>
      <c r="F7398">
        <v>0</v>
      </c>
    </row>
    <row r="7399" spans="1:6" x14ac:dyDescent="0.25">
      <c r="A7399" s="1">
        <v>45139</v>
      </c>
      <c r="B7399" t="s">
        <v>40</v>
      </c>
      <c r="C7399" t="s">
        <v>1123</v>
      </c>
      <c r="D7399" s="2">
        <v>3815660.47</v>
      </c>
      <c r="E7399" s="2">
        <v>1651441.78</v>
      </c>
      <c r="F7399" s="2">
        <v>3404564.73</v>
      </c>
    </row>
    <row r="7400" spans="1:6" x14ac:dyDescent="0.25">
      <c r="A7400" s="1">
        <v>45139</v>
      </c>
      <c r="B7400" t="s">
        <v>53</v>
      </c>
      <c r="C7400" t="s">
        <v>219</v>
      </c>
      <c r="D7400">
        <v>0</v>
      </c>
      <c r="E7400" s="2">
        <v>347789498.81</v>
      </c>
      <c r="F7400" s="2">
        <v>347789498.81</v>
      </c>
    </row>
    <row r="7401" spans="1:6" x14ac:dyDescent="0.25">
      <c r="A7401" s="1">
        <v>45139</v>
      </c>
      <c r="B7401" t="s">
        <v>21</v>
      </c>
      <c r="C7401" t="s">
        <v>1172</v>
      </c>
      <c r="D7401">
        <v>0</v>
      </c>
      <c r="E7401">
        <v>0</v>
      </c>
      <c r="F7401">
        <v>0</v>
      </c>
    </row>
    <row r="7402" spans="1:6" x14ac:dyDescent="0.25">
      <c r="A7402" s="1">
        <v>45139</v>
      </c>
      <c r="B7402" t="s">
        <v>53</v>
      </c>
      <c r="C7402" t="s">
        <v>84</v>
      </c>
      <c r="D7402" s="2">
        <v>1312944321.6600001</v>
      </c>
      <c r="E7402" s="2">
        <v>1312944321.6600001</v>
      </c>
      <c r="F7402" s="2">
        <v>1312944321.6600001</v>
      </c>
    </row>
    <row r="7403" spans="1:6" x14ac:dyDescent="0.25">
      <c r="A7403" s="1">
        <v>45139</v>
      </c>
      <c r="B7403" t="s">
        <v>278</v>
      </c>
      <c r="C7403" t="s">
        <v>340</v>
      </c>
      <c r="D7403" s="2">
        <v>156709.32</v>
      </c>
      <c r="E7403" s="2">
        <v>179052.33</v>
      </c>
      <c r="F7403" s="2">
        <v>196342.83</v>
      </c>
    </row>
    <row r="7404" spans="1:6" x14ac:dyDescent="0.25">
      <c r="A7404" s="1">
        <v>45139</v>
      </c>
      <c r="B7404" t="s">
        <v>40</v>
      </c>
      <c r="C7404" t="s">
        <v>692</v>
      </c>
      <c r="D7404">
        <v>0</v>
      </c>
      <c r="E7404">
        <v>0</v>
      </c>
      <c r="F7404">
        <v>0</v>
      </c>
    </row>
    <row r="7405" spans="1:6" x14ac:dyDescent="0.25">
      <c r="A7405" s="1">
        <v>45139</v>
      </c>
      <c r="B7405" t="s">
        <v>53</v>
      </c>
      <c r="C7405" t="s">
        <v>237</v>
      </c>
      <c r="D7405">
        <v>0</v>
      </c>
      <c r="E7405" s="2">
        <v>5180908.1100000003</v>
      </c>
      <c r="F7405" s="2">
        <v>5180908.1100000003</v>
      </c>
    </row>
    <row r="7406" spans="1:6" x14ac:dyDescent="0.25">
      <c r="A7406" s="1">
        <v>45139</v>
      </c>
      <c r="B7406" t="s">
        <v>23</v>
      </c>
      <c r="C7406" t="s">
        <v>655</v>
      </c>
      <c r="D7406">
        <v>0</v>
      </c>
      <c r="E7406">
        <v>0</v>
      </c>
      <c r="F7406">
        <v>0</v>
      </c>
    </row>
    <row r="7407" spans="1:6" x14ac:dyDescent="0.25">
      <c r="A7407" s="1">
        <v>45139</v>
      </c>
      <c r="B7407" t="s">
        <v>40</v>
      </c>
      <c r="C7407" t="s">
        <v>311</v>
      </c>
      <c r="D7407">
        <v>0</v>
      </c>
      <c r="E7407" s="2">
        <v>10624399.960000001</v>
      </c>
      <c r="F7407" s="2">
        <v>6485156.4299999997</v>
      </c>
    </row>
    <row r="7408" spans="1:6" x14ac:dyDescent="0.25">
      <c r="A7408" s="1">
        <v>45139</v>
      </c>
      <c r="B7408" t="s">
        <v>726</v>
      </c>
      <c r="C7408" t="s">
        <v>876</v>
      </c>
      <c r="D7408" s="2">
        <v>93381.06</v>
      </c>
      <c r="E7408" s="2">
        <v>98486.21</v>
      </c>
      <c r="F7408" s="2">
        <v>118421.21</v>
      </c>
    </row>
    <row r="7409" spans="1:6" x14ac:dyDescent="0.25">
      <c r="A7409" s="1">
        <v>45139</v>
      </c>
      <c r="B7409" t="s">
        <v>15</v>
      </c>
      <c r="C7409" t="s">
        <v>796</v>
      </c>
      <c r="D7409" s="2">
        <v>8080338.1200000001</v>
      </c>
      <c r="E7409" s="2">
        <v>8133564</v>
      </c>
      <c r="F7409" s="2">
        <v>3026497.78</v>
      </c>
    </row>
    <row r="7410" spans="1:6" x14ac:dyDescent="0.25">
      <c r="A7410" s="1">
        <v>45139</v>
      </c>
      <c r="B7410" t="s">
        <v>234</v>
      </c>
      <c r="C7410" t="s">
        <v>1332</v>
      </c>
      <c r="D7410" s="2">
        <v>30000</v>
      </c>
      <c r="E7410" s="2">
        <v>4000.26</v>
      </c>
      <c r="F7410" s="2">
        <v>1523.42</v>
      </c>
    </row>
    <row r="7411" spans="1:6" x14ac:dyDescent="0.25">
      <c r="A7411" s="1">
        <v>45139</v>
      </c>
      <c r="B7411" t="s">
        <v>37</v>
      </c>
      <c r="C7411" t="s">
        <v>257</v>
      </c>
      <c r="D7411">
        <v>0</v>
      </c>
      <c r="E7411">
        <v>0</v>
      </c>
      <c r="F7411">
        <v>0</v>
      </c>
    </row>
    <row r="7412" spans="1:6" x14ac:dyDescent="0.25">
      <c r="A7412" s="1">
        <v>45139</v>
      </c>
      <c r="B7412" t="s">
        <v>1212</v>
      </c>
      <c r="C7412" t="s">
        <v>1256</v>
      </c>
      <c r="D7412">
        <v>0</v>
      </c>
      <c r="E7412">
        <v>0</v>
      </c>
      <c r="F7412">
        <v>0</v>
      </c>
    </row>
    <row r="7413" spans="1:6" x14ac:dyDescent="0.25">
      <c r="A7413" s="1">
        <v>45139</v>
      </c>
      <c r="B7413" t="s">
        <v>23</v>
      </c>
      <c r="C7413" t="s">
        <v>633</v>
      </c>
      <c r="D7413" s="2">
        <v>19370970.52</v>
      </c>
      <c r="E7413" s="2">
        <v>8990548.4499999993</v>
      </c>
      <c r="F7413" s="2">
        <v>2611867.85</v>
      </c>
    </row>
    <row r="7414" spans="1:6" x14ac:dyDescent="0.25">
      <c r="A7414" s="1">
        <v>45139</v>
      </c>
      <c r="B7414" t="s">
        <v>98</v>
      </c>
      <c r="C7414" t="s">
        <v>899</v>
      </c>
      <c r="D7414">
        <v>0</v>
      </c>
      <c r="E7414">
        <v>0</v>
      </c>
      <c r="F7414">
        <v>0</v>
      </c>
    </row>
    <row r="7415" spans="1:6" x14ac:dyDescent="0.25">
      <c r="A7415" s="1">
        <v>45139</v>
      </c>
      <c r="B7415" t="s">
        <v>154</v>
      </c>
      <c r="C7415" t="s">
        <v>467</v>
      </c>
      <c r="D7415" s="2">
        <v>97950.68</v>
      </c>
      <c r="E7415" s="2">
        <v>92426.81</v>
      </c>
      <c r="F7415" s="2">
        <v>431130.37</v>
      </c>
    </row>
    <row r="7416" spans="1:6" x14ac:dyDescent="0.25">
      <c r="A7416" s="1">
        <v>45139</v>
      </c>
      <c r="B7416" t="s">
        <v>81</v>
      </c>
      <c r="C7416" t="s">
        <v>1072</v>
      </c>
      <c r="D7416">
        <v>0</v>
      </c>
      <c r="E7416">
        <v>0</v>
      </c>
      <c r="F7416">
        <v>0</v>
      </c>
    </row>
    <row r="7417" spans="1:6" x14ac:dyDescent="0.25">
      <c r="A7417" s="1">
        <v>45139</v>
      </c>
      <c r="B7417" t="s">
        <v>94</v>
      </c>
      <c r="C7417" t="s">
        <v>95</v>
      </c>
      <c r="D7417">
        <v>0</v>
      </c>
      <c r="E7417">
        <v>0</v>
      </c>
      <c r="F7417">
        <v>0</v>
      </c>
    </row>
    <row r="7418" spans="1:6" x14ac:dyDescent="0.25">
      <c r="A7418" s="1">
        <v>45139</v>
      </c>
      <c r="B7418" t="s">
        <v>726</v>
      </c>
      <c r="C7418" t="s">
        <v>918</v>
      </c>
      <c r="D7418" s="2">
        <v>33590.19</v>
      </c>
      <c r="E7418" s="2">
        <v>15148.61</v>
      </c>
      <c r="F7418" s="2">
        <v>16545.27</v>
      </c>
    </row>
    <row r="7419" spans="1:6" x14ac:dyDescent="0.25">
      <c r="A7419" s="1">
        <v>45139</v>
      </c>
      <c r="B7419" t="s">
        <v>118</v>
      </c>
      <c r="C7419" t="s">
        <v>308</v>
      </c>
      <c r="D7419">
        <v>67.3</v>
      </c>
      <c r="E7419" s="2">
        <v>1817</v>
      </c>
      <c r="F7419" s="2">
        <v>33304.769999999997</v>
      </c>
    </row>
    <row r="7420" spans="1:6" x14ac:dyDescent="0.25">
      <c r="A7420" s="1">
        <v>45139</v>
      </c>
      <c r="B7420" t="s">
        <v>25</v>
      </c>
      <c r="C7420" t="s">
        <v>257</v>
      </c>
      <c r="D7420" s="2">
        <v>169285.75</v>
      </c>
      <c r="E7420" s="2">
        <v>79465.81</v>
      </c>
      <c r="F7420" s="2">
        <v>25134.73</v>
      </c>
    </row>
    <row r="7421" spans="1:6" x14ac:dyDescent="0.25">
      <c r="A7421" s="1">
        <v>45139</v>
      </c>
      <c r="B7421" t="s">
        <v>40</v>
      </c>
      <c r="C7421" t="s">
        <v>777</v>
      </c>
      <c r="D7421">
        <v>0</v>
      </c>
      <c r="E7421">
        <v>-7.97</v>
      </c>
      <c r="F7421" s="2">
        <v>42798935.689999998</v>
      </c>
    </row>
    <row r="7422" spans="1:6" x14ac:dyDescent="0.25">
      <c r="A7422" s="1">
        <v>45139</v>
      </c>
      <c r="B7422" t="s">
        <v>15</v>
      </c>
      <c r="C7422" t="s">
        <v>205</v>
      </c>
      <c r="D7422" s="2">
        <v>26848067.780000001</v>
      </c>
      <c r="E7422" s="2">
        <v>17986333.379999999</v>
      </c>
      <c r="F7422" s="2">
        <v>31446382.859999999</v>
      </c>
    </row>
    <row r="7423" spans="1:6" x14ac:dyDescent="0.25">
      <c r="A7423" s="1">
        <v>45139</v>
      </c>
      <c r="B7423" t="s">
        <v>118</v>
      </c>
      <c r="C7423" t="s">
        <v>62</v>
      </c>
      <c r="D7423" s="2">
        <v>336966.13</v>
      </c>
      <c r="E7423" s="2">
        <v>443031.56</v>
      </c>
      <c r="F7423" s="2">
        <v>824294.83</v>
      </c>
    </row>
    <row r="7424" spans="1:6" x14ac:dyDescent="0.25">
      <c r="A7424" s="1">
        <v>45139</v>
      </c>
      <c r="B7424" t="s">
        <v>23</v>
      </c>
      <c r="C7424" t="s">
        <v>681</v>
      </c>
      <c r="D7424" s="2">
        <v>7847264.5499999998</v>
      </c>
      <c r="E7424" s="2">
        <v>4070217.73</v>
      </c>
      <c r="F7424" s="2">
        <v>2455041.33</v>
      </c>
    </row>
    <row r="7425" spans="1:6" x14ac:dyDescent="0.25">
      <c r="A7425" s="1">
        <v>45139</v>
      </c>
      <c r="B7425" t="s">
        <v>40</v>
      </c>
      <c r="C7425" t="s">
        <v>1031</v>
      </c>
      <c r="D7425">
        <v>0</v>
      </c>
      <c r="E7425" s="2">
        <v>4460</v>
      </c>
      <c r="F7425" s="2">
        <v>4460</v>
      </c>
    </row>
    <row r="7426" spans="1:6" x14ac:dyDescent="0.25">
      <c r="A7426" s="1">
        <v>45139</v>
      </c>
      <c r="B7426" t="s">
        <v>19</v>
      </c>
      <c r="C7426" t="s">
        <v>1050</v>
      </c>
      <c r="D7426" s="2">
        <v>65000</v>
      </c>
      <c r="E7426" s="2">
        <v>7312.21</v>
      </c>
      <c r="F7426" s="2">
        <v>7312.21</v>
      </c>
    </row>
    <row r="7427" spans="1:6" x14ac:dyDescent="0.25">
      <c r="A7427" s="1">
        <v>45139</v>
      </c>
      <c r="B7427" t="s">
        <v>288</v>
      </c>
      <c r="C7427" t="s">
        <v>1333</v>
      </c>
      <c r="D7427" s="2">
        <v>6330</v>
      </c>
      <c r="E7427">
        <v>0</v>
      </c>
      <c r="F7427">
        <v>0</v>
      </c>
    </row>
    <row r="7428" spans="1:6" x14ac:dyDescent="0.25">
      <c r="A7428" s="1">
        <v>45139</v>
      </c>
      <c r="B7428" t="s">
        <v>545</v>
      </c>
      <c r="C7428" t="s">
        <v>908</v>
      </c>
      <c r="D7428" s="2">
        <v>729729.98</v>
      </c>
      <c r="E7428" s="2">
        <v>301748.46000000002</v>
      </c>
      <c r="F7428" s="2">
        <v>284942.62</v>
      </c>
    </row>
    <row r="7429" spans="1:6" x14ac:dyDescent="0.25">
      <c r="A7429" s="1">
        <v>45139</v>
      </c>
      <c r="B7429" t="s">
        <v>37</v>
      </c>
      <c r="C7429" t="s">
        <v>570</v>
      </c>
      <c r="D7429" s="2">
        <v>63048.41</v>
      </c>
      <c r="E7429" s="2">
        <v>12125.3</v>
      </c>
      <c r="F7429" s="2">
        <v>14356.49</v>
      </c>
    </row>
    <row r="7430" spans="1:6" x14ac:dyDescent="0.25">
      <c r="A7430" s="1">
        <v>45139</v>
      </c>
      <c r="B7430" t="s">
        <v>398</v>
      </c>
      <c r="C7430" t="s">
        <v>826</v>
      </c>
      <c r="D7430" s="2">
        <v>9074801.2799999993</v>
      </c>
      <c r="E7430" s="2">
        <v>1660500.7</v>
      </c>
      <c r="F7430" s="2">
        <v>1148631.05</v>
      </c>
    </row>
    <row r="7431" spans="1:6" x14ac:dyDescent="0.25">
      <c r="A7431" s="1">
        <v>45139</v>
      </c>
      <c r="B7431" t="s">
        <v>13</v>
      </c>
      <c r="C7431" t="s">
        <v>868</v>
      </c>
      <c r="D7431" s="2">
        <v>5988300.0099999998</v>
      </c>
      <c r="E7431" s="2">
        <v>1796995.99</v>
      </c>
      <c r="F7431" s="2">
        <v>2178999.1800000002</v>
      </c>
    </row>
    <row r="7432" spans="1:6" x14ac:dyDescent="0.25">
      <c r="A7432" s="1">
        <v>45139</v>
      </c>
      <c r="B7432" t="s">
        <v>107</v>
      </c>
      <c r="C7432" t="s">
        <v>153</v>
      </c>
      <c r="D7432">
        <v>0</v>
      </c>
      <c r="E7432" s="2">
        <v>22500</v>
      </c>
      <c r="F7432" s="2">
        <v>22500</v>
      </c>
    </row>
    <row r="7433" spans="1:6" x14ac:dyDescent="0.25">
      <c r="A7433" s="1">
        <v>45139</v>
      </c>
      <c r="B7433" t="s">
        <v>25</v>
      </c>
      <c r="C7433" t="s">
        <v>865</v>
      </c>
      <c r="D7433" s="2">
        <v>331279.19</v>
      </c>
      <c r="E7433" s="2">
        <v>590394.26</v>
      </c>
      <c r="F7433" s="2">
        <v>463128.86</v>
      </c>
    </row>
    <row r="7434" spans="1:6" x14ac:dyDescent="0.25">
      <c r="A7434" s="1">
        <v>45139</v>
      </c>
      <c r="B7434" t="s">
        <v>90</v>
      </c>
      <c r="C7434" t="s">
        <v>1037</v>
      </c>
      <c r="D7434">
        <v>0</v>
      </c>
      <c r="E7434" s="2">
        <v>68093.81</v>
      </c>
      <c r="F7434" s="2">
        <v>9959.83</v>
      </c>
    </row>
    <row r="7435" spans="1:6" x14ac:dyDescent="0.25">
      <c r="A7435" s="1">
        <v>45139</v>
      </c>
      <c r="B7435" t="s">
        <v>37</v>
      </c>
      <c r="C7435" t="s">
        <v>676</v>
      </c>
      <c r="D7435" s="2">
        <v>859302.81</v>
      </c>
      <c r="E7435" s="2">
        <v>910401.54</v>
      </c>
      <c r="F7435" s="2">
        <v>930973.95</v>
      </c>
    </row>
    <row r="7436" spans="1:6" x14ac:dyDescent="0.25">
      <c r="A7436" s="1">
        <v>45139</v>
      </c>
      <c r="B7436" t="s">
        <v>162</v>
      </c>
      <c r="C7436" t="s">
        <v>421</v>
      </c>
      <c r="D7436" s="2">
        <v>2274079.4300000002</v>
      </c>
      <c r="E7436" s="2">
        <v>1435463.51</v>
      </c>
      <c r="F7436" s="2">
        <v>1015750.72</v>
      </c>
    </row>
    <row r="7437" spans="1:6" x14ac:dyDescent="0.25">
      <c r="A7437" s="1">
        <v>45139</v>
      </c>
      <c r="B7437" t="s">
        <v>40</v>
      </c>
      <c r="C7437" t="s">
        <v>772</v>
      </c>
      <c r="D7437" s="2">
        <v>-187659.53</v>
      </c>
      <c r="E7437" s="2">
        <v>287435.07</v>
      </c>
      <c r="F7437" s="2">
        <v>290145.88</v>
      </c>
    </row>
    <row r="7438" spans="1:6" x14ac:dyDescent="0.25">
      <c r="A7438" s="1">
        <v>45139</v>
      </c>
      <c r="B7438" t="s">
        <v>143</v>
      </c>
      <c r="C7438" t="s">
        <v>529</v>
      </c>
      <c r="D7438" s="2">
        <v>4422303.22</v>
      </c>
      <c r="E7438">
        <v>0</v>
      </c>
      <c r="F7438" s="2">
        <v>2368000</v>
      </c>
    </row>
    <row r="7439" spans="1:6" x14ac:dyDescent="0.25">
      <c r="A7439" s="1">
        <v>45139</v>
      </c>
      <c r="B7439" t="s">
        <v>263</v>
      </c>
      <c r="C7439" t="s">
        <v>745</v>
      </c>
      <c r="D7439" s="2">
        <v>2507995.16</v>
      </c>
      <c r="E7439" s="2">
        <v>2176135.2200000002</v>
      </c>
      <c r="F7439" s="2">
        <v>10848235.34</v>
      </c>
    </row>
    <row r="7440" spans="1:6" x14ac:dyDescent="0.25">
      <c r="A7440" s="1">
        <v>45139</v>
      </c>
      <c r="B7440" t="s">
        <v>37</v>
      </c>
      <c r="C7440" t="s">
        <v>387</v>
      </c>
      <c r="D7440" s="2">
        <v>233488136.12</v>
      </c>
      <c r="E7440" s="2">
        <v>126764963.59</v>
      </c>
      <c r="F7440" s="2">
        <v>35856520.219999999</v>
      </c>
    </row>
    <row r="7441" spans="1:6" x14ac:dyDescent="0.25">
      <c r="A7441" s="1">
        <v>45139</v>
      </c>
      <c r="B7441" t="s">
        <v>40</v>
      </c>
      <c r="C7441" t="s">
        <v>581</v>
      </c>
      <c r="D7441">
        <v>0</v>
      </c>
      <c r="E7441">
        <v>0</v>
      </c>
      <c r="F7441" s="2">
        <v>76311000</v>
      </c>
    </row>
    <row r="7442" spans="1:6" x14ac:dyDescent="0.25">
      <c r="A7442" s="1">
        <v>45139</v>
      </c>
      <c r="B7442" t="s">
        <v>23</v>
      </c>
      <c r="C7442" t="s">
        <v>575</v>
      </c>
      <c r="D7442" s="2">
        <v>8518455.1999999993</v>
      </c>
      <c r="E7442" s="2">
        <v>906297.09</v>
      </c>
      <c r="F7442" s="2">
        <v>316442.05</v>
      </c>
    </row>
    <row r="7443" spans="1:6" x14ac:dyDescent="0.25">
      <c r="A7443" s="1">
        <v>45139</v>
      </c>
      <c r="B7443" t="s">
        <v>37</v>
      </c>
      <c r="C7443" t="s">
        <v>624</v>
      </c>
      <c r="D7443" s="2">
        <v>40809.879999999997</v>
      </c>
      <c r="E7443" s="2">
        <v>1841025.42</v>
      </c>
      <c r="F7443" s="2">
        <v>2279792.4700000002</v>
      </c>
    </row>
    <row r="7444" spans="1:6" x14ac:dyDescent="0.25">
      <c r="A7444" s="1">
        <v>45139</v>
      </c>
      <c r="B7444" t="s">
        <v>185</v>
      </c>
      <c r="C7444" t="s">
        <v>493</v>
      </c>
      <c r="D7444" s="2">
        <v>60632795.240000002</v>
      </c>
      <c r="E7444" s="2">
        <v>47386025.57</v>
      </c>
      <c r="F7444" s="2">
        <v>89496439.620000005</v>
      </c>
    </row>
    <row r="7445" spans="1:6" x14ac:dyDescent="0.25">
      <c r="A7445" s="1">
        <v>45139</v>
      </c>
      <c r="B7445" t="s">
        <v>23</v>
      </c>
      <c r="C7445" t="s">
        <v>1055</v>
      </c>
      <c r="D7445">
        <v>0</v>
      </c>
      <c r="E7445" s="2">
        <v>174632.56</v>
      </c>
      <c r="F7445" s="2">
        <v>174632.56</v>
      </c>
    </row>
    <row r="7446" spans="1:6" x14ac:dyDescent="0.25">
      <c r="A7446" s="1">
        <v>45139</v>
      </c>
      <c r="B7446" t="s">
        <v>63</v>
      </c>
      <c r="C7446" t="s">
        <v>64</v>
      </c>
      <c r="D7446" s="2">
        <v>159696</v>
      </c>
      <c r="E7446" s="2">
        <v>129976.84</v>
      </c>
      <c r="F7446" s="2">
        <v>226657.41</v>
      </c>
    </row>
    <row r="7447" spans="1:6" x14ac:dyDescent="0.25">
      <c r="A7447" s="1">
        <v>45139</v>
      </c>
      <c r="B7447" t="s">
        <v>40</v>
      </c>
      <c r="C7447" t="s">
        <v>805</v>
      </c>
      <c r="D7447" s="2">
        <v>87450</v>
      </c>
      <c r="E7447" s="2">
        <v>119925073.06999999</v>
      </c>
      <c r="F7447" s="2">
        <v>120052166.97</v>
      </c>
    </row>
    <row r="7448" spans="1:6" x14ac:dyDescent="0.25">
      <c r="A7448" s="1">
        <v>45139</v>
      </c>
      <c r="B7448" t="s">
        <v>251</v>
      </c>
      <c r="C7448" t="s">
        <v>808</v>
      </c>
      <c r="D7448" s="2">
        <v>19458951.41</v>
      </c>
      <c r="E7448" s="2">
        <v>137653145.18000001</v>
      </c>
      <c r="F7448" s="2">
        <v>133909155.8</v>
      </c>
    </row>
    <row r="7449" spans="1:6" x14ac:dyDescent="0.25">
      <c r="A7449" s="1">
        <v>45139</v>
      </c>
      <c r="B7449" t="s">
        <v>118</v>
      </c>
      <c r="C7449" t="s">
        <v>658</v>
      </c>
      <c r="D7449">
        <v>0</v>
      </c>
      <c r="E7449">
        <v>0</v>
      </c>
      <c r="F7449">
        <v>0</v>
      </c>
    </row>
    <row r="7450" spans="1:6" x14ac:dyDescent="0.25">
      <c r="A7450" s="1">
        <v>45139</v>
      </c>
      <c r="B7450" t="s">
        <v>306</v>
      </c>
      <c r="C7450" t="s">
        <v>414</v>
      </c>
      <c r="D7450" s="2">
        <v>245738.47</v>
      </c>
      <c r="E7450" s="2">
        <v>940312.09</v>
      </c>
      <c r="F7450" s="2">
        <v>1203832.29</v>
      </c>
    </row>
    <row r="7451" spans="1:6" x14ac:dyDescent="0.25">
      <c r="A7451" s="1">
        <v>45139</v>
      </c>
      <c r="B7451" t="s">
        <v>196</v>
      </c>
      <c r="C7451" t="s">
        <v>897</v>
      </c>
      <c r="D7451">
        <v>0</v>
      </c>
      <c r="E7451">
        <v>0</v>
      </c>
      <c r="F7451">
        <v>0</v>
      </c>
    </row>
    <row r="7452" spans="1:6" x14ac:dyDescent="0.25">
      <c r="A7452" s="1">
        <v>45139</v>
      </c>
      <c r="B7452" t="s">
        <v>37</v>
      </c>
      <c r="C7452" t="s">
        <v>685</v>
      </c>
      <c r="D7452" s="2">
        <v>4333668</v>
      </c>
      <c r="E7452" s="2">
        <v>377734.54</v>
      </c>
      <c r="F7452" s="2">
        <v>186538.49</v>
      </c>
    </row>
    <row r="7453" spans="1:6" x14ac:dyDescent="0.25">
      <c r="A7453" s="1">
        <v>45139</v>
      </c>
      <c r="B7453" t="s">
        <v>263</v>
      </c>
      <c r="C7453" t="s">
        <v>741</v>
      </c>
      <c r="D7453" s="2">
        <v>48205.18</v>
      </c>
      <c r="E7453" s="2">
        <v>15249.8</v>
      </c>
      <c r="F7453">
        <v>255.66</v>
      </c>
    </row>
    <row r="7454" spans="1:6" x14ac:dyDescent="0.25">
      <c r="A7454" s="1">
        <v>45139</v>
      </c>
      <c r="B7454" t="s">
        <v>118</v>
      </c>
      <c r="C7454" t="s">
        <v>730</v>
      </c>
      <c r="D7454" s="2">
        <v>322442.15999999997</v>
      </c>
      <c r="E7454" s="2">
        <v>17059.919999999998</v>
      </c>
      <c r="F7454" s="2">
        <v>17059.919999999998</v>
      </c>
    </row>
    <row r="7455" spans="1:6" x14ac:dyDescent="0.25">
      <c r="A7455" s="1">
        <v>45139</v>
      </c>
      <c r="B7455" t="s">
        <v>23</v>
      </c>
      <c r="C7455" t="s">
        <v>1015</v>
      </c>
      <c r="D7455" s="2">
        <v>49242.26</v>
      </c>
      <c r="E7455" s="2">
        <v>513154</v>
      </c>
      <c r="F7455" s="2">
        <v>263254</v>
      </c>
    </row>
    <row r="7456" spans="1:6" x14ac:dyDescent="0.25">
      <c r="A7456" s="1">
        <v>45139</v>
      </c>
      <c r="B7456" t="s">
        <v>105</v>
      </c>
      <c r="C7456" t="s">
        <v>106</v>
      </c>
      <c r="D7456" s="2">
        <v>14863157</v>
      </c>
      <c r="E7456">
        <v>0</v>
      </c>
      <c r="F7456">
        <v>0</v>
      </c>
    </row>
    <row r="7457" spans="1:6" x14ac:dyDescent="0.25">
      <c r="A7457" s="1">
        <v>45139</v>
      </c>
      <c r="B7457" t="s">
        <v>75</v>
      </c>
      <c r="C7457" t="s">
        <v>485</v>
      </c>
      <c r="D7457" s="2">
        <v>2143955.59</v>
      </c>
      <c r="E7457" s="2">
        <v>2287327.16</v>
      </c>
      <c r="F7457" s="2">
        <v>1846502.3</v>
      </c>
    </row>
    <row r="7458" spans="1:6" x14ac:dyDescent="0.25">
      <c r="A7458" s="1">
        <v>45139</v>
      </c>
      <c r="B7458" t="s">
        <v>31</v>
      </c>
      <c r="C7458" t="s">
        <v>1176</v>
      </c>
      <c r="D7458">
        <v>0</v>
      </c>
      <c r="E7458">
        <v>0</v>
      </c>
      <c r="F7458">
        <v>0</v>
      </c>
    </row>
    <row r="7459" spans="1:6" x14ac:dyDescent="0.25">
      <c r="A7459" s="1">
        <v>45139</v>
      </c>
      <c r="B7459" t="s">
        <v>15</v>
      </c>
      <c r="C7459" t="s">
        <v>359</v>
      </c>
      <c r="D7459" s="2">
        <v>2311685.73</v>
      </c>
      <c r="E7459" s="2">
        <v>125521.56</v>
      </c>
      <c r="F7459" s="2">
        <v>107112.06</v>
      </c>
    </row>
    <row r="7460" spans="1:6" x14ac:dyDescent="0.25">
      <c r="A7460" s="1">
        <v>45139</v>
      </c>
      <c r="B7460" t="s">
        <v>272</v>
      </c>
      <c r="C7460" t="s">
        <v>544</v>
      </c>
      <c r="D7460" s="2">
        <v>9508609.8399999999</v>
      </c>
      <c r="E7460" s="2">
        <v>13289462.93</v>
      </c>
      <c r="F7460" s="2">
        <v>10385294.33</v>
      </c>
    </row>
    <row r="7461" spans="1:6" x14ac:dyDescent="0.25">
      <c r="A7461" s="1">
        <v>45139</v>
      </c>
      <c r="B7461" t="s">
        <v>92</v>
      </c>
      <c r="C7461" t="s">
        <v>819</v>
      </c>
      <c r="D7461" s="2">
        <v>383908.68</v>
      </c>
      <c r="E7461" s="2">
        <v>416068.12</v>
      </c>
      <c r="F7461" s="2">
        <v>416068.12</v>
      </c>
    </row>
    <row r="7462" spans="1:6" x14ac:dyDescent="0.25">
      <c r="A7462" s="1">
        <v>45139</v>
      </c>
      <c r="B7462" t="s">
        <v>75</v>
      </c>
      <c r="C7462" t="s">
        <v>847</v>
      </c>
      <c r="D7462" s="2">
        <v>707349.15</v>
      </c>
      <c r="E7462" s="2">
        <v>348852.55</v>
      </c>
      <c r="F7462" s="2">
        <v>976417.9</v>
      </c>
    </row>
    <row r="7463" spans="1:6" x14ac:dyDescent="0.25">
      <c r="A7463" s="1">
        <v>45139</v>
      </c>
      <c r="B7463" t="s">
        <v>37</v>
      </c>
      <c r="C7463" t="s">
        <v>884</v>
      </c>
      <c r="D7463" s="2">
        <v>223045.52</v>
      </c>
      <c r="E7463" s="2">
        <v>295642.92</v>
      </c>
      <c r="F7463" s="2">
        <v>271404.06</v>
      </c>
    </row>
    <row r="7464" spans="1:6" x14ac:dyDescent="0.25">
      <c r="A7464" s="1">
        <v>45139</v>
      </c>
      <c r="B7464" t="s">
        <v>68</v>
      </c>
      <c r="C7464" t="s">
        <v>810</v>
      </c>
      <c r="D7464" s="2">
        <v>1707610.51</v>
      </c>
      <c r="E7464" s="2">
        <v>1827817.78</v>
      </c>
      <c r="F7464" s="2">
        <v>1910129.47</v>
      </c>
    </row>
    <row r="7465" spans="1:6" x14ac:dyDescent="0.25">
      <c r="A7465" s="1">
        <v>45139</v>
      </c>
      <c r="B7465" t="s">
        <v>114</v>
      </c>
      <c r="C7465" t="s">
        <v>628</v>
      </c>
      <c r="D7465" s="2">
        <v>353439.48</v>
      </c>
      <c r="E7465" s="2">
        <v>3031828.13</v>
      </c>
      <c r="F7465" s="2">
        <v>3431280.71</v>
      </c>
    </row>
    <row r="7466" spans="1:6" x14ac:dyDescent="0.25">
      <c r="A7466" s="1">
        <v>45139</v>
      </c>
      <c r="B7466" t="s">
        <v>518</v>
      </c>
      <c r="C7466" t="s">
        <v>892</v>
      </c>
      <c r="D7466" s="2">
        <v>391958.91</v>
      </c>
      <c r="E7466" s="2">
        <v>56932.31</v>
      </c>
      <c r="F7466" s="2">
        <v>64681.45</v>
      </c>
    </row>
    <row r="7467" spans="1:6" x14ac:dyDescent="0.25">
      <c r="A7467" s="1">
        <v>45139</v>
      </c>
      <c r="B7467" t="s">
        <v>132</v>
      </c>
      <c r="C7467" t="s">
        <v>613</v>
      </c>
      <c r="D7467" s="2">
        <v>151433044.38999999</v>
      </c>
      <c r="E7467" s="2">
        <v>16801061.600000001</v>
      </c>
      <c r="F7467" s="2">
        <v>17536106.93</v>
      </c>
    </row>
    <row r="7468" spans="1:6" x14ac:dyDescent="0.25">
      <c r="A7468" s="1">
        <v>45139</v>
      </c>
      <c r="B7468" t="s">
        <v>92</v>
      </c>
      <c r="C7468" t="s">
        <v>860</v>
      </c>
      <c r="D7468" s="2">
        <v>2130096.9700000002</v>
      </c>
      <c r="E7468" s="2">
        <v>2638424.04</v>
      </c>
      <c r="F7468" s="2">
        <v>2815961.87</v>
      </c>
    </row>
    <row r="7469" spans="1:6" x14ac:dyDescent="0.25">
      <c r="A7469" s="1">
        <v>45139</v>
      </c>
      <c r="B7469" t="s">
        <v>769</v>
      </c>
      <c r="C7469" t="s">
        <v>770</v>
      </c>
      <c r="D7469" s="2">
        <v>-174781.86</v>
      </c>
      <c r="E7469" s="2">
        <v>26160051.789999999</v>
      </c>
      <c r="F7469" s="2">
        <v>30444041.309999999</v>
      </c>
    </row>
    <row r="7470" spans="1:6" x14ac:dyDescent="0.25">
      <c r="A7470" s="1">
        <v>45139</v>
      </c>
      <c r="B7470" t="s">
        <v>48</v>
      </c>
      <c r="C7470" t="s">
        <v>1334</v>
      </c>
      <c r="D7470" s="2">
        <v>316000</v>
      </c>
      <c r="E7470" s="2">
        <v>315024.53999999998</v>
      </c>
      <c r="F7470" s="2">
        <v>315024.53999999998</v>
      </c>
    </row>
    <row r="7471" spans="1:6" x14ac:dyDescent="0.25">
      <c r="A7471" s="1">
        <v>45139</v>
      </c>
      <c r="B7471" t="s">
        <v>40</v>
      </c>
      <c r="C7471" t="s">
        <v>801</v>
      </c>
      <c r="D7471" s="2">
        <v>4745056.99</v>
      </c>
      <c r="E7471" s="2">
        <v>3368564.73</v>
      </c>
      <c r="F7471" s="2">
        <v>3414613.47</v>
      </c>
    </row>
    <row r="7472" spans="1:6" x14ac:dyDescent="0.25">
      <c r="A7472" s="1">
        <v>45139</v>
      </c>
      <c r="B7472" t="s">
        <v>118</v>
      </c>
      <c r="C7472" t="s">
        <v>1081</v>
      </c>
      <c r="D7472" s="2">
        <v>28026787</v>
      </c>
      <c r="E7472">
        <v>0</v>
      </c>
      <c r="F7472">
        <v>0</v>
      </c>
    </row>
    <row r="7473" spans="1:6" x14ac:dyDescent="0.25">
      <c r="A7473" s="1">
        <v>45139</v>
      </c>
      <c r="B7473" t="s">
        <v>13</v>
      </c>
      <c r="C7473" t="s">
        <v>791</v>
      </c>
      <c r="D7473" s="2">
        <v>36926697058</v>
      </c>
      <c r="E7473" s="2">
        <v>3775379003.6199999</v>
      </c>
      <c r="F7473" s="2">
        <v>87395112568.619995</v>
      </c>
    </row>
    <row r="7474" spans="1:6" x14ac:dyDescent="0.25">
      <c r="A7474" s="1">
        <v>45139</v>
      </c>
      <c r="B7474" t="s">
        <v>42</v>
      </c>
      <c r="C7474" t="s">
        <v>548</v>
      </c>
      <c r="D7474" s="2">
        <v>26866149.32</v>
      </c>
      <c r="E7474" s="2">
        <v>-53347.68</v>
      </c>
      <c r="F7474" s="2">
        <v>220851411.44</v>
      </c>
    </row>
    <row r="7475" spans="1:6" x14ac:dyDescent="0.25">
      <c r="A7475" s="1">
        <v>45139</v>
      </c>
      <c r="B7475" t="s">
        <v>27</v>
      </c>
      <c r="C7475" t="s">
        <v>788</v>
      </c>
      <c r="D7475" s="2">
        <v>89547.85</v>
      </c>
      <c r="E7475" s="2">
        <v>121036.55</v>
      </c>
      <c r="F7475" s="2">
        <v>66375.259999999995</v>
      </c>
    </row>
    <row r="7476" spans="1:6" x14ac:dyDescent="0.25">
      <c r="A7476" s="1">
        <v>45139</v>
      </c>
      <c r="B7476" t="s">
        <v>40</v>
      </c>
      <c r="C7476" t="s">
        <v>857</v>
      </c>
      <c r="D7476" s="2">
        <v>380497657.39999998</v>
      </c>
      <c r="E7476" s="2">
        <v>496467324.75999999</v>
      </c>
      <c r="F7476" s="2">
        <v>3930236118.0700002</v>
      </c>
    </row>
    <row r="7477" spans="1:6" x14ac:dyDescent="0.25">
      <c r="A7477" s="1">
        <v>45139</v>
      </c>
      <c r="B7477" t="s">
        <v>21</v>
      </c>
      <c r="C7477" t="s">
        <v>369</v>
      </c>
      <c r="D7477" s="2">
        <v>351011.03</v>
      </c>
      <c r="E7477" s="2">
        <v>189451.48</v>
      </c>
      <c r="F7477" s="2">
        <v>370849.28000000003</v>
      </c>
    </row>
    <row r="7478" spans="1:6" x14ac:dyDescent="0.25">
      <c r="A7478" s="1">
        <v>45139</v>
      </c>
      <c r="B7478" t="s">
        <v>11</v>
      </c>
      <c r="C7478" t="s">
        <v>1279</v>
      </c>
      <c r="D7478">
        <v>0</v>
      </c>
      <c r="E7478">
        <v>0</v>
      </c>
      <c r="F7478">
        <v>0</v>
      </c>
    </row>
    <row r="7479" spans="1:6" x14ac:dyDescent="0.25">
      <c r="A7479" s="1">
        <v>45139</v>
      </c>
      <c r="B7479" t="s">
        <v>23</v>
      </c>
      <c r="C7479" t="s">
        <v>675</v>
      </c>
      <c r="D7479" s="2">
        <v>8892743.2100000009</v>
      </c>
      <c r="E7479" s="2">
        <v>2984656.66</v>
      </c>
      <c r="F7479" s="2">
        <v>2798976.57</v>
      </c>
    </row>
    <row r="7480" spans="1:6" x14ac:dyDescent="0.25">
      <c r="A7480" s="1">
        <v>45139</v>
      </c>
      <c r="B7480" t="s">
        <v>17</v>
      </c>
      <c r="C7480" t="s">
        <v>799</v>
      </c>
      <c r="D7480" s="2">
        <v>217531.99</v>
      </c>
      <c r="E7480" s="2">
        <v>582479.38</v>
      </c>
      <c r="F7480" s="2">
        <v>551588.80000000005</v>
      </c>
    </row>
    <row r="7481" spans="1:6" x14ac:dyDescent="0.25">
      <c r="A7481" s="1">
        <v>45139</v>
      </c>
      <c r="B7481" t="s">
        <v>42</v>
      </c>
      <c r="C7481" t="s">
        <v>400</v>
      </c>
      <c r="D7481" s="2">
        <v>1000200996</v>
      </c>
      <c r="E7481" s="2">
        <v>326202719</v>
      </c>
      <c r="F7481" s="2">
        <v>326202719</v>
      </c>
    </row>
    <row r="7482" spans="1:6" x14ac:dyDescent="0.25">
      <c r="A7482" s="1">
        <v>45139</v>
      </c>
      <c r="B7482" t="s">
        <v>46</v>
      </c>
      <c r="C7482" t="s">
        <v>590</v>
      </c>
      <c r="D7482" s="2">
        <v>169470.63</v>
      </c>
      <c r="E7482" s="2">
        <v>1123929.56</v>
      </c>
      <c r="F7482" s="2">
        <v>176698.28</v>
      </c>
    </row>
    <row r="7483" spans="1:6" x14ac:dyDescent="0.25">
      <c r="A7483" s="1">
        <v>45139</v>
      </c>
      <c r="B7483" t="s">
        <v>27</v>
      </c>
      <c r="C7483" t="s">
        <v>783</v>
      </c>
      <c r="D7483">
        <v>585.62</v>
      </c>
      <c r="E7483" s="2">
        <v>358970.81</v>
      </c>
      <c r="F7483" s="2">
        <v>389514.1</v>
      </c>
    </row>
    <row r="7484" spans="1:6" x14ac:dyDescent="0.25">
      <c r="A7484" s="1">
        <v>45139</v>
      </c>
      <c r="B7484" t="s">
        <v>40</v>
      </c>
      <c r="C7484" t="s">
        <v>706</v>
      </c>
      <c r="D7484" s="2">
        <v>150000</v>
      </c>
      <c r="E7484" s="2">
        <v>464726.89</v>
      </c>
      <c r="F7484" s="2">
        <v>315803.21999999997</v>
      </c>
    </row>
    <row r="7485" spans="1:6" x14ac:dyDescent="0.25">
      <c r="A7485" s="1">
        <v>45139</v>
      </c>
      <c r="B7485" t="s">
        <v>23</v>
      </c>
      <c r="C7485" t="s">
        <v>551</v>
      </c>
      <c r="D7485" s="2">
        <v>96747.89</v>
      </c>
      <c r="E7485" s="2">
        <v>39766.29</v>
      </c>
      <c r="F7485" s="2">
        <v>23829.95</v>
      </c>
    </row>
    <row r="7486" spans="1:6" x14ac:dyDescent="0.25">
      <c r="A7486" s="1">
        <v>45139</v>
      </c>
      <c r="B7486" t="s">
        <v>216</v>
      </c>
      <c r="C7486" t="s">
        <v>756</v>
      </c>
      <c r="D7486" s="2">
        <v>300054.46999999997</v>
      </c>
      <c r="E7486" s="2">
        <v>853976.06</v>
      </c>
      <c r="F7486" s="2">
        <v>1314241.79</v>
      </c>
    </row>
    <row r="7487" spans="1:6" x14ac:dyDescent="0.25">
      <c r="A7487" s="1">
        <v>45139</v>
      </c>
      <c r="B7487" t="s">
        <v>23</v>
      </c>
      <c r="C7487" t="s">
        <v>905</v>
      </c>
      <c r="D7487" s="2">
        <v>170969.45</v>
      </c>
      <c r="E7487" s="2">
        <v>620466.91</v>
      </c>
      <c r="F7487" s="2">
        <v>703318.34</v>
      </c>
    </row>
    <row r="7488" spans="1:6" x14ac:dyDescent="0.25">
      <c r="A7488" s="1">
        <v>45139</v>
      </c>
      <c r="B7488" t="s">
        <v>490</v>
      </c>
      <c r="C7488" t="s">
        <v>538</v>
      </c>
      <c r="D7488" s="2">
        <v>794600559</v>
      </c>
      <c r="E7488" s="2">
        <v>200066655</v>
      </c>
      <c r="F7488" s="2">
        <v>200083455</v>
      </c>
    </row>
    <row r="7489" spans="1:6" x14ac:dyDescent="0.25">
      <c r="A7489" s="1">
        <v>45139</v>
      </c>
      <c r="B7489" t="s">
        <v>816</v>
      </c>
      <c r="C7489" t="s">
        <v>870</v>
      </c>
      <c r="D7489" s="2">
        <v>10775522.630000001</v>
      </c>
      <c r="E7489" s="2">
        <v>5638793.3200000003</v>
      </c>
      <c r="F7489" s="2">
        <v>3350842.96</v>
      </c>
    </row>
    <row r="7490" spans="1:6" x14ac:dyDescent="0.25">
      <c r="A7490" s="1">
        <v>45139</v>
      </c>
      <c r="B7490" t="s">
        <v>40</v>
      </c>
      <c r="C7490" t="s">
        <v>718</v>
      </c>
      <c r="D7490" s="2">
        <v>-5970559.1399999997</v>
      </c>
      <c r="E7490" s="2">
        <v>3232317.78</v>
      </c>
      <c r="F7490" s="2">
        <v>3247629.91</v>
      </c>
    </row>
    <row r="7491" spans="1:6" x14ac:dyDescent="0.25">
      <c r="A7491" s="1">
        <v>45139</v>
      </c>
      <c r="B7491" t="s">
        <v>40</v>
      </c>
      <c r="C7491" t="s">
        <v>440</v>
      </c>
      <c r="D7491" s="2">
        <v>193467.34</v>
      </c>
      <c r="E7491" s="2">
        <v>155949.57999999999</v>
      </c>
      <c r="F7491" s="2">
        <v>327289.46000000002</v>
      </c>
    </row>
    <row r="7492" spans="1:6" x14ac:dyDescent="0.25">
      <c r="A7492" s="1">
        <v>45139</v>
      </c>
      <c r="B7492" t="s">
        <v>619</v>
      </c>
      <c r="C7492" t="s">
        <v>848</v>
      </c>
      <c r="D7492" s="2">
        <v>399325.5</v>
      </c>
      <c r="E7492" s="2">
        <v>551214.62</v>
      </c>
      <c r="F7492" s="2">
        <v>605286.82999999996</v>
      </c>
    </row>
    <row r="7493" spans="1:6" x14ac:dyDescent="0.25">
      <c r="A7493" s="1">
        <v>45139</v>
      </c>
      <c r="B7493" t="s">
        <v>40</v>
      </c>
      <c r="C7493" t="s">
        <v>629</v>
      </c>
      <c r="D7493" s="2">
        <v>96773.23</v>
      </c>
      <c r="E7493" s="2">
        <v>444933.3</v>
      </c>
      <c r="F7493" s="2">
        <v>446095.55</v>
      </c>
    </row>
    <row r="7494" spans="1:6" x14ac:dyDescent="0.25">
      <c r="A7494" s="1">
        <v>45139</v>
      </c>
      <c r="B7494" t="s">
        <v>619</v>
      </c>
      <c r="C7494" t="s">
        <v>917</v>
      </c>
      <c r="D7494" s="2">
        <v>12201615.109999999</v>
      </c>
      <c r="E7494" s="2">
        <v>12862513.869999999</v>
      </c>
      <c r="F7494" s="2">
        <v>11849734.52</v>
      </c>
    </row>
    <row r="7495" spans="1:6" x14ac:dyDescent="0.25">
      <c r="A7495" s="1">
        <v>45139</v>
      </c>
      <c r="B7495" t="s">
        <v>187</v>
      </c>
      <c r="C7495" t="s">
        <v>812</v>
      </c>
      <c r="D7495" s="2">
        <v>1068578.3500000001</v>
      </c>
      <c r="E7495" s="2">
        <v>3369141.54</v>
      </c>
      <c r="F7495" s="2">
        <v>4717001.71</v>
      </c>
    </row>
    <row r="7496" spans="1:6" x14ac:dyDescent="0.25">
      <c r="A7496" s="1">
        <v>45139</v>
      </c>
      <c r="B7496" t="s">
        <v>92</v>
      </c>
      <c r="C7496" t="s">
        <v>381</v>
      </c>
      <c r="D7496" s="2">
        <v>1788697.36</v>
      </c>
      <c r="E7496" s="2">
        <v>357789.48</v>
      </c>
      <c r="F7496" s="2">
        <v>374970.74</v>
      </c>
    </row>
    <row r="7497" spans="1:6" x14ac:dyDescent="0.25">
      <c r="A7497" s="1">
        <v>45139</v>
      </c>
      <c r="B7497" t="s">
        <v>46</v>
      </c>
      <c r="C7497" t="s">
        <v>333</v>
      </c>
      <c r="D7497">
        <v>0</v>
      </c>
      <c r="E7497" s="2">
        <v>40951.65</v>
      </c>
      <c r="F7497" s="2">
        <v>1640951.65</v>
      </c>
    </row>
    <row r="7498" spans="1:6" x14ac:dyDescent="0.25">
      <c r="A7498" s="1">
        <v>45139</v>
      </c>
      <c r="B7498" t="s">
        <v>23</v>
      </c>
      <c r="C7498" t="s">
        <v>248</v>
      </c>
      <c r="D7498" s="2">
        <v>1791851.45</v>
      </c>
      <c r="E7498" s="2">
        <v>876928.31</v>
      </c>
      <c r="F7498" s="2">
        <v>708276.86</v>
      </c>
    </row>
    <row r="7499" spans="1:6" x14ac:dyDescent="0.25">
      <c r="A7499" s="1">
        <v>45139</v>
      </c>
      <c r="B7499" t="s">
        <v>132</v>
      </c>
      <c r="C7499" t="s">
        <v>469</v>
      </c>
      <c r="D7499" s="2">
        <v>44185771.740000002</v>
      </c>
      <c r="E7499" s="2">
        <v>68947046.790000007</v>
      </c>
      <c r="F7499" s="2">
        <v>74442011.299999997</v>
      </c>
    </row>
    <row r="7500" spans="1:6" x14ac:dyDescent="0.25">
      <c r="A7500" s="1">
        <v>45139</v>
      </c>
      <c r="B7500" t="s">
        <v>21</v>
      </c>
      <c r="C7500" t="s">
        <v>173</v>
      </c>
      <c r="D7500">
        <v>0</v>
      </c>
      <c r="E7500" s="2">
        <v>106806.88</v>
      </c>
      <c r="F7500" s="2">
        <v>106806.88</v>
      </c>
    </row>
    <row r="7501" spans="1:6" x14ac:dyDescent="0.25">
      <c r="A7501" s="1">
        <v>45139</v>
      </c>
      <c r="B7501" t="s">
        <v>107</v>
      </c>
      <c r="C7501" t="s">
        <v>513</v>
      </c>
      <c r="D7501" s="2">
        <v>62200.17</v>
      </c>
      <c r="E7501" s="2">
        <v>45226.18</v>
      </c>
      <c r="F7501" s="2">
        <v>52837.41</v>
      </c>
    </row>
    <row r="7502" spans="1:6" x14ac:dyDescent="0.25">
      <c r="A7502" s="1">
        <v>45139</v>
      </c>
      <c r="B7502" t="s">
        <v>11</v>
      </c>
      <c r="C7502" t="s">
        <v>744</v>
      </c>
      <c r="D7502">
        <v>0</v>
      </c>
      <c r="E7502">
        <v>0</v>
      </c>
      <c r="F7502" s="2">
        <v>112153854.09999999</v>
      </c>
    </row>
    <row r="7503" spans="1:6" x14ac:dyDescent="0.25">
      <c r="A7503" s="1">
        <v>45139</v>
      </c>
      <c r="B7503" t="s">
        <v>13</v>
      </c>
      <c r="C7503" t="s">
        <v>659</v>
      </c>
      <c r="D7503">
        <v>0</v>
      </c>
      <c r="E7503">
        <v>0</v>
      </c>
      <c r="F7503">
        <v>0</v>
      </c>
    </row>
    <row r="7504" spans="1:6" x14ac:dyDescent="0.25">
      <c r="A7504" s="1">
        <v>45139</v>
      </c>
      <c r="B7504" t="s">
        <v>40</v>
      </c>
      <c r="C7504" t="s">
        <v>515</v>
      </c>
      <c r="D7504">
        <v>0</v>
      </c>
      <c r="E7504">
        <v>0</v>
      </c>
      <c r="F7504">
        <v>0</v>
      </c>
    </row>
    <row r="7505" spans="1:6" x14ac:dyDescent="0.25">
      <c r="A7505" s="1">
        <v>45139</v>
      </c>
      <c r="B7505" t="s">
        <v>9</v>
      </c>
      <c r="C7505" t="s">
        <v>663</v>
      </c>
      <c r="D7505" s="2">
        <v>956932.56</v>
      </c>
      <c r="E7505" s="2">
        <v>4892050.67</v>
      </c>
      <c r="F7505" s="2">
        <v>6622916.75</v>
      </c>
    </row>
    <row r="7506" spans="1:6" x14ac:dyDescent="0.25">
      <c r="A7506" s="1">
        <v>45139</v>
      </c>
      <c r="B7506" t="s">
        <v>25</v>
      </c>
      <c r="C7506" t="s">
        <v>724</v>
      </c>
      <c r="D7506" s="2">
        <v>27339897.57</v>
      </c>
      <c r="E7506" s="2">
        <v>10521092.939999999</v>
      </c>
      <c r="F7506" s="2">
        <v>10424926.6</v>
      </c>
    </row>
    <row r="7507" spans="1:6" x14ac:dyDescent="0.25">
      <c r="A7507" s="1">
        <v>45139</v>
      </c>
      <c r="B7507" t="s">
        <v>40</v>
      </c>
      <c r="C7507" t="s">
        <v>459</v>
      </c>
      <c r="D7507" s="2">
        <v>604202096.27999997</v>
      </c>
      <c r="E7507" s="2">
        <v>667384393.73000002</v>
      </c>
      <c r="F7507" s="2">
        <v>3868998525.5500002</v>
      </c>
    </row>
    <row r="7508" spans="1:6" x14ac:dyDescent="0.25">
      <c r="A7508" s="1">
        <v>45139</v>
      </c>
      <c r="B7508" t="s">
        <v>90</v>
      </c>
      <c r="C7508" t="s">
        <v>1021</v>
      </c>
      <c r="D7508" s="2">
        <v>30000</v>
      </c>
      <c r="E7508" s="2">
        <v>11013.35</v>
      </c>
      <c r="F7508" s="2">
        <v>2938.67</v>
      </c>
    </row>
    <row r="7509" spans="1:6" x14ac:dyDescent="0.25">
      <c r="A7509" s="1">
        <v>45139</v>
      </c>
      <c r="B7509" t="s">
        <v>114</v>
      </c>
      <c r="C7509" t="s">
        <v>578</v>
      </c>
      <c r="D7509" s="2">
        <v>505067.97</v>
      </c>
      <c r="E7509" s="2">
        <v>5640976.5</v>
      </c>
      <c r="F7509" s="2">
        <v>5698170.6699999999</v>
      </c>
    </row>
    <row r="7510" spans="1:6" x14ac:dyDescent="0.25">
      <c r="A7510" s="1">
        <v>45139</v>
      </c>
      <c r="B7510" t="s">
        <v>70</v>
      </c>
      <c r="C7510" t="s">
        <v>71</v>
      </c>
      <c r="D7510" s="2">
        <v>6595888.4100000001</v>
      </c>
      <c r="E7510" s="2">
        <v>7026102.0499999998</v>
      </c>
      <c r="F7510" s="2">
        <v>10735234.439999999</v>
      </c>
    </row>
    <row r="7511" spans="1:6" x14ac:dyDescent="0.25">
      <c r="A7511" s="1">
        <v>45139</v>
      </c>
      <c r="B7511" t="s">
        <v>107</v>
      </c>
      <c r="C7511" t="s">
        <v>348</v>
      </c>
      <c r="D7511" s="2">
        <v>28661</v>
      </c>
      <c r="E7511" s="2">
        <v>20963</v>
      </c>
      <c r="F7511">
        <v>0</v>
      </c>
    </row>
    <row r="7512" spans="1:6" x14ac:dyDescent="0.25">
      <c r="A7512" s="1">
        <v>45139</v>
      </c>
      <c r="B7512" t="s">
        <v>23</v>
      </c>
      <c r="C7512" t="s">
        <v>368</v>
      </c>
      <c r="D7512" s="2">
        <v>354015.84</v>
      </c>
      <c r="E7512" s="2">
        <v>456076.68</v>
      </c>
      <c r="F7512" s="2">
        <v>276711.48</v>
      </c>
    </row>
    <row r="7513" spans="1:6" x14ac:dyDescent="0.25">
      <c r="A7513" s="1">
        <v>45139</v>
      </c>
      <c r="B7513" t="s">
        <v>23</v>
      </c>
      <c r="C7513" t="s">
        <v>879</v>
      </c>
      <c r="D7513" s="2">
        <v>857808.07</v>
      </c>
      <c r="E7513" s="2">
        <v>400717.89</v>
      </c>
      <c r="F7513" s="2">
        <v>376974.18</v>
      </c>
    </row>
    <row r="7514" spans="1:6" x14ac:dyDescent="0.25">
      <c r="A7514" s="1">
        <v>45139</v>
      </c>
      <c r="B7514" t="s">
        <v>40</v>
      </c>
      <c r="C7514" t="s">
        <v>729</v>
      </c>
      <c r="D7514" s="2">
        <v>3772892.66</v>
      </c>
      <c r="E7514" s="2">
        <v>7470245.3200000003</v>
      </c>
      <c r="F7514" s="2">
        <v>22377763.649999999</v>
      </c>
    </row>
    <row r="7515" spans="1:6" x14ac:dyDescent="0.25">
      <c r="A7515" s="1">
        <v>45139</v>
      </c>
      <c r="B7515" t="s">
        <v>726</v>
      </c>
      <c r="C7515" t="s">
        <v>763</v>
      </c>
      <c r="D7515" s="2">
        <v>474762.62</v>
      </c>
      <c r="E7515" s="2">
        <v>338319.11</v>
      </c>
      <c r="F7515" s="2">
        <v>359188.83</v>
      </c>
    </row>
    <row r="7516" spans="1:6" x14ac:dyDescent="0.25">
      <c r="A7516" s="1">
        <v>45139</v>
      </c>
      <c r="B7516" t="s">
        <v>101</v>
      </c>
      <c r="C7516" t="s">
        <v>780</v>
      </c>
      <c r="D7516" s="2">
        <v>2315158.58</v>
      </c>
      <c r="E7516" s="2">
        <v>1403859.91</v>
      </c>
      <c r="F7516" s="2">
        <v>1853720.23</v>
      </c>
    </row>
    <row r="7517" spans="1:6" x14ac:dyDescent="0.25">
      <c r="A7517" s="1">
        <v>45139</v>
      </c>
      <c r="B7517" t="s">
        <v>23</v>
      </c>
      <c r="C7517" t="s">
        <v>331</v>
      </c>
      <c r="D7517" s="2">
        <v>4191372.45</v>
      </c>
      <c r="E7517" s="2">
        <v>3452353.34</v>
      </c>
      <c r="F7517" s="2">
        <v>4287957.99</v>
      </c>
    </row>
    <row r="7518" spans="1:6" x14ac:dyDescent="0.25">
      <c r="A7518" s="1">
        <v>45139</v>
      </c>
      <c r="B7518" t="s">
        <v>23</v>
      </c>
      <c r="C7518" t="s">
        <v>496</v>
      </c>
      <c r="D7518" s="2">
        <v>-14346660.789999999</v>
      </c>
      <c r="E7518" s="2">
        <v>8047450.3099999996</v>
      </c>
      <c r="F7518" s="2">
        <v>9733546.6600000001</v>
      </c>
    </row>
    <row r="7519" spans="1:6" x14ac:dyDescent="0.25">
      <c r="A7519" s="1">
        <v>45139</v>
      </c>
      <c r="B7519" t="s">
        <v>114</v>
      </c>
      <c r="C7519" t="s">
        <v>764</v>
      </c>
      <c r="D7519" s="2">
        <v>2919985</v>
      </c>
      <c r="E7519" s="2">
        <v>13051772.49</v>
      </c>
      <c r="F7519" s="2">
        <v>12925293.220000001</v>
      </c>
    </row>
    <row r="7520" spans="1:6" x14ac:dyDescent="0.25">
      <c r="A7520" s="1">
        <v>45139</v>
      </c>
      <c r="B7520" t="s">
        <v>27</v>
      </c>
      <c r="C7520" t="s">
        <v>607</v>
      </c>
      <c r="D7520" s="2">
        <v>1500</v>
      </c>
      <c r="E7520" s="2">
        <v>20749.34</v>
      </c>
      <c r="F7520" s="2">
        <v>20749.34</v>
      </c>
    </row>
    <row r="7521" spans="1:6" x14ac:dyDescent="0.25">
      <c r="A7521" s="1">
        <v>45139</v>
      </c>
      <c r="B7521" t="s">
        <v>40</v>
      </c>
      <c r="C7521" t="s">
        <v>457</v>
      </c>
      <c r="D7521" s="2">
        <v>26111967.199999999</v>
      </c>
      <c r="E7521" s="2">
        <v>19749392.030000001</v>
      </c>
      <c r="F7521" s="2">
        <v>19732936.629999999</v>
      </c>
    </row>
    <row r="7522" spans="1:6" x14ac:dyDescent="0.25">
      <c r="A7522" s="1">
        <v>45139</v>
      </c>
      <c r="B7522" t="s">
        <v>114</v>
      </c>
      <c r="C7522" t="s">
        <v>690</v>
      </c>
      <c r="D7522" s="2">
        <v>33295572.629999999</v>
      </c>
      <c r="E7522" s="2">
        <v>13735259.470000001</v>
      </c>
      <c r="F7522" s="2">
        <v>28360131.440000001</v>
      </c>
    </row>
    <row r="7523" spans="1:6" x14ac:dyDescent="0.25">
      <c r="A7523" s="1">
        <v>45139</v>
      </c>
      <c r="B7523" t="s">
        <v>92</v>
      </c>
      <c r="C7523" t="s">
        <v>903</v>
      </c>
      <c r="D7523" s="2">
        <v>1258042.2</v>
      </c>
      <c r="E7523" s="2">
        <v>1252720.96</v>
      </c>
      <c r="F7523" s="2">
        <v>1240051.3899999999</v>
      </c>
    </row>
    <row r="7524" spans="1:6" x14ac:dyDescent="0.25">
      <c r="A7524" s="1">
        <v>45139</v>
      </c>
      <c r="B7524" t="s">
        <v>187</v>
      </c>
      <c r="C7524" t="s">
        <v>188</v>
      </c>
      <c r="D7524">
        <v>0</v>
      </c>
      <c r="E7524" s="2">
        <v>3612.5</v>
      </c>
      <c r="F7524" s="2">
        <v>3612.5</v>
      </c>
    </row>
    <row r="7525" spans="1:6" x14ac:dyDescent="0.25">
      <c r="A7525" s="1">
        <v>45139</v>
      </c>
      <c r="B7525" t="s">
        <v>263</v>
      </c>
      <c r="C7525" t="s">
        <v>824</v>
      </c>
      <c r="D7525" s="2">
        <v>3339322.54</v>
      </c>
      <c r="E7525" s="2">
        <v>10669354.1</v>
      </c>
      <c r="F7525" s="2">
        <v>5752924.3899999997</v>
      </c>
    </row>
    <row r="7526" spans="1:6" x14ac:dyDescent="0.25">
      <c r="A7526" s="1">
        <v>45139</v>
      </c>
      <c r="B7526" t="s">
        <v>46</v>
      </c>
      <c r="C7526" t="s">
        <v>852</v>
      </c>
      <c r="D7526" s="2">
        <v>19000</v>
      </c>
      <c r="E7526" s="2">
        <v>195361.07</v>
      </c>
      <c r="F7526" s="2">
        <v>171573.69</v>
      </c>
    </row>
    <row r="7527" spans="1:6" x14ac:dyDescent="0.25">
      <c r="A7527" s="1">
        <v>45139</v>
      </c>
      <c r="B7527" t="s">
        <v>490</v>
      </c>
      <c r="C7527" t="s">
        <v>875</v>
      </c>
      <c r="D7527" s="2">
        <v>3816013.94</v>
      </c>
      <c r="E7527" s="2">
        <v>3590367.69</v>
      </c>
      <c r="F7527" s="2">
        <v>4081073.26</v>
      </c>
    </row>
    <row r="7528" spans="1:6" x14ac:dyDescent="0.25">
      <c r="A7528" s="1">
        <v>45139</v>
      </c>
      <c r="B7528" t="s">
        <v>44</v>
      </c>
      <c r="C7528" t="s">
        <v>828</v>
      </c>
      <c r="D7528" s="2">
        <v>125154.94</v>
      </c>
      <c r="E7528" s="2">
        <v>1049834.99</v>
      </c>
      <c r="F7528" s="2">
        <v>816664.37</v>
      </c>
    </row>
    <row r="7529" spans="1:6" x14ac:dyDescent="0.25">
      <c r="A7529" s="1">
        <v>45139</v>
      </c>
      <c r="B7529" t="s">
        <v>23</v>
      </c>
      <c r="C7529" t="s">
        <v>436</v>
      </c>
      <c r="D7529" s="2">
        <v>148780.65</v>
      </c>
      <c r="E7529" s="2">
        <v>16848.96</v>
      </c>
      <c r="F7529" s="2">
        <v>15575.96</v>
      </c>
    </row>
    <row r="7530" spans="1:6" x14ac:dyDescent="0.25">
      <c r="A7530" s="1">
        <v>45139</v>
      </c>
      <c r="B7530" t="s">
        <v>355</v>
      </c>
      <c r="C7530" t="s">
        <v>356</v>
      </c>
      <c r="D7530" s="2">
        <v>45853382.710000001</v>
      </c>
      <c r="E7530" s="2">
        <v>13158742.65</v>
      </c>
      <c r="F7530" s="2">
        <v>10239742.83</v>
      </c>
    </row>
    <row r="7531" spans="1:6" x14ac:dyDescent="0.25">
      <c r="A7531" s="1">
        <v>45139</v>
      </c>
      <c r="B7531" t="s">
        <v>50</v>
      </c>
      <c r="C7531" t="s">
        <v>425</v>
      </c>
      <c r="D7531">
        <v>0</v>
      </c>
      <c r="E7531">
        <v>0</v>
      </c>
      <c r="F7531">
        <v>0</v>
      </c>
    </row>
    <row r="7532" spans="1:6" x14ac:dyDescent="0.25">
      <c r="A7532" s="1">
        <v>45139</v>
      </c>
      <c r="B7532" t="s">
        <v>17</v>
      </c>
      <c r="C7532" t="s">
        <v>1034</v>
      </c>
      <c r="D7532">
        <v>0</v>
      </c>
      <c r="E7532">
        <v>0</v>
      </c>
      <c r="F7532">
        <v>0</v>
      </c>
    </row>
    <row r="7533" spans="1:6" x14ac:dyDescent="0.25">
      <c r="A7533" s="1">
        <v>45139</v>
      </c>
      <c r="B7533" t="s">
        <v>648</v>
      </c>
      <c r="C7533" t="s">
        <v>765</v>
      </c>
      <c r="D7533" s="2">
        <v>238778.21</v>
      </c>
      <c r="E7533" s="2">
        <v>298282.32</v>
      </c>
      <c r="F7533" s="2">
        <v>325995.96999999997</v>
      </c>
    </row>
    <row r="7534" spans="1:6" x14ac:dyDescent="0.25">
      <c r="A7534" s="1">
        <v>45139</v>
      </c>
      <c r="B7534" t="s">
        <v>23</v>
      </c>
      <c r="C7534" t="s">
        <v>439</v>
      </c>
      <c r="D7534" s="2">
        <v>114600.46</v>
      </c>
      <c r="E7534" s="2">
        <v>146986.97</v>
      </c>
      <c r="F7534" s="2">
        <v>149499.44</v>
      </c>
    </row>
    <row r="7535" spans="1:6" x14ac:dyDescent="0.25">
      <c r="A7535" s="1">
        <v>45139</v>
      </c>
      <c r="B7535" t="s">
        <v>185</v>
      </c>
      <c r="C7535" t="s">
        <v>478</v>
      </c>
      <c r="D7535" s="2">
        <v>613131535.16999996</v>
      </c>
      <c r="E7535" s="2">
        <v>936020895.98000002</v>
      </c>
      <c r="F7535" s="2">
        <v>1050242581.35</v>
      </c>
    </row>
    <row r="7536" spans="1:6" x14ac:dyDescent="0.25">
      <c r="A7536" s="1">
        <v>45139</v>
      </c>
      <c r="B7536" t="s">
        <v>40</v>
      </c>
      <c r="C7536" t="s">
        <v>129</v>
      </c>
      <c r="D7536" s="2">
        <v>2051419.55</v>
      </c>
      <c r="E7536" s="2">
        <v>76405.179999999993</v>
      </c>
      <c r="F7536" s="2">
        <v>76405.179999999993</v>
      </c>
    </row>
    <row r="7537" spans="1:6" x14ac:dyDescent="0.25">
      <c r="A7537" s="1">
        <v>45139</v>
      </c>
      <c r="B7537" t="s">
        <v>27</v>
      </c>
      <c r="C7537" t="s">
        <v>902</v>
      </c>
      <c r="D7537" s="2">
        <v>1991848.57</v>
      </c>
      <c r="E7537" s="2">
        <v>3493661.23</v>
      </c>
      <c r="F7537" s="2">
        <v>3674858.82</v>
      </c>
    </row>
    <row r="7538" spans="1:6" x14ac:dyDescent="0.25">
      <c r="A7538" s="1">
        <v>45139</v>
      </c>
      <c r="B7538" t="s">
        <v>40</v>
      </c>
      <c r="C7538" t="s">
        <v>825</v>
      </c>
      <c r="D7538" s="2">
        <v>6268712.6100000003</v>
      </c>
      <c r="E7538" s="2">
        <v>20972627.260000002</v>
      </c>
      <c r="F7538" s="2">
        <v>23016772.940000001</v>
      </c>
    </row>
    <row r="7539" spans="1:6" x14ac:dyDescent="0.25">
      <c r="A7539" s="1">
        <v>45139</v>
      </c>
      <c r="B7539" t="s">
        <v>21</v>
      </c>
      <c r="C7539" t="s">
        <v>470</v>
      </c>
      <c r="D7539" s="2">
        <v>521530554.29000002</v>
      </c>
      <c r="E7539" s="2">
        <v>734777024.58000004</v>
      </c>
      <c r="F7539" s="2">
        <v>561763332.22000003</v>
      </c>
    </row>
    <row r="7540" spans="1:6" x14ac:dyDescent="0.25">
      <c r="A7540" s="1">
        <v>45139</v>
      </c>
      <c r="B7540" t="s">
        <v>90</v>
      </c>
      <c r="C7540" t="s">
        <v>91</v>
      </c>
      <c r="D7540" s="2">
        <v>6489427</v>
      </c>
      <c r="E7540">
        <v>0</v>
      </c>
      <c r="F7540">
        <v>0</v>
      </c>
    </row>
    <row r="7541" spans="1:6" x14ac:dyDescent="0.25">
      <c r="A7541" s="1">
        <v>45139</v>
      </c>
      <c r="B7541" t="s">
        <v>9</v>
      </c>
      <c r="C7541" t="s">
        <v>598</v>
      </c>
      <c r="D7541" s="2">
        <v>2380846.92</v>
      </c>
      <c r="E7541" s="2">
        <v>2892304.94</v>
      </c>
      <c r="F7541" s="2">
        <v>2421675.7999999998</v>
      </c>
    </row>
    <row r="7542" spans="1:6" x14ac:dyDescent="0.25">
      <c r="A7542" s="1">
        <v>45139</v>
      </c>
      <c r="B7542" t="s">
        <v>545</v>
      </c>
      <c r="C7542" t="s">
        <v>738</v>
      </c>
      <c r="D7542" s="2">
        <v>545646.18000000005</v>
      </c>
      <c r="E7542" s="2">
        <v>297252.71999999997</v>
      </c>
      <c r="F7542" s="2">
        <v>386177.83</v>
      </c>
    </row>
    <row r="7543" spans="1:6" x14ac:dyDescent="0.25">
      <c r="A7543" s="1">
        <v>45139</v>
      </c>
      <c r="B7543" t="s">
        <v>159</v>
      </c>
      <c r="C7543" t="s">
        <v>34</v>
      </c>
      <c r="D7543">
        <v>0</v>
      </c>
      <c r="E7543" s="2">
        <v>191185.39</v>
      </c>
      <c r="F7543" s="2">
        <v>191185.39</v>
      </c>
    </row>
    <row r="7544" spans="1:6" x14ac:dyDescent="0.25">
      <c r="A7544" s="1">
        <v>45139</v>
      </c>
      <c r="B7544" t="s">
        <v>44</v>
      </c>
      <c r="C7544" t="s">
        <v>838</v>
      </c>
      <c r="D7544" s="2">
        <v>45581069.270000003</v>
      </c>
      <c r="E7544" s="2">
        <v>11847580.050000001</v>
      </c>
      <c r="F7544" s="2">
        <v>11362591.380000001</v>
      </c>
    </row>
    <row r="7545" spans="1:6" x14ac:dyDescent="0.25">
      <c r="A7545" s="1">
        <v>45139</v>
      </c>
      <c r="B7545" t="s">
        <v>23</v>
      </c>
      <c r="C7545" t="s">
        <v>864</v>
      </c>
      <c r="D7545" s="2">
        <v>2586981.52</v>
      </c>
      <c r="E7545" s="2">
        <v>2267572.04</v>
      </c>
      <c r="F7545" s="2">
        <v>2380421.85</v>
      </c>
    </row>
    <row r="7546" spans="1:6" x14ac:dyDescent="0.25">
      <c r="A7546" s="1">
        <v>45139</v>
      </c>
      <c r="B7546" t="s">
        <v>490</v>
      </c>
      <c r="C7546" t="s">
        <v>542</v>
      </c>
      <c r="D7546" s="2">
        <v>478207.56</v>
      </c>
      <c r="E7546" s="2">
        <v>495551.34</v>
      </c>
      <c r="F7546" s="2">
        <v>989814.63</v>
      </c>
    </row>
    <row r="7547" spans="1:6" x14ac:dyDescent="0.25">
      <c r="A7547" s="1">
        <v>45139</v>
      </c>
      <c r="B7547" t="s">
        <v>619</v>
      </c>
      <c r="C7547" t="s">
        <v>823</v>
      </c>
      <c r="D7547" s="2">
        <v>2899880.66</v>
      </c>
      <c r="E7547" s="2">
        <v>1716560.7</v>
      </c>
      <c r="F7547" s="2">
        <v>1764943.21</v>
      </c>
    </row>
    <row r="7548" spans="1:6" x14ac:dyDescent="0.25">
      <c r="A7548" s="1">
        <v>45139</v>
      </c>
      <c r="B7548" t="s">
        <v>118</v>
      </c>
      <c r="C7548" t="s">
        <v>639</v>
      </c>
      <c r="D7548" s="2">
        <v>687085.61</v>
      </c>
      <c r="E7548" s="2">
        <v>2546001.7200000002</v>
      </c>
      <c r="F7548" s="2">
        <v>3336346.53</v>
      </c>
    </row>
    <row r="7549" spans="1:6" x14ac:dyDescent="0.25">
      <c r="A7549" s="1">
        <v>45139</v>
      </c>
      <c r="B7549" t="s">
        <v>21</v>
      </c>
      <c r="C7549" t="s">
        <v>329</v>
      </c>
      <c r="D7549">
        <v>0</v>
      </c>
      <c r="E7549" s="2">
        <v>16628559.91</v>
      </c>
      <c r="F7549" s="2">
        <v>16628559.91</v>
      </c>
    </row>
    <row r="7550" spans="1:6" x14ac:dyDescent="0.25">
      <c r="A7550" s="1">
        <v>45139</v>
      </c>
      <c r="B7550" t="s">
        <v>40</v>
      </c>
      <c r="C7550" t="s">
        <v>686</v>
      </c>
      <c r="D7550" s="2">
        <v>5633588.21</v>
      </c>
      <c r="E7550" s="2">
        <v>7075997.2800000003</v>
      </c>
      <c r="F7550" s="2">
        <v>6834500.2999999998</v>
      </c>
    </row>
    <row r="7551" spans="1:6" x14ac:dyDescent="0.25">
      <c r="A7551" s="1">
        <v>45139</v>
      </c>
      <c r="B7551" t="s">
        <v>46</v>
      </c>
      <c r="C7551" t="s">
        <v>152</v>
      </c>
      <c r="D7551">
        <v>0</v>
      </c>
      <c r="E7551" s="2">
        <v>487723.4</v>
      </c>
      <c r="F7551" s="2">
        <v>199880.81</v>
      </c>
    </row>
    <row r="7552" spans="1:6" x14ac:dyDescent="0.25">
      <c r="A7552" s="1">
        <v>45139</v>
      </c>
      <c r="B7552" t="s">
        <v>196</v>
      </c>
      <c r="C7552" t="s">
        <v>468</v>
      </c>
      <c r="D7552">
        <v>0</v>
      </c>
      <c r="E7552">
        <v>0</v>
      </c>
      <c r="F7552">
        <v>0</v>
      </c>
    </row>
    <row r="7553" spans="1:6" x14ac:dyDescent="0.25">
      <c r="A7553" s="1">
        <v>45139</v>
      </c>
      <c r="B7553" t="s">
        <v>9</v>
      </c>
      <c r="C7553" t="s">
        <v>881</v>
      </c>
      <c r="D7553" s="2">
        <v>79364678.980000004</v>
      </c>
      <c r="E7553" s="2">
        <v>384678.84</v>
      </c>
      <c r="F7553" s="2">
        <v>4719320.17</v>
      </c>
    </row>
    <row r="7554" spans="1:6" x14ac:dyDescent="0.25">
      <c r="A7554" s="1">
        <v>45139</v>
      </c>
      <c r="B7554" t="s">
        <v>25</v>
      </c>
      <c r="C7554" t="s">
        <v>1039</v>
      </c>
      <c r="D7554" s="2">
        <v>527826.63</v>
      </c>
      <c r="E7554" s="2">
        <v>69416.479999999996</v>
      </c>
      <c r="F7554" s="2">
        <v>63442.080000000002</v>
      </c>
    </row>
    <row r="7555" spans="1:6" x14ac:dyDescent="0.25">
      <c r="A7555" s="1">
        <v>45139</v>
      </c>
      <c r="B7555" t="s">
        <v>107</v>
      </c>
      <c r="C7555" t="s">
        <v>921</v>
      </c>
      <c r="D7555" s="2">
        <v>6222952.3899999997</v>
      </c>
      <c r="E7555" s="2">
        <v>585978.24</v>
      </c>
      <c r="F7555" s="2">
        <v>119903583.90000001</v>
      </c>
    </row>
    <row r="7556" spans="1:6" x14ac:dyDescent="0.25">
      <c r="A7556" s="1">
        <v>45139</v>
      </c>
      <c r="B7556" t="s">
        <v>619</v>
      </c>
      <c r="C7556" t="s">
        <v>165</v>
      </c>
      <c r="D7556" s="2">
        <v>-2283.4899999999998</v>
      </c>
      <c r="E7556" s="2">
        <v>16016.49</v>
      </c>
      <c r="F7556" s="2">
        <v>15453.55</v>
      </c>
    </row>
    <row r="7557" spans="1:6" x14ac:dyDescent="0.25">
      <c r="A7557" s="1">
        <v>45139</v>
      </c>
      <c r="B7557" t="s">
        <v>25</v>
      </c>
      <c r="C7557" t="s">
        <v>373</v>
      </c>
      <c r="D7557" s="2">
        <v>249897.69</v>
      </c>
      <c r="E7557" s="2">
        <v>197114.77</v>
      </c>
      <c r="F7557" s="2">
        <v>35727.47</v>
      </c>
    </row>
    <row r="7558" spans="1:6" x14ac:dyDescent="0.25">
      <c r="A7558" s="1">
        <v>45139</v>
      </c>
      <c r="B7558" t="s">
        <v>101</v>
      </c>
      <c r="C7558" t="s">
        <v>849</v>
      </c>
      <c r="D7558">
        <v>152.46</v>
      </c>
      <c r="E7558" s="2">
        <v>98445.24</v>
      </c>
      <c r="F7558" s="2">
        <v>150071.64000000001</v>
      </c>
    </row>
    <row r="7559" spans="1:6" x14ac:dyDescent="0.25">
      <c r="A7559" s="1">
        <v>45139</v>
      </c>
      <c r="B7559" t="s">
        <v>490</v>
      </c>
      <c r="C7559" t="s">
        <v>512</v>
      </c>
      <c r="D7559" s="2">
        <v>5500000</v>
      </c>
      <c r="E7559" s="2">
        <v>69449508.040000007</v>
      </c>
      <c r="F7559" s="2">
        <v>69802290.640000001</v>
      </c>
    </row>
    <row r="7560" spans="1:6" x14ac:dyDescent="0.25">
      <c r="A7560" s="1">
        <v>45139</v>
      </c>
      <c r="B7560" t="s">
        <v>162</v>
      </c>
      <c r="C7560" t="s">
        <v>322</v>
      </c>
      <c r="D7560" s="2">
        <v>22421626.84</v>
      </c>
      <c r="E7560" s="2">
        <v>2448839.5499999998</v>
      </c>
      <c r="F7560" s="2">
        <v>1484363.35</v>
      </c>
    </row>
    <row r="7561" spans="1:6" x14ac:dyDescent="0.25">
      <c r="A7561" s="1">
        <v>45139</v>
      </c>
      <c r="B7561" t="s">
        <v>23</v>
      </c>
      <c r="C7561" t="s">
        <v>370</v>
      </c>
      <c r="D7561" s="2">
        <v>144282.18</v>
      </c>
      <c r="E7561" s="2">
        <v>116410.43</v>
      </c>
      <c r="F7561" s="2">
        <v>92057.56</v>
      </c>
    </row>
    <row r="7562" spans="1:6" x14ac:dyDescent="0.25">
      <c r="A7562" s="1">
        <v>45139</v>
      </c>
      <c r="B7562" t="s">
        <v>29</v>
      </c>
      <c r="C7562" t="s">
        <v>653</v>
      </c>
      <c r="D7562" s="2">
        <v>1644654</v>
      </c>
      <c r="E7562" s="2">
        <v>125519.36</v>
      </c>
      <c r="F7562" s="2">
        <v>125519.36</v>
      </c>
    </row>
    <row r="7563" spans="1:6" x14ac:dyDescent="0.25">
      <c r="A7563" s="1">
        <v>45139</v>
      </c>
      <c r="B7563" t="s">
        <v>101</v>
      </c>
      <c r="C7563" t="s">
        <v>861</v>
      </c>
      <c r="D7563" s="2">
        <v>19766343.75</v>
      </c>
      <c r="E7563" s="2">
        <v>36354268.460000001</v>
      </c>
      <c r="F7563" s="2">
        <v>41614302.409999996</v>
      </c>
    </row>
    <row r="7564" spans="1:6" x14ac:dyDescent="0.25">
      <c r="A7564" s="1">
        <v>45139</v>
      </c>
      <c r="B7564" t="s">
        <v>726</v>
      </c>
      <c r="C7564" t="s">
        <v>727</v>
      </c>
      <c r="D7564" s="2">
        <v>747894.58</v>
      </c>
      <c r="E7564" s="2">
        <v>1156620.23</v>
      </c>
      <c r="F7564" s="2">
        <v>1104249.78</v>
      </c>
    </row>
    <row r="7565" spans="1:6" x14ac:dyDescent="0.25">
      <c r="A7565" s="1">
        <v>45139</v>
      </c>
      <c r="B7565" t="s">
        <v>90</v>
      </c>
      <c r="C7565" t="s">
        <v>1118</v>
      </c>
      <c r="D7565" s="2">
        <v>35000</v>
      </c>
      <c r="E7565" s="2">
        <v>1261.92</v>
      </c>
      <c r="F7565">
        <v>281.83</v>
      </c>
    </row>
    <row r="7566" spans="1:6" x14ac:dyDescent="0.25">
      <c r="A7566" s="1">
        <v>45139</v>
      </c>
      <c r="B7566" t="s">
        <v>118</v>
      </c>
      <c r="C7566" t="s">
        <v>885</v>
      </c>
      <c r="D7566" s="2">
        <v>742036893.83000004</v>
      </c>
      <c r="E7566" s="2">
        <v>9680985.6199999992</v>
      </c>
      <c r="F7566" s="2">
        <v>8889903.5299999993</v>
      </c>
    </row>
    <row r="7567" spans="1:6" x14ac:dyDescent="0.25">
      <c r="A7567" s="1">
        <v>45139</v>
      </c>
      <c r="B7567" t="s">
        <v>476</v>
      </c>
      <c r="C7567" t="s">
        <v>904</v>
      </c>
      <c r="D7567" s="2">
        <v>3974065.74</v>
      </c>
      <c r="E7567" s="2">
        <v>2317756.63</v>
      </c>
      <c r="F7567" s="2">
        <v>2253513.14</v>
      </c>
    </row>
    <row r="7568" spans="1:6" x14ac:dyDescent="0.25">
      <c r="A7568" s="1">
        <v>45139</v>
      </c>
      <c r="B7568" t="s">
        <v>306</v>
      </c>
      <c r="C7568" t="s">
        <v>403</v>
      </c>
      <c r="D7568" s="2">
        <v>8919592.8200000003</v>
      </c>
      <c r="E7568" s="2">
        <v>2427806.48</v>
      </c>
      <c r="F7568" s="2">
        <v>2246172.34</v>
      </c>
    </row>
    <row r="7569" spans="1:6" x14ac:dyDescent="0.25">
      <c r="A7569" s="1">
        <v>45139</v>
      </c>
      <c r="B7569" t="s">
        <v>23</v>
      </c>
      <c r="C7569" t="s">
        <v>611</v>
      </c>
      <c r="D7569" s="2">
        <v>-88121887.819999993</v>
      </c>
      <c r="E7569" s="2">
        <v>19187962.579999998</v>
      </c>
      <c r="F7569" s="2">
        <v>18517576.469999999</v>
      </c>
    </row>
    <row r="7570" spans="1:6" x14ac:dyDescent="0.25">
      <c r="A7570" s="1">
        <v>45139</v>
      </c>
      <c r="B7570" t="s">
        <v>40</v>
      </c>
      <c r="C7570" t="s">
        <v>606</v>
      </c>
      <c r="D7570" s="2">
        <v>13457003.960000001</v>
      </c>
      <c r="E7570" s="2">
        <v>24820325.690000001</v>
      </c>
      <c r="F7570" s="2">
        <v>25939646.18</v>
      </c>
    </row>
    <row r="7571" spans="1:6" x14ac:dyDescent="0.25">
      <c r="A7571" s="1">
        <v>45139</v>
      </c>
      <c r="B7571" t="s">
        <v>29</v>
      </c>
      <c r="C7571" t="s">
        <v>717</v>
      </c>
      <c r="D7571" s="2">
        <v>2673084.59</v>
      </c>
      <c r="E7571" s="2">
        <v>46870146.270000003</v>
      </c>
      <c r="F7571" s="2">
        <v>50197821.119999997</v>
      </c>
    </row>
    <row r="7572" spans="1:6" x14ac:dyDescent="0.25">
      <c r="A7572" s="1">
        <v>45139</v>
      </c>
      <c r="B7572" t="s">
        <v>682</v>
      </c>
      <c r="C7572" t="s">
        <v>683</v>
      </c>
      <c r="D7572" s="2">
        <v>2640986.19</v>
      </c>
      <c r="E7572" s="2">
        <v>1171865.55</v>
      </c>
      <c r="F7572" s="2">
        <v>1060177.6000000001</v>
      </c>
    </row>
    <row r="7573" spans="1:6" x14ac:dyDescent="0.25">
      <c r="A7573" s="1">
        <v>45139</v>
      </c>
      <c r="B7573" t="s">
        <v>40</v>
      </c>
      <c r="C7573" t="s">
        <v>749</v>
      </c>
      <c r="D7573" s="2">
        <v>76757086.310000002</v>
      </c>
      <c r="E7573" s="2">
        <v>10188915.630000001</v>
      </c>
      <c r="F7573" s="2">
        <v>46653656.619999997</v>
      </c>
    </row>
    <row r="7574" spans="1:6" x14ac:dyDescent="0.25">
      <c r="A7574" s="1">
        <v>45139</v>
      </c>
      <c r="B7574" t="s">
        <v>40</v>
      </c>
      <c r="C7574" t="s">
        <v>604</v>
      </c>
      <c r="D7574" s="2">
        <v>10150000</v>
      </c>
      <c r="E7574">
        <v>0</v>
      </c>
      <c r="F7574" s="2">
        <v>138236463.08000001</v>
      </c>
    </row>
    <row r="7575" spans="1:6" x14ac:dyDescent="0.25">
      <c r="A7575" s="1">
        <v>45139</v>
      </c>
      <c r="B7575" t="s">
        <v>105</v>
      </c>
      <c r="C7575" t="s">
        <v>150</v>
      </c>
      <c r="D7575">
        <v>0</v>
      </c>
      <c r="E7575" s="2">
        <v>11754428</v>
      </c>
      <c r="F7575" s="2">
        <v>11754428</v>
      </c>
    </row>
    <row r="7576" spans="1:6" x14ac:dyDescent="0.25">
      <c r="A7576" s="1">
        <v>45139</v>
      </c>
      <c r="B7576" t="s">
        <v>25</v>
      </c>
      <c r="C7576" t="s">
        <v>703</v>
      </c>
      <c r="D7576" s="2">
        <v>392969.45</v>
      </c>
      <c r="E7576" s="2">
        <v>340873.7</v>
      </c>
      <c r="F7576" s="2">
        <v>284100.09000000003</v>
      </c>
    </row>
    <row r="7577" spans="1:6" x14ac:dyDescent="0.25">
      <c r="A7577" s="1">
        <v>45139</v>
      </c>
      <c r="B7577" t="s">
        <v>13</v>
      </c>
      <c r="C7577" t="s">
        <v>635</v>
      </c>
      <c r="D7577" s="2">
        <v>18652.75</v>
      </c>
      <c r="E7577" s="2">
        <v>40557.599999999999</v>
      </c>
      <c r="F7577" s="2">
        <v>37690.239999999998</v>
      </c>
    </row>
    <row r="7578" spans="1:6" x14ac:dyDescent="0.25">
      <c r="A7578" s="1">
        <v>45139</v>
      </c>
      <c r="B7578" t="s">
        <v>206</v>
      </c>
      <c r="C7578" t="s">
        <v>207</v>
      </c>
      <c r="D7578" s="2">
        <v>101000</v>
      </c>
      <c r="E7578" s="2">
        <v>40016.83</v>
      </c>
      <c r="F7578" s="2">
        <v>3597.53</v>
      </c>
    </row>
    <row r="7579" spans="1:6" x14ac:dyDescent="0.25">
      <c r="A7579" s="1">
        <v>45139</v>
      </c>
      <c r="B7579" t="s">
        <v>114</v>
      </c>
      <c r="C7579" t="s">
        <v>547</v>
      </c>
      <c r="D7579" s="2">
        <v>2339520.2599999998</v>
      </c>
      <c r="E7579" s="2">
        <v>286507.17</v>
      </c>
      <c r="F7579" s="2">
        <v>299744.05</v>
      </c>
    </row>
    <row r="7580" spans="1:6" x14ac:dyDescent="0.25">
      <c r="A7580" s="1">
        <v>45139</v>
      </c>
      <c r="B7580" t="s">
        <v>31</v>
      </c>
      <c r="C7580" t="s">
        <v>223</v>
      </c>
      <c r="D7580" s="2">
        <v>25255637.649999999</v>
      </c>
      <c r="E7580" s="2">
        <v>2503681.39</v>
      </c>
      <c r="F7580" s="2">
        <v>2503681.39</v>
      </c>
    </row>
    <row r="7581" spans="1:6" x14ac:dyDescent="0.25">
      <c r="A7581" s="1">
        <v>45139</v>
      </c>
      <c r="B7581" t="s">
        <v>21</v>
      </c>
      <c r="C7581" t="s">
        <v>527</v>
      </c>
      <c r="D7581" s="2">
        <v>22820586.800000001</v>
      </c>
      <c r="E7581" s="2">
        <v>6105682.6799999997</v>
      </c>
      <c r="F7581" s="2">
        <v>5763508.1799999997</v>
      </c>
    </row>
    <row r="7582" spans="1:6" x14ac:dyDescent="0.25">
      <c r="A7582" s="1">
        <v>45139</v>
      </c>
      <c r="B7582" t="s">
        <v>21</v>
      </c>
      <c r="C7582" t="s">
        <v>967</v>
      </c>
      <c r="D7582">
        <v>0</v>
      </c>
      <c r="E7582" s="2">
        <v>68538.11</v>
      </c>
      <c r="F7582" s="2">
        <v>8533</v>
      </c>
    </row>
    <row r="7583" spans="1:6" x14ac:dyDescent="0.25">
      <c r="A7583" s="1">
        <v>45139</v>
      </c>
      <c r="B7583" t="s">
        <v>40</v>
      </c>
      <c r="C7583" t="s">
        <v>487</v>
      </c>
      <c r="D7583" s="2">
        <v>543680684.51999998</v>
      </c>
      <c r="E7583" s="2">
        <v>545443220.57000005</v>
      </c>
      <c r="F7583" s="2">
        <v>2590915167.6599998</v>
      </c>
    </row>
    <row r="7584" spans="1:6" x14ac:dyDescent="0.25">
      <c r="A7584" s="1">
        <v>45139</v>
      </c>
      <c r="B7584" t="s">
        <v>92</v>
      </c>
      <c r="C7584" t="s">
        <v>701</v>
      </c>
      <c r="D7584" s="2">
        <v>1213068.27</v>
      </c>
      <c r="E7584" s="2">
        <v>4570847.8</v>
      </c>
      <c r="F7584" s="2">
        <v>4266188.46</v>
      </c>
    </row>
    <row r="7585" spans="1:6" x14ac:dyDescent="0.25">
      <c r="A7585" s="1">
        <v>45139</v>
      </c>
      <c r="B7585" t="s">
        <v>105</v>
      </c>
      <c r="C7585" t="s">
        <v>645</v>
      </c>
      <c r="D7585" s="2">
        <v>10429924.82</v>
      </c>
      <c r="E7585" s="2">
        <v>6289766.2000000002</v>
      </c>
      <c r="F7585" s="2">
        <v>3541622.4</v>
      </c>
    </row>
    <row r="7586" spans="1:6" x14ac:dyDescent="0.25">
      <c r="A7586" s="1">
        <v>45139</v>
      </c>
      <c r="B7586" t="s">
        <v>9</v>
      </c>
      <c r="C7586" t="s">
        <v>363</v>
      </c>
      <c r="D7586" s="2">
        <v>1381147.81</v>
      </c>
      <c r="E7586" s="2">
        <v>40709.99</v>
      </c>
      <c r="F7586" s="2">
        <v>21359.919999999998</v>
      </c>
    </row>
    <row r="7587" spans="1:6" x14ac:dyDescent="0.25">
      <c r="A7587" s="1">
        <v>45139</v>
      </c>
      <c r="B7587" t="s">
        <v>107</v>
      </c>
      <c r="C7587" t="s">
        <v>982</v>
      </c>
      <c r="D7587">
        <v>0</v>
      </c>
      <c r="E7587">
        <v>0</v>
      </c>
      <c r="F7587">
        <v>0</v>
      </c>
    </row>
    <row r="7588" spans="1:6" x14ac:dyDescent="0.25">
      <c r="A7588" s="1">
        <v>45139</v>
      </c>
      <c r="B7588" t="s">
        <v>278</v>
      </c>
      <c r="C7588" t="s">
        <v>279</v>
      </c>
      <c r="D7588">
        <v>0</v>
      </c>
      <c r="E7588" s="2">
        <v>246808.62</v>
      </c>
      <c r="F7588" s="2">
        <v>242848.09</v>
      </c>
    </row>
    <row r="7589" spans="1:6" x14ac:dyDescent="0.25">
      <c r="A7589" s="1">
        <v>45139</v>
      </c>
      <c r="B7589" t="s">
        <v>23</v>
      </c>
      <c r="C7589" t="s">
        <v>761</v>
      </c>
      <c r="D7589" s="2">
        <v>34394506.25</v>
      </c>
      <c r="E7589" s="2">
        <v>108388976.03</v>
      </c>
      <c r="F7589" s="2">
        <v>106196262.45999999</v>
      </c>
    </row>
    <row r="7590" spans="1:6" x14ac:dyDescent="0.25">
      <c r="A7590" s="1">
        <v>45139</v>
      </c>
      <c r="B7590" t="s">
        <v>278</v>
      </c>
      <c r="C7590" t="s">
        <v>688</v>
      </c>
      <c r="D7590" s="2">
        <v>1100000</v>
      </c>
      <c r="E7590" s="2">
        <v>401727379.30000001</v>
      </c>
      <c r="F7590" s="2">
        <v>2978581719.5799999</v>
      </c>
    </row>
    <row r="7591" spans="1:6" x14ac:dyDescent="0.25">
      <c r="A7591" s="1">
        <v>45139</v>
      </c>
      <c r="B7591" t="s">
        <v>422</v>
      </c>
      <c r="C7591" t="s">
        <v>671</v>
      </c>
      <c r="D7591" s="2">
        <v>-607575.03</v>
      </c>
      <c r="E7591" s="2">
        <v>2075738.67</v>
      </c>
      <c r="F7591" s="2">
        <v>575231.99</v>
      </c>
    </row>
    <row r="7592" spans="1:6" x14ac:dyDescent="0.25">
      <c r="A7592" s="1">
        <v>45139</v>
      </c>
      <c r="B7592" t="s">
        <v>50</v>
      </c>
      <c r="C7592" t="s">
        <v>530</v>
      </c>
      <c r="D7592" s="2">
        <v>229647.3</v>
      </c>
      <c r="E7592" s="2">
        <v>226234.55</v>
      </c>
      <c r="F7592" s="2">
        <v>201826.04</v>
      </c>
    </row>
    <row r="7593" spans="1:6" x14ac:dyDescent="0.25">
      <c r="A7593" s="1">
        <v>45139</v>
      </c>
      <c r="B7593" t="s">
        <v>25</v>
      </c>
      <c r="C7593" t="s">
        <v>138</v>
      </c>
      <c r="D7593" s="2">
        <v>149534.18</v>
      </c>
      <c r="E7593" s="2">
        <v>59120.65</v>
      </c>
      <c r="F7593" s="2">
        <v>63281.42</v>
      </c>
    </row>
    <row r="7594" spans="1:6" x14ac:dyDescent="0.25">
      <c r="A7594" s="1">
        <v>45139</v>
      </c>
      <c r="B7594" t="s">
        <v>105</v>
      </c>
      <c r="C7594" t="s">
        <v>922</v>
      </c>
      <c r="D7594" s="2">
        <v>450000</v>
      </c>
      <c r="E7594" s="2">
        <v>350000</v>
      </c>
      <c r="F7594" s="2">
        <v>350000</v>
      </c>
    </row>
    <row r="7595" spans="1:6" x14ac:dyDescent="0.25">
      <c r="A7595" s="1">
        <v>45139</v>
      </c>
      <c r="B7595" t="s">
        <v>101</v>
      </c>
      <c r="C7595" t="s">
        <v>1205</v>
      </c>
      <c r="D7595" s="2">
        <v>3474587.72</v>
      </c>
      <c r="E7595" s="2">
        <v>8847952.1300000008</v>
      </c>
      <c r="F7595" s="2">
        <v>14700181.48</v>
      </c>
    </row>
    <row r="7596" spans="1:6" x14ac:dyDescent="0.25">
      <c r="A7596" s="1">
        <v>45139</v>
      </c>
      <c r="B7596" t="s">
        <v>181</v>
      </c>
      <c r="C7596" t="s">
        <v>881</v>
      </c>
      <c r="D7596">
        <v>0</v>
      </c>
      <c r="E7596">
        <v>0</v>
      </c>
      <c r="F7596">
        <v>0</v>
      </c>
    </row>
    <row r="7597" spans="1:6" x14ac:dyDescent="0.25">
      <c r="A7597" s="1">
        <v>45139</v>
      </c>
      <c r="B7597" t="s">
        <v>476</v>
      </c>
      <c r="C7597" t="s">
        <v>853</v>
      </c>
      <c r="D7597" s="2">
        <v>814843.84</v>
      </c>
      <c r="E7597" s="2">
        <v>5124877.32</v>
      </c>
      <c r="F7597" s="2">
        <v>8606640.9299999997</v>
      </c>
    </row>
    <row r="7598" spans="1:6" x14ac:dyDescent="0.25">
      <c r="A7598" s="1">
        <v>45139</v>
      </c>
      <c r="B7598" t="s">
        <v>17</v>
      </c>
      <c r="C7598" t="s">
        <v>954</v>
      </c>
      <c r="D7598">
        <v>0</v>
      </c>
      <c r="E7598">
        <v>0</v>
      </c>
      <c r="F7598">
        <v>0</v>
      </c>
    </row>
    <row r="7599" spans="1:6" x14ac:dyDescent="0.25">
      <c r="A7599" s="1">
        <v>45139</v>
      </c>
      <c r="B7599" t="s">
        <v>90</v>
      </c>
      <c r="C7599" t="s">
        <v>158</v>
      </c>
      <c r="D7599" s="2">
        <v>65000</v>
      </c>
      <c r="E7599" s="2">
        <v>32659.21</v>
      </c>
      <c r="F7599" s="2">
        <v>15551.11</v>
      </c>
    </row>
    <row r="7600" spans="1:6" x14ac:dyDescent="0.25">
      <c r="A7600" s="1">
        <v>45139</v>
      </c>
      <c r="B7600" t="s">
        <v>306</v>
      </c>
      <c r="C7600" t="s">
        <v>814</v>
      </c>
      <c r="D7600" s="2">
        <v>9211876.5500000007</v>
      </c>
      <c r="E7600" s="2">
        <v>286397.83</v>
      </c>
      <c r="F7600" s="2">
        <v>1073142.78</v>
      </c>
    </row>
    <row r="7601" spans="1:6" x14ac:dyDescent="0.25">
      <c r="A7601" s="1">
        <v>45139</v>
      </c>
      <c r="B7601" t="s">
        <v>196</v>
      </c>
      <c r="C7601" t="s">
        <v>262</v>
      </c>
      <c r="D7601">
        <v>0</v>
      </c>
      <c r="E7601">
        <v>0</v>
      </c>
      <c r="F7601">
        <v>0</v>
      </c>
    </row>
    <row r="7602" spans="1:6" x14ac:dyDescent="0.25">
      <c r="A7602" s="1">
        <v>45139</v>
      </c>
      <c r="B7602" t="s">
        <v>40</v>
      </c>
      <c r="C7602" t="s">
        <v>666</v>
      </c>
      <c r="D7602" s="2">
        <v>105985.1</v>
      </c>
      <c r="E7602" s="2">
        <v>124614.65</v>
      </c>
      <c r="F7602" s="2">
        <v>54844.21</v>
      </c>
    </row>
    <row r="7603" spans="1:6" x14ac:dyDescent="0.25">
      <c r="A7603" s="1">
        <v>45139</v>
      </c>
      <c r="B7603" t="s">
        <v>23</v>
      </c>
      <c r="C7603" t="s">
        <v>1004</v>
      </c>
      <c r="D7603" s="2">
        <v>5224999.33</v>
      </c>
      <c r="E7603" s="2">
        <v>578488.49</v>
      </c>
      <c r="F7603" s="2">
        <v>215831.31</v>
      </c>
    </row>
    <row r="7604" spans="1:6" x14ac:dyDescent="0.25">
      <c r="A7604" s="1">
        <v>45139</v>
      </c>
      <c r="B7604" t="s">
        <v>92</v>
      </c>
      <c r="C7604" t="s">
        <v>909</v>
      </c>
      <c r="D7604" s="2">
        <v>25588094.260000002</v>
      </c>
      <c r="E7604" s="2">
        <v>49321568.619999997</v>
      </c>
      <c r="F7604" s="2">
        <v>49897442.840000004</v>
      </c>
    </row>
    <row r="7605" spans="1:6" x14ac:dyDescent="0.25">
      <c r="A7605" s="1">
        <v>45139</v>
      </c>
      <c r="B7605" t="s">
        <v>107</v>
      </c>
      <c r="C7605" t="s">
        <v>197</v>
      </c>
      <c r="D7605" s="2">
        <v>62339486</v>
      </c>
      <c r="E7605" s="2">
        <v>24048622.300000001</v>
      </c>
      <c r="F7605" s="2">
        <v>24262270.27</v>
      </c>
    </row>
    <row r="7606" spans="1:6" x14ac:dyDescent="0.25">
      <c r="A7606" s="1">
        <v>45139</v>
      </c>
      <c r="B7606" t="s">
        <v>48</v>
      </c>
      <c r="C7606" t="s">
        <v>472</v>
      </c>
      <c r="D7606" s="2">
        <v>1410243.86</v>
      </c>
      <c r="E7606" s="2">
        <v>2038047.09</v>
      </c>
      <c r="F7606" s="2">
        <v>2138327.13</v>
      </c>
    </row>
    <row r="7607" spans="1:6" x14ac:dyDescent="0.25">
      <c r="A7607" s="1">
        <v>45139</v>
      </c>
      <c r="B7607" t="s">
        <v>27</v>
      </c>
      <c r="C7607" t="s">
        <v>748</v>
      </c>
      <c r="D7607" s="2">
        <v>139552.75</v>
      </c>
      <c r="E7607" s="2">
        <v>13118</v>
      </c>
      <c r="F7607" s="2">
        <v>19758</v>
      </c>
    </row>
    <row r="7608" spans="1:6" x14ac:dyDescent="0.25">
      <c r="A7608" s="1">
        <v>45139</v>
      </c>
      <c r="B7608" t="s">
        <v>118</v>
      </c>
      <c r="C7608" t="s">
        <v>754</v>
      </c>
      <c r="D7608">
        <v>0</v>
      </c>
      <c r="E7608">
        <v>0</v>
      </c>
      <c r="F7608">
        <v>0</v>
      </c>
    </row>
    <row r="7609" spans="1:6" x14ac:dyDescent="0.25">
      <c r="A7609" s="1">
        <v>45139</v>
      </c>
      <c r="B7609" t="s">
        <v>23</v>
      </c>
      <c r="C7609" t="s">
        <v>845</v>
      </c>
      <c r="D7609" s="2">
        <v>377719.08</v>
      </c>
      <c r="E7609" s="2">
        <v>406863.11</v>
      </c>
      <c r="F7609" s="2">
        <v>321866.57</v>
      </c>
    </row>
    <row r="7610" spans="1:6" x14ac:dyDescent="0.25">
      <c r="A7610" s="1">
        <v>45139</v>
      </c>
      <c r="B7610" t="s">
        <v>37</v>
      </c>
      <c r="C7610" t="s">
        <v>384</v>
      </c>
      <c r="D7610" s="2">
        <v>6659974.5999999996</v>
      </c>
      <c r="E7610" s="2">
        <v>1683063.52</v>
      </c>
      <c r="F7610" s="2">
        <v>604375.41</v>
      </c>
    </row>
    <row r="7611" spans="1:6" x14ac:dyDescent="0.25">
      <c r="A7611" s="1">
        <v>45139</v>
      </c>
      <c r="B7611" t="s">
        <v>296</v>
      </c>
      <c r="C7611" t="s">
        <v>297</v>
      </c>
      <c r="D7611" s="2">
        <v>12936661.48</v>
      </c>
      <c r="E7611" s="2">
        <v>3204107.38</v>
      </c>
      <c r="F7611" s="2">
        <v>3134582.31</v>
      </c>
    </row>
    <row r="7612" spans="1:6" x14ac:dyDescent="0.25">
      <c r="A7612" s="1">
        <v>45139</v>
      </c>
      <c r="B7612" t="s">
        <v>23</v>
      </c>
      <c r="C7612" t="s">
        <v>715</v>
      </c>
      <c r="D7612" s="2">
        <v>61178.98</v>
      </c>
      <c r="E7612" s="2">
        <v>865724.42</v>
      </c>
      <c r="F7612" s="2">
        <v>807749.53</v>
      </c>
    </row>
    <row r="7613" spans="1:6" x14ac:dyDescent="0.25">
      <c r="A7613" s="1">
        <v>45139</v>
      </c>
      <c r="B7613" t="s">
        <v>545</v>
      </c>
      <c r="C7613" t="s">
        <v>362</v>
      </c>
      <c r="D7613" s="2">
        <v>35639920.32</v>
      </c>
      <c r="E7613" s="2">
        <v>14548221.83</v>
      </c>
      <c r="F7613" s="2">
        <v>12648502.23</v>
      </c>
    </row>
    <row r="7614" spans="1:6" x14ac:dyDescent="0.25">
      <c r="A7614" s="1">
        <v>45139</v>
      </c>
      <c r="B7614" t="s">
        <v>42</v>
      </c>
      <c r="C7614" t="s">
        <v>736</v>
      </c>
      <c r="D7614" s="2">
        <v>219747</v>
      </c>
      <c r="E7614" s="2">
        <v>2981.7</v>
      </c>
      <c r="F7614" s="2">
        <v>31771911.079999998</v>
      </c>
    </row>
    <row r="7615" spans="1:6" x14ac:dyDescent="0.25">
      <c r="A7615" s="1">
        <v>45139</v>
      </c>
      <c r="B7615" t="s">
        <v>40</v>
      </c>
      <c r="C7615" t="s">
        <v>923</v>
      </c>
      <c r="D7615" s="2">
        <v>14798453.43</v>
      </c>
      <c r="E7615" s="2">
        <v>5380344.9199999999</v>
      </c>
      <c r="F7615" s="2">
        <v>5877771.3600000003</v>
      </c>
    </row>
    <row r="7616" spans="1:6" x14ac:dyDescent="0.25">
      <c r="A7616" s="1">
        <v>45139</v>
      </c>
      <c r="B7616" t="s">
        <v>648</v>
      </c>
      <c r="C7616" t="s">
        <v>844</v>
      </c>
      <c r="D7616" s="2">
        <v>106456.51</v>
      </c>
      <c r="E7616" s="2">
        <v>110284.47</v>
      </c>
      <c r="F7616" s="2">
        <v>133291.72</v>
      </c>
    </row>
    <row r="7617" spans="1:6" x14ac:dyDescent="0.25">
      <c r="A7617" s="1">
        <v>45139</v>
      </c>
      <c r="B7617" t="s">
        <v>107</v>
      </c>
      <c r="C7617" t="s">
        <v>615</v>
      </c>
      <c r="D7617" s="2">
        <v>19031768.399999999</v>
      </c>
      <c r="E7617" s="2">
        <v>13655991.609999999</v>
      </c>
      <c r="F7617" s="2">
        <v>25679994.07</v>
      </c>
    </row>
    <row r="7618" spans="1:6" x14ac:dyDescent="0.25">
      <c r="A7618" s="1">
        <v>45139</v>
      </c>
      <c r="B7618" t="s">
        <v>40</v>
      </c>
      <c r="C7618" t="s">
        <v>599</v>
      </c>
      <c r="D7618" s="2">
        <v>16499990.23</v>
      </c>
      <c r="E7618" s="2">
        <v>45144499.539999999</v>
      </c>
      <c r="F7618" s="2">
        <v>104936795.66</v>
      </c>
    </row>
    <row r="7619" spans="1:6" x14ac:dyDescent="0.25">
      <c r="A7619" s="1">
        <v>45139</v>
      </c>
      <c r="B7619" t="s">
        <v>29</v>
      </c>
      <c r="C7619" t="s">
        <v>804</v>
      </c>
      <c r="D7619" s="2">
        <v>2538748.5499999998</v>
      </c>
      <c r="E7619" s="2">
        <v>1849949.85</v>
      </c>
      <c r="F7619" s="2">
        <v>1816040.28</v>
      </c>
    </row>
    <row r="7620" spans="1:6" x14ac:dyDescent="0.25">
      <c r="A7620" s="1">
        <v>45139</v>
      </c>
      <c r="B7620" t="s">
        <v>23</v>
      </c>
      <c r="C7620" t="s">
        <v>874</v>
      </c>
      <c r="D7620" s="2">
        <v>2497328.5699999998</v>
      </c>
      <c r="E7620" s="2">
        <v>1132479.31</v>
      </c>
      <c r="F7620" s="2">
        <v>551299.13</v>
      </c>
    </row>
    <row r="7621" spans="1:6" x14ac:dyDescent="0.25">
      <c r="A7621" s="1">
        <v>45139</v>
      </c>
      <c r="B7621" t="s">
        <v>15</v>
      </c>
      <c r="C7621" t="s">
        <v>697</v>
      </c>
      <c r="D7621" s="2">
        <v>28973535.890000001</v>
      </c>
      <c r="E7621" s="2">
        <v>51988585.649999999</v>
      </c>
      <c r="F7621" s="2">
        <v>32354854.920000002</v>
      </c>
    </row>
    <row r="7622" spans="1:6" x14ac:dyDescent="0.25">
      <c r="A7622" s="1">
        <v>45139</v>
      </c>
      <c r="B7622" t="s">
        <v>23</v>
      </c>
      <c r="C7622" t="s">
        <v>901</v>
      </c>
      <c r="D7622" s="2">
        <v>2379613.67</v>
      </c>
      <c r="E7622" s="2">
        <v>8444816.2300000004</v>
      </c>
      <c r="F7622" s="2">
        <v>6961914.9400000004</v>
      </c>
    </row>
    <row r="7623" spans="1:6" x14ac:dyDescent="0.25">
      <c r="A7623" s="1">
        <v>45139</v>
      </c>
      <c r="B7623" t="s">
        <v>154</v>
      </c>
      <c r="C7623" t="s">
        <v>785</v>
      </c>
      <c r="D7623">
        <v>748.17</v>
      </c>
      <c r="E7623" s="2">
        <v>13816674.6</v>
      </c>
      <c r="F7623" s="2">
        <v>13111100.73</v>
      </c>
    </row>
    <row r="7624" spans="1:6" x14ac:dyDescent="0.25">
      <c r="A7624" s="1">
        <v>45139</v>
      </c>
      <c r="B7624" t="s">
        <v>23</v>
      </c>
      <c r="C7624" t="s">
        <v>637</v>
      </c>
      <c r="D7624" s="2">
        <v>1927842.62</v>
      </c>
      <c r="E7624" s="2">
        <v>2174053.17</v>
      </c>
      <c r="F7624" s="2">
        <v>1891193.18</v>
      </c>
    </row>
    <row r="7625" spans="1:6" x14ac:dyDescent="0.25">
      <c r="A7625" s="1">
        <v>45139</v>
      </c>
      <c r="B7625" t="s">
        <v>29</v>
      </c>
      <c r="C7625" t="s">
        <v>30</v>
      </c>
      <c r="D7625" s="2">
        <v>3586716.8</v>
      </c>
      <c r="E7625" s="2">
        <v>1621797.88</v>
      </c>
      <c r="F7625" s="2">
        <v>1502080.54</v>
      </c>
    </row>
    <row r="7626" spans="1:6" x14ac:dyDescent="0.25">
      <c r="A7626" s="1">
        <v>45139</v>
      </c>
      <c r="B7626" t="s">
        <v>206</v>
      </c>
      <c r="C7626" t="s">
        <v>534</v>
      </c>
      <c r="D7626" s="2">
        <v>104406.92</v>
      </c>
      <c r="E7626" s="2">
        <v>141766.43</v>
      </c>
      <c r="F7626" s="2">
        <v>133984.46</v>
      </c>
    </row>
    <row r="7627" spans="1:6" x14ac:dyDescent="0.25">
      <c r="A7627" s="1">
        <v>45139</v>
      </c>
      <c r="B7627" t="s">
        <v>37</v>
      </c>
      <c r="C7627" t="s">
        <v>561</v>
      </c>
      <c r="D7627" s="2">
        <v>3071661.72</v>
      </c>
      <c r="E7627" s="2">
        <v>939058.14</v>
      </c>
      <c r="F7627" s="2">
        <v>1201124.1200000001</v>
      </c>
    </row>
    <row r="7628" spans="1:6" x14ac:dyDescent="0.25">
      <c r="A7628" s="1">
        <v>45139</v>
      </c>
      <c r="B7628" t="s">
        <v>251</v>
      </c>
      <c r="C7628" t="s">
        <v>750</v>
      </c>
      <c r="D7628" s="2">
        <v>28228337.59</v>
      </c>
      <c r="E7628" s="2">
        <v>19113811.23</v>
      </c>
      <c r="F7628" s="2">
        <v>18258104.75</v>
      </c>
    </row>
    <row r="7629" spans="1:6" x14ac:dyDescent="0.25">
      <c r="A7629" s="1">
        <v>45139</v>
      </c>
      <c r="B7629" t="s">
        <v>40</v>
      </c>
      <c r="C7629" t="s">
        <v>766</v>
      </c>
      <c r="D7629" s="2">
        <v>9512315.0700000003</v>
      </c>
      <c r="E7629" s="2">
        <v>2790106.62</v>
      </c>
      <c r="F7629" s="2">
        <v>3399836.32</v>
      </c>
    </row>
    <row r="7630" spans="1:6" x14ac:dyDescent="0.25">
      <c r="A7630" s="1">
        <v>45139</v>
      </c>
      <c r="B7630" t="s">
        <v>46</v>
      </c>
      <c r="C7630" t="s">
        <v>618</v>
      </c>
      <c r="D7630" s="2">
        <v>28598327.280000001</v>
      </c>
      <c r="E7630" s="2">
        <v>148133597.59</v>
      </c>
      <c r="F7630" s="2">
        <v>150326259.97</v>
      </c>
    </row>
    <row r="7631" spans="1:6" x14ac:dyDescent="0.25">
      <c r="A7631" s="1">
        <v>45139</v>
      </c>
      <c r="B7631" t="s">
        <v>490</v>
      </c>
      <c r="C7631" t="s">
        <v>1009</v>
      </c>
      <c r="D7631" s="2">
        <v>6180535.04</v>
      </c>
      <c r="E7631" s="2">
        <v>2107460.04</v>
      </c>
      <c r="F7631" s="2">
        <v>213443.05</v>
      </c>
    </row>
    <row r="7632" spans="1:6" x14ac:dyDescent="0.25">
      <c r="A7632" s="1">
        <v>45139</v>
      </c>
      <c r="B7632" t="s">
        <v>118</v>
      </c>
      <c r="C7632" t="s">
        <v>419</v>
      </c>
      <c r="D7632" s="2">
        <v>985000</v>
      </c>
      <c r="E7632" s="2">
        <v>19741.599999999999</v>
      </c>
      <c r="F7632" s="2">
        <v>18779.5</v>
      </c>
    </row>
    <row r="7633" spans="1:6" x14ac:dyDescent="0.25">
      <c r="A7633" s="1">
        <v>45139</v>
      </c>
      <c r="B7633" t="s">
        <v>40</v>
      </c>
      <c r="C7633" t="s">
        <v>919</v>
      </c>
      <c r="D7633" s="2">
        <v>483975606.82999998</v>
      </c>
      <c r="E7633" s="2">
        <v>9790532.4800000004</v>
      </c>
      <c r="F7633" s="2">
        <v>10822818528.629999</v>
      </c>
    </row>
    <row r="7634" spans="1:6" x14ac:dyDescent="0.25">
      <c r="A7634" s="1">
        <v>45139</v>
      </c>
      <c r="B7634" t="s">
        <v>23</v>
      </c>
      <c r="C7634" t="s">
        <v>854</v>
      </c>
      <c r="D7634" s="2">
        <v>-18736218.010000002</v>
      </c>
      <c r="E7634" s="2">
        <v>5701206.6799999997</v>
      </c>
      <c r="F7634" s="2">
        <v>19332943.789999999</v>
      </c>
    </row>
    <row r="7635" spans="1:6" x14ac:dyDescent="0.25">
      <c r="A7635" s="1">
        <v>45139</v>
      </c>
      <c r="B7635" t="s">
        <v>40</v>
      </c>
      <c r="C7635" t="s">
        <v>907</v>
      </c>
      <c r="D7635" s="2">
        <v>573887.73</v>
      </c>
      <c r="E7635" s="2">
        <v>433783.99</v>
      </c>
      <c r="F7635" s="2">
        <v>791701.8</v>
      </c>
    </row>
    <row r="7636" spans="1:6" x14ac:dyDescent="0.25">
      <c r="A7636" s="1">
        <v>45139</v>
      </c>
      <c r="B7636" t="s">
        <v>23</v>
      </c>
      <c r="C7636" t="s">
        <v>157</v>
      </c>
      <c r="D7636" s="2">
        <v>755816.45</v>
      </c>
      <c r="E7636" s="2">
        <v>417909.88</v>
      </c>
      <c r="F7636" s="2">
        <v>30059.08</v>
      </c>
    </row>
    <row r="7637" spans="1:6" x14ac:dyDescent="0.25">
      <c r="A7637" s="1">
        <v>45139</v>
      </c>
      <c r="B7637" t="s">
        <v>196</v>
      </c>
      <c r="C7637" t="s">
        <v>542</v>
      </c>
      <c r="D7637">
        <v>0</v>
      </c>
      <c r="E7637">
        <v>0</v>
      </c>
      <c r="F7637">
        <v>0</v>
      </c>
    </row>
    <row r="7638" spans="1:6" x14ac:dyDescent="0.25">
      <c r="A7638" s="1">
        <v>45139</v>
      </c>
      <c r="B7638" t="s">
        <v>422</v>
      </c>
      <c r="C7638" t="s">
        <v>920</v>
      </c>
      <c r="D7638" s="2">
        <v>8212880.9100000001</v>
      </c>
      <c r="E7638" s="2">
        <v>1656570.43</v>
      </c>
      <c r="F7638" s="2">
        <v>1025918.34</v>
      </c>
    </row>
    <row r="7639" spans="1:6" x14ac:dyDescent="0.25">
      <c r="A7639" s="1">
        <v>45139</v>
      </c>
      <c r="B7639" t="s">
        <v>648</v>
      </c>
      <c r="C7639" t="s">
        <v>914</v>
      </c>
      <c r="D7639" s="2">
        <v>71625836.689999998</v>
      </c>
      <c r="E7639" s="2">
        <v>73417691.150000006</v>
      </c>
      <c r="F7639" s="2">
        <v>98586996.359999999</v>
      </c>
    </row>
    <row r="7640" spans="1:6" x14ac:dyDescent="0.25">
      <c r="A7640" s="1">
        <v>45139</v>
      </c>
      <c r="B7640" t="s">
        <v>40</v>
      </c>
      <c r="C7640" t="s">
        <v>78</v>
      </c>
      <c r="D7640" s="2">
        <v>5535538.5700000003</v>
      </c>
      <c r="E7640" s="2">
        <v>2958742.84</v>
      </c>
      <c r="F7640" s="2">
        <v>5198455.99</v>
      </c>
    </row>
    <row r="7641" spans="1:6" x14ac:dyDescent="0.25">
      <c r="A7641" s="1">
        <v>45139</v>
      </c>
      <c r="B7641" t="s">
        <v>37</v>
      </c>
      <c r="C7641" t="s">
        <v>728</v>
      </c>
      <c r="D7641" s="2">
        <v>542036.52</v>
      </c>
      <c r="E7641" s="2">
        <v>1263438.6000000001</v>
      </c>
      <c r="F7641" s="2">
        <v>1364225.6</v>
      </c>
    </row>
    <row r="7642" spans="1:6" x14ac:dyDescent="0.25">
      <c r="A7642" s="1">
        <v>45139</v>
      </c>
      <c r="B7642" t="s">
        <v>114</v>
      </c>
      <c r="C7642" t="s">
        <v>913</v>
      </c>
      <c r="D7642" s="2">
        <v>32319062.670000002</v>
      </c>
      <c r="E7642" s="2">
        <v>28351247.239999998</v>
      </c>
      <c r="F7642" s="2">
        <v>35114728.729999997</v>
      </c>
    </row>
    <row r="7643" spans="1:6" x14ac:dyDescent="0.25">
      <c r="A7643" s="1">
        <v>45139</v>
      </c>
      <c r="B7643" t="s">
        <v>101</v>
      </c>
      <c r="C7643" t="s">
        <v>102</v>
      </c>
      <c r="D7643" s="2">
        <v>480515.3</v>
      </c>
      <c r="E7643" s="2">
        <v>12544.85</v>
      </c>
      <c r="F7643" s="2">
        <v>5600</v>
      </c>
    </row>
    <row r="7644" spans="1:6" x14ac:dyDescent="0.25">
      <c r="A7644" s="1">
        <v>45139</v>
      </c>
      <c r="B7644" t="s">
        <v>23</v>
      </c>
      <c r="C7644" t="s">
        <v>896</v>
      </c>
      <c r="D7644" s="2">
        <v>20095910.91</v>
      </c>
      <c r="E7644" s="2">
        <v>8301602.1699999999</v>
      </c>
      <c r="F7644" s="2">
        <v>7557537.9500000002</v>
      </c>
    </row>
    <row r="7645" spans="1:6" x14ac:dyDescent="0.25">
      <c r="A7645" s="1">
        <v>45139</v>
      </c>
      <c r="B7645" t="s">
        <v>35</v>
      </c>
      <c r="C7645" t="s">
        <v>293</v>
      </c>
      <c r="D7645" s="2">
        <v>2360234.2599999998</v>
      </c>
      <c r="E7645" s="2">
        <v>8676055.0099999998</v>
      </c>
      <c r="F7645" s="2">
        <v>3187489.23</v>
      </c>
    </row>
    <row r="7646" spans="1:6" x14ac:dyDescent="0.25">
      <c r="A7646" s="1">
        <v>45139</v>
      </c>
      <c r="B7646" t="s">
        <v>23</v>
      </c>
      <c r="C7646" t="s">
        <v>800</v>
      </c>
      <c r="D7646" s="2">
        <v>2256452</v>
      </c>
      <c r="E7646" s="2">
        <v>2648921.7999999998</v>
      </c>
      <c r="F7646" s="2">
        <v>2099192.4900000002</v>
      </c>
    </row>
    <row r="7647" spans="1:6" x14ac:dyDescent="0.25">
      <c r="A7647" s="1">
        <v>45139</v>
      </c>
      <c r="B7647" t="s">
        <v>50</v>
      </c>
      <c r="C7647" t="s">
        <v>793</v>
      </c>
      <c r="D7647" s="2">
        <v>2085960.36</v>
      </c>
      <c r="E7647" s="2">
        <v>3885237.06</v>
      </c>
      <c r="F7647" s="2">
        <v>3701916.7</v>
      </c>
    </row>
    <row r="7648" spans="1:6" x14ac:dyDescent="0.25">
      <c r="A7648" s="1">
        <v>45139</v>
      </c>
      <c r="B7648" t="s">
        <v>648</v>
      </c>
      <c r="C7648" t="s">
        <v>1219</v>
      </c>
      <c r="D7648">
        <v>0</v>
      </c>
      <c r="E7648">
        <v>0</v>
      </c>
      <c r="F7648">
        <v>0</v>
      </c>
    </row>
    <row r="7649" spans="1:6" x14ac:dyDescent="0.25">
      <c r="A7649" s="1">
        <v>45139</v>
      </c>
      <c r="B7649" t="s">
        <v>726</v>
      </c>
      <c r="C7649" t="s">
        <v>871</v>
      </c>
      <c r="D7649" s="2">
        <v>517327.66</v>
      </c>
      <c r="E7649" s="2">
        <v>634257.38</v>
      </c>
      <c r="F7649" s="2">
        <v>625123.43999999994</v>
      </c>
    </row>
    <row r="7650" spans="1:6" x14ac:dyDescent="0.25">
      <c r="A7650" s="1">
        <v>45139</v>
      </c>
      <c r="B7650" t="s">
        <v>23</v>
      </c>
      <c r="C7650" t="s">
        <v>867</v>
      </c>
      <c r="D7650" s="2">
        <v>11135544.01</v>
      </c>
      <c r="E7650" s="2">
        <v>9084763.9199999999</v>
      </c>
      <c r="F7650" s="2">
        <v>6695717.8200000003</v>
      </c>
    </row>
    <row r="7651" spans="1:6" x14ac:dyDescent="0.25">
      <c r="A7651" s="1">
        <v>45139</v>
      </c>
      <c r="B7651" t="s">
        <v>29</v>
      </c>
      <c r="C7651" t="s">
        <v>73</v>
      </c>
      <c r="D7651" s="2">
        <v>148000</v>
      </c>
      <c r="E7651">
        <v>0</v>
      </c>
      <c r="F7651">
        <v>0</v>
      </c>
    </row>
    <row r="7652" spans="1:6" x14ac:dyDescent="0.25">
      <c r="A7652" s="1">
        <v>45139</v>
      </c>
      <c r="B7652" t="s">
        <v>23</v>
      </c>
      <c r="C7652" t="s">
        <v>708</v>
      </c>
      <c r="D7652" s="2">
        <v>2542140.29</v>
      </c>
      <c r="E7652" s="2">
        <v>685560.44</v>
      </c>
      <c r="F7652" s="2">
        <v>587095.98</v>
      </c>
    </row>
    <row r="7653" spans="1:6" x14ac:dyDescent="0.25">
      <c r="A7653" s="1">
        <v>45139</v>
      </c>
      <c r="B7653" t="s">
        <v>107</v>
      </c>
      <c r="C7653" t="s">
        <v>890</v>
      </c>
      <c r="D7653" s="2">
        <v>30323793.789999999</v>
      </c>
      <c r="E7653" s="2">
        <v>32371616.32</v>
      </c>
      <c r="F7653" s="2">
        <v>49421123.340000004</v>
      </c>
    </row>
    <row r="7654" spans="1:6" x14ac:dyDescent="0.25">
      <c r="A7654" s="1">
        <v>45139</v>
      </c>
      <c r="B7654" t="s">
        <v>206</v>
      </c>
      <c r="C7654" t="s">
        <v>878</v>
      </c>
      <c r="D7654" s="2">
        <v>4279441.8600000003</v>
      </c>
      <c r="E7654" s="2">
        <v>2236751.9900000002</v>
      </c>
      <c r="F7654" s="2">
        <v>4071128.42</v>
      </c>
    </row>
    <row r="7655" spans="1:6" x14ac:dyDescent="0.25">
      <c r="A7655" s="1">
        <v>45139</v>
      </c>
      <c r="B7655" t="s">
        <v>816</v>
      </c>
      <c r="C7655" t="s">
        <v>817</v>
      </c>
      <c r="D7655" s="2">
        <v>22138890.920000002</v>
      </c>
      <c r="E7655" s="2">
        <v>126065267</v>
      </c>
      <c r="F7655" s="2">
        <v>122753839.29000001</v>
      </c>
    </row>
    <row r="7656" spans="1:6" x14ac:dyDescent="0.25">
      <c r="A7656" s="1">
        <v>45139</v>
      </c>
      <c r="B7656" t="s">
        <v>288</v>
      </c>
      <c r="C7656" t="s">
        <v>660</v>
      </c>
      <c r="D7656">
        <v>0</v>
      </c>
      <c r="E7656">
        <v>0</v>
      </c>
      <c r="F7656">
        <v>0</v>
      </c>
    </row>
    <row r="7657" spans="1:6" x14ac:dyDescent="0.25">
      <c r="A7657" s="1">
        <v>45139</v>
      </c>
      <c r="B7657" t="s">
        <v>37</v>
      </c>
      <c r="C7657" t="s">
        <v>851</v>
      </c>
      <c r="D7657" s="2">
        <v>25345126.93</v>
      </c>
      <c r="E7657" s="2">
        <v>15970709.48</v>
      </c>
      <c r="F7657" s="2">
        <v>11192896.43</v>
      </c>
    </row>
    <row r="7658" spans="1:6" x14ac:dyDescent="0.25">
      <c r="A7658" s="1">
        <v>45139</v>
      </c>
      <c r="B7658" t="s">
        <v>107</v>
      </c>
      <c r="C7658" t="s">
        <v>926</v>
      </c>
      <c r="D7658" s="2">
        <v>39601584.729999997</v>
      </c>
      <c r="E7658" s="2">
        <v>38812292.829999998</v>
      </c>
      <c r="F7658" s="2">
        <v>64599672.140000001</v>
      </c>
    </row>
    <row r="7659" spans="1:6" x14ac:dyDescent="0.25">
      <c r="A7659" s="1">
        <v>45139</v>
      </c>
      <c r="B7659" t="s">
        <v>46</v>
      </c>
      <c r="C7659" t="s">
        <v>232</v>
      </c>
      <c r="D7659" s="2">
        <v>1504.5</v>
      </c>
      <c r="E7659" s="2">
        <v>20828.13</v>
      </c>
      <c r="F7659" s="2">
        <v>16251.32</v>
      </c>
    </row>
    <row r="7660" spans="1:6" x14ac:dyDescent="0.25">
      <c r="A7660" s="1">
        <v>45139</v>
      </c>
      <c r="B7660" t="s">
        <v>127</v>
      </c>
      <c r="C7660" t="s">
        <v>128</v>
      </c>
      <c r="D7660" s="2">
        <v>2111945.25</v>
      </c>
      <c r="E7660" s="2">
        <v>146547.5</v>
      </c>
      <c r="F7660" s="2">
        <v>146265.67000000001</v>
      </c>
    </row>
    <row r="7661" spans="1:6" x14ac:dyDescent="0.25">
      <c r="A7661" s="1">
        <v>45139</v>
      </c>
      <c r="B7661" t="s">
        <v>107</v>
      </c>
      <c r="C7661" t="s">
        <v>262</v>
      </c>
      <c r="D7661" s="2">
        <v>2195224.89</v>
      </c>
      <c r="E7661" s="2">
        <v>838691.74</v>
      </c>
      <c r="F7661" s="2">
        <v>1237192.3</v>
      </c>
    </row>
    <row r="7662" spans="1:6" x14ac:dyDescent="0.25">
      <c r="A7662" s="1">
        <v>45139</v>
      </c>
      <c r="B7662" t="s">
        <v>29</v>
      </c>
      <c r="C7662" t="s">
        <v>798</v>
      </c>
      <c r="D7662" s="2">
        <v>486593</v>
      </c>
      <c r="E7662">
        <v>0</v>
      </c>
      <c r="F7662">
        <v>0</v>
      </c>
    </row>
    <row r="7663" spans="1:6" x14ac:dyDescent="0.25">
      <c r="A7663" s="1">
        <v>45139</v>
      </c>
      <c r="B7663" t="s">
        <v>23</v>
      </c>
      <c r="C7663" t="s">
        <v>779</v>
      </c>
      <c r="D7663" s="2">
        <v>215540.39</v>
      </c>
      <c r="E7663" s="2">
        <v>143288.57999999999</v>
      </c>
      <c r="F7663" s="2">
        <v>143047.67000000001</v>
      </c>
    </row>
    <row r="7664" spans="1:6" x14ac:dyDescent="0.25">
      <c r="A7664" s="1">
        <v>45139</v>
      </c>
      <c r="B7664" t="s">
        <v>23</v>
      </c>
      <c r="C7664" t="s">
        <v>365</v>
      </c>
      <c r="D7664" s="2">
        <v>51102.99</v>
      </c>
      <c r="E7664" s="2">
        <v>1528294.88</v>
      </c>
      <c r="F7664" s="2">
        <v>1631949.73</v>
      </c>
    </row>
    <row r="7665" spans="1:6" x14ac:dyDescent="0.25">
      <c r="A7665" s="1">
        <v>45139</v>
      </c>
      <c r="B7665" t="s">
        <v>23</v>
      </c>
      <c r="C7665" t="s">
        <v>869</v>
      </c>
      <c r="D7665" s="2">
        <v>10341765.92</v>
      </c>
      <c r="E7665" s="2">
        <v>10390259.359999999</v>
      </c>
      <c r="F7665" s="2">
        <v>7838539.04</v>
      </c>
    </row>
    <row r="7666" spans="1:6" x14ac:dyDescent="0.25">
      <c r="A7666" s="1">
        <v>45139</v>
      </c>
      <c r="B7666" t="s">
        <v>23</v>
      </c>
      <c r="C7666" t="s">
        <v>916</v>
      </c>
      <c r="D7666" s="2">
        <v>110808407.70999999</v>
      </c>
      <c r="E7666" s="2">
        <v>78736088.340000004</v>
      </c>
      <c r="F7666" s="2">
        <v>102455684.37</v>
      </c>
    </row>
    <row r="7667" spans="1:6" x14ac:dyDescent="0.25">
      <c r="A7667" s="1">
        <v>45139</v>
      </c>
      <c r="B7667" t="s">
        <v>143</v>
      </c>
      <c r="C7667" t="s">
        <v>858</v>
      </c>
      <c r="D7667" s="2">
        <v>43000000</v>
      </c>
      <c r="E7667" s="2">
        <v>42812483.009999998</v>
      </c>
      <c r="F7667" s="2">
        <v>317238021.87</v>
      </c>
    </row>
    <row r="7668" spans="1:6" x14ac:dyDescent="0.25">
      <c r="A7668" s="1">
        <v>45139</v>
      </c>
      <c r="B7668" t="s">
        <v>216</v>
      </c>
      <c r="C7668" t="s">
        <v>806</v>
      </c>
      <c r="D7668" s="2">
        <v>34304529.539999999</v>
      </c>
      <c r="E7668" s="2">
        <v>13226587.92</v>
      </c>
      <c r="F7668" s="2">
        <v>14795288.859999999</v>
      </c>
    </row>
    <row r="7669" spans="1:6" x14ac:dyDescent="0.25">
      <c r="A7669" s="1">
        <v>45139</v>
      </c>
      <c r="B7669" t="s">
        <v>490</v>
      </c>
      <c r="C7669" t="s">
        <v>880</v>
      </c>
      <c r="D7669" s="2">
        <v>5240433.28</v>
      </c>
      <c r="E7669" s="2">
        <v>3752287.81</v>
      </c>
      <c r="F7669" s="2">
        <v>3989647.99</v>
      </c>
    </row>
    <row r="7670" spans="1:6" x14ac:dyDescent="0.25">
      <c r="A7670" s="1">
        <v>45139</v>
      </c>
      <c r="B7670" t="s">
        <v>752</v>
      </c>
      <c r="C7670" t="s">
        <v>753</v>
      </c>
      <c r="D7670" s="2">
        <v>4330146.8499999996</v>
      </c>
      <c r="E7670" s="2">
        <v>15729648.470000001</v>
      </c>
      <c r="F7670" s="2">
        <v>14392299.48</v>
      </c>
    </row>
    <row r="7671" spans="1:6" x14ac:dyDescent="0.25">
      <c r="A7671" s="1">
        <v>45139</v>
      </c>
      <c r="B7671" t="s">
        <v>107</v>
      </c>
      <c r="C7671" t="s">
        <v>912</v>
      </c>
      <c r="D7671" s="2">
        <v>53832627.399999999</v>
      </c>
      <c r="E7671" s="2">
        <v>53669757.579999998</v>
      </c>
      <c r="F7671" s="2">
        <v>120635574.7</v>
      </c>
    </row>
    <row r="7672" spans="1:6" x14ac:dyDescent="0.25">
      <c r="A7672" s="1">
        <v>45139</v>
      </c>
      <c r="B7672" t="s">
        <v>23</v>
      </c>
      <c r="C7672" t="s">
        <v>759</v>
      </c>
      <c r="D7672" s="2">
        <v>227098.51</v>
      </c>
      <c r="E7672" s="2">
        <v>854973.26</v>
      </c>
      <c r="F7672" s="2">
        <v>800769.15</v>
      </c>
    </row>
    <row r="7673" spans="1:6" x14ac:dyDescent="0.25">
      <c r="A7673" s="1">
        <v>45139</v>
      </c>
      <c r="B7673" t="s">
        <v>101</v>
      </c>
      <c r="C7673" t="s">
        <v>786</v>
      </c>
      <c r="D7673" s="2">
        <v>2078874.21</v>
      </c>
      <c r="E7673" s="2">
        <v>3304795.46</v>
      </c>
      <c r="F7673" s="2">
        <v>2502535.33</v>
      </c>
    </row>
    <row r="7674" spans="1:6" x14ac:dyDescent="0.25">
      <c r="A7674" s="1">
        <v>45139</v>
      </c>
      <c r="B7674" t="s">
        <v>23</v>
      </c>
      <c r="C7674" t="s">
        <v>889</v>
      </c>
      <c r="D7674" s="2">
        <v>2299948.81</v>
      </c>
      <c r="E7674" s="2">
        <v>2345133.71</v>
      </c>
      <c r="F7674" s="2">
        <v>2466242.29</v>
      </c>
    </row>
    <row r="7675" spans="1:6" x14ac:dyDescent="0.25">
      <c r="A7675" s="1">
        <v>45139</v>
      </c>
      <c r="B7675" t="s">
        <v>23</v>
      </c>
      <c r="C7675" t="s">
        <v>886</v>
      </c>
      <c r="D7675" s="2">
        <v>7943679.1500000004</v>
      </c>
      <c r="E7675" s="2">
        <v>12216966.18</v>
      </c>
      <c r="F7675" s="2">
        <v>9657508.1400000006</v>
      </c>
    </row>
    <row r="7676" spans="1:6" x14ac:dyDescent="0.25">
      <c r="A7676" s="1">
        <v>45139</v>
      </c>
      <c r="B7676" t="s">
        <v>23</v>
      </c>
      <c r="C7676" t="s">
        <v>371</v>
      </c>
      <c r="D7676" s="2">
        <v>105496.68</v>
      </c>
      <c r="E7676" s="2">
        <v>1419.58</v>
      </c>
      <c r="F7676" s="2">
        <v>8028.03</v>
      </c>
    </row>
    <row r="7677" spans="1:6" x14ac:dyDescent="0.25">
      <c r="A7677" s="1">
        <v>45139</v>
      </c>
      <c r="B7677" t="s">
        <v>101</v>
      </c>
      <c r="C7677" t="s">
        <v>827</v>
      </c>
      <c r="D7677" s="2">
        <v>374769.63</v>
      </c>
      <c r="E7677" s="2">
        <v>261069.51</v>
      </c>
      <c r="F7677" s="2">
        <v>234184.37</v>
      </c>
    </row>
    <row r="7678" spans="1:6" x14ac:dyDescent="0.25">
      <c r="A7678" s="1">
        <v>45139</v>
      </c>
      <c r="B7678" t="s">
        <v>40</v>
      </c>
      <c r="C7678" t="s">
        <v>898</v>
      </c>
      <c r="D7678" s="2">
        <v>42920537.100000001</v>
      </c>
      <c r="E7678" s="2">
        <v>33763063.159999996</v>
      </c>
      <c r="F7678" s="2">
        <v>48456040.350000001</v>
      </c>
    </row>
    <row r="7679" spans="1:6" x14ac:dyDescent="0.25">
      <c r="A7679" s="1">
        <v>45139</v>
      </c>
      <c r="B7679" t="s">
        <v>234</v>
      </c>
      <c r="C7679" t="s">
        <v>646</v>
      </c>
      <c r="D7679" s="2">
        <v>981912.11</v>
      </c>
      <c r="E7679" s="2">
        <v>1967507.9</v>
      </c>
      <c r="F7679" s="2">
        <v>2125943.9500000002</v>
      </c>
    </row>
    <row r="7680" spans="1:6" x14ac:dyDescent="0.25">
      <c r="A7680" s="1">
        <v>45139</v>
      </c>
      <c r="B7680" t="s">
        <v>21</v>
      </c>
      <c r="C7680" t="s">
        <v>622</v>
      </c>
      <c r="D7680">
        <v>0</v>
      </c>
      <c r="E7680">
        <v>0</v>
      </c>
      <c r="F7680">
        <v>0</v>
      </c>
    </row>
    <row r="7681" spans="1:6" x14ac:dyDescent="0.25">
      <c r="A7681" s="1">
        <v>45139</v>
      </c>
      <c r="B7681" t="s">
        <v>132</v>
      </c>
      <c r="C7681" t="s">
        <v>543</v>
      </c>
      <c r="D7681" s="2">
        <v>896412016.25</v>
      </c>
      <c r="E7681" s="2">
        <v>9041373488.4599991</v>
      </c>
      <c r="F7681" s="2">
        <v>8908578591.4500008</v>
      </c>
    </row>
    <row r="7682" spans="1:6" x14ac:dyDescent="0.25">
      <c r="A7682" s="1">
        <v>45139</v>
      </c>
      <c r="B7682" t="s">
        <v>40</v>
      </c>
      <c r="C7682" t="s">
        <v>803</v>
      </c>
      <c r="D7682" s="2">
        <v>1187.54</v>
      </c>
      <c r="E7682" s="2">
        <v>363708.56</v>
      </c>
      <c r="F7682" s="2">
        <v>361652.36</v>
      </c>
    </row>
    <row r="7683" spans="1:6" x14ac:dyDescent="0.25">
      <c r="A7683" s="1">
        <v>45139</v>
      </c>
      <c r="B7683" t="s">
        <v>107</v>
      </c>
      <c r="C7683" t="s">
        <v>897</v>
      </c>
      <c r="D7683" s="2">
        <v>313652731.24000001</v>
      </c>
      <c r="E7683" s="2">
        <v>278541924.85000002</v>
      </c>
      <c r="F7683" s="2">
        <v>380880505.93000001</v>
      </c>
    </row>
    <row r="7684" spans="1:6" x14ac:dyDescent="0.25">
      <c r="A7684" s="1">
        <v>45139</v>
      </c>
      <c r="B7684" t="s">
        <v>490</v>
      </c>
      <c r="C7684" t="s">
        <v>267</v>
      </c>
      <c r="D7684" s="2">
        <v>327442781.55000001</v>
      </c>
      <c r="E7684" s="2">
        <v>613258835.51999998</v>
      </c>
      <c r="F7684" s="2">
        <v>613041432.30999994</v>
      </c>
    </row>
    <row r="7685" spans="1:6" x14ac:dyDescent="0.25">
      <c r="A7685" s="1">
        <v>45139</v>
      </c>
      <c r="B7685" t="s">
        <v>726</v>
      </c>
      <c r="C7685" t="s">
        <v>789</v>
      </c>
      <c r="D7685" s="2">
        <v>1150646.52</v>
      </c>
      <c r="E7685" s="2">
        <v>1401589.1</v>
      </c>
      <c r="F7685" s="2">
        <v>1165697.21</v>
      </c>
    </row>
    <row r="7686" spans="1:6" x14ac:dyDescent="0.25">
      <c r="A7686" s="1">
        <v>45139</v>
      </c>
      <c r="B7686" t="s">
        <v>48</v>
      </c>
      <c r="C7686" t="s">
        <v>818</v>
      </c>
      <c r="D7686" s="2">
        <v>433307.45</v>
      </c>
      <c r="E7686" s="2">
        <v>423868.59</v>
      </c>
      <c r="F7686" s="2">
        <v>388666.93</v>
      </c>
    </row>
    <row r="7687" spans="1:6" x14ac:dyDescent="0.25">
      <c r="A7687" s="1">
        <v>45139</v>
      </c>
      <c r="B7687" t="s">
        <v>31</v>
      </c>
      <c r="C7687" t="s">
        <v>1038</v>
      </c>
      <c r="D7687" s="2">
        <v>42100</v>
      </c>
      <c r="E7687" s="2">
        <v>22637.9</v>
      </c>
      <c r="F7687" s="2">
        <v>26575.75</v>
      </c>
    </row>
    <row r="7688" spans="1:6" x14ac:dyDescent="0.25">
      <c r="A7688" s="1">
        <v>45139</v>
      </c>
      <c r="B7688" t="s">
        <v>216</v>
      </c>
      <c r="C7688" t="s">
        <v>887</v>
      </c>
      <c r="D7688" s="2">
        <v>3790355.43</v>
      </c>
      <c r="E7688" s="2">
        <v>2731951.85</v>
      </c>
      <c r="F7688" s="2">
        <v>3761425.77</v>
      </c>
    </row>
    <row r="7689" spans="1:6" x14ac:dyDescent="0.25">
      <c r="A7689" s="1">
        <v>45139</v>
      </c>
      <c r="B7689" t="s">
        <v>44</v>
      </c>
      <c r="C7689" t="s">
        <v>684</v>
      </c>
      <c r="D7689" s="2">
        <v>-5380.33</v>
      </c>
      <c r="E7689" s="2">
        <v>491909.27</v>
      </c>
      <c r="F7689" s="2">
        <v>433445.01</v>
      </c>
    </row>
    <row r="7690" spans="1:6" x14ac:dyDescent="0.25">
      <c r="A7690" s="1">
        <v>45139</v>
      </c>
      <c r="B7690" t="s">
        <v>216</v>
      </c>
      <c r="C7690" t="s">
        <v>638</v>
      </c>
      <c r="D7690" s="2">
        <v>33600526.079999998</v>
      </c>
      <c r="E7690" s="2">
        <v>2813568.66</v>
      </c>
      <c r="F7690" s="2">
        <v>4554573.3899999997</v>
      </c>
    </row>
    <row r="7691" spans="1:6" x14ac:dyDescent="0.25">
      <c r="A7691" s="1">
        <v>45139</v>
      </c>
      <c r="B7691" t="s">
        <v>842</v>
      </c>
      <c r="C7691" t="s">
        <v>843</v>
      </c>
      <c r="D7691" s="2">
        <v>14197020.07</v>
      </c>
      <c r="E7691" s="2">
        <v>7616274.8799999999</v>
      </c>
      <c r="F7691" s="2">
        <v>6995352.5499999998</v>
      </c>
    </row>
    <row r="7692" spans="1:6" x14ac:dyDescent="0.25">
      <c r="A7692" s="1">
        <v>45139</v>
      </c>
      <c r="B7692" t="s">
        <v>114</v>
      </c>
      <c r="C7692" t="s">
        <v>829</v>
      </c>
      <c r="D7692" s="2">
        <v>21913128.289999999</v>
      </c>
      <c r="E7692" s="2">
        <v>28690561.260000002</v>
      </c>
      <c r="F7692" s="2">
        <v>29078872.460000001</v>
      </c>
    </row>
    <row r="7693" spans="1:6" x14ac:dyDescent="0.25">
      <c r="A7693" s="1">
        <v>45139</v>
      </c>
      <c r="B7693" t="s">
        <v>23</v>
      </c>
      <c r="C7693" t="s">
        <v>198</v>
      </c>
      <c r="D7693" s="2">
        <v>11750725.619999999</v>
      </c>
      <c r="E7693" s="2">
        <v>3986918.58</v>
      </c>
      <c r="F7693" s="2">
        <v>2412599.5099999998</v>
      </c>
    </row>
    <row r="7694" spans="1:6" x14ac:dyDescent="0.25">
      <c r="A7694" s="1">
        <v>45139</v>
      </c>
      <c r="B7694" t="s">
        <v>37</v>
      </c>
      <c r="C7694" t="s">
        <v>955</v>
      </c>
      <c r="D7694" s="2">
        <v>20030</v>
      </c>
      <c r="E7694" s="2">
        <v>322808.07</v>
      </c>
      <c r="F7694" s="2">
        <v>322808.07</v>
      </c>
    </row>
    <row r="7695" spans="1:6" x14ac:dyDescent="0.25">
      <c r="A7695" s="1">
        <v>45139</v>
      </c>
      <c r="B7695" t="s">
        <v>42</v>
      </c>
      <c r="C7695" t="s">
        <v>894</v>
      </c>
      <c r="D7695" s="2">
        <v>-687554.54</v>
      </c>
      <c r="E7695" s="2">
        <v>1139544.23</v>
      </c>
      <c r="F7695" s="2">
        <v>112985010.37</v>
      </c>
    </row>
    <row r="7696" spans="1:6" x14ac:dyDescent="0.25">
      <c r="A7696" s="1">
        <v>45139</v>
      </c>
      <c r="B7696" t="s">
        <v>216</v>
      </c>
      <c r="C7696" t="s">
        <v>563</v>
      </c>
      <c r="D7696" s="2">
        <v>33671361.399999999</v>
      </c>
      <c r="E7696" s="2">
        <v>35263006.740000002</v>
      </c>
      <c r="F7696" s="2">
        <v>49474176.409999996</v>
      </c>
    </row>
    <row r="7697" spans="1:6" x14ac:dyDescent="0.25">
      <c r="A7697" s="1">
        <v>45139</v>
      </c>
      <c r="B7697" t="s">
        <v>23</v>
      </c>
      <c r="C7697" t="s">
        <v>56</v>
      </c>
      <c r="D7697" s="2">
        <v>32520696.129999999</v>
      </c>
      <c r="E7697" s="2">
        <v>10013152.73</v>
      </c>
      <c r="F7697" s="2">
        <v>8925617.2100000009</v>
      </c>
    </row>
    <row r="7698" spans="1:6" x14ac:dyDescent="0.25">
      <c r="A7698" s="1">
        <v>45139</v>
      </c>
      <c r="B7698" t="s">
        <v>37</v>
      </c>
      <c r="C7698" t="s">
        <v>784</v>
      </c>
      <c r="D7698" s="2">
        <v>360545.54</v>
      </c>
      <c r="E7698" s="2">
        <v>1511246.99</v>
      </c>
      <c r="F7698" s="2">
        <v>1197821.55</v>
      </c>
    </row>
    <row r="7699" spans="1:6" x14ac:dyDescent="0.25">
      <c r="A7699" s="1">
        <v>45139</v>
      </c>
      <c r="B7699" t="s">
        <v>216</v>
      </c>
      <c r="C7699" t="s">
        <v>468</v>
      </c>
      <c r="D7699" s="2">
        <v>90383338.099999994</v>
      </c>
      <c r="E7699" s="2">
        <v>123214886.44</v>
      </c>
      <c r="F7699" s="2">
        <v>151354868.36000001</v>
      </c>
    </row>
    <row r="7700" spans="1:6" x14ac:dyDescent="0.25">
      <c r="A7700" s="1">
        <v>45139</v>
      </c>
      <c r="B7700" t="s">
        <v>40</v>
      </c>
      <c r="C7700" t="s">
        <v>836</v>
      </c>
      <c r="D7700" s="2">
        <v>92408292.599999994</v>
      </c>
      <c r="E7700" s="2">
        <v>5549733.7000000002</v>
      </c>
      <c r="F7700" s="2">
        <v>6010878.5099999998</v>
      </c>
    </row>
    <row r="7701" spans="1:6" x14ac:dyDescent="0.25">
      <c r="A7701" s="1">
        <v>45139</v>
      </c>
      <c r="B7701" t="s">
        <v>40</v>
      </c>
      <c r="C7701" t="s">
        <v>910</v>
      </c>
      <c r="D7701" s="2">
        <v>1193061684.3900001</v>
      </c>
      <c r="E7701" s="2">
        <v>438742651.83999997</v>
      </c>
      <c r="F7701" s="2">
        <v>11891579453.190001</v>
      </c>
    </row>
    <row r="7702" spans="1:6" x14ac:dyDescent="0.25">
      <c r="A7702" s="1">
        <v>45139</v>
      </c>
      <c r="B7702" t="s">
        <v>40</v>
      </c>
      <c r="C7702" t="s">
        <v>95</v>
      </c>
      <c r="D7702" s="2">
        <v>754514333.5</v>
      </c>
      <c r="E7702" s="2">
        <v>664990956.08000004</v>
      </c>
      <c r="F7702" s="2">
        <v>643542648.17999995</v>
      </c>
    </row>
    <row r="7703" spans="1:6" x14ac:dyDescent="0.25">
      <c r="A7703" s="1">
        <v>45139</v>
      </c>
      <c r="B7703" t="s">
        <v>107</v>
      </c>
      <c r="C7703" t="s">
        <v>501</v>
      </c>
      <c r="D7703" s="2">
        <v>-85405996.290000007</v>
      </c>
      <c r="E7703" s="2">
        <v>37751584.75</v>
      </c>
      <c r="F7703" s="2">
        <v>478686912.52999997</v>
      </c>
    </row>
    <row r="7704" spans="1:6" x14ac:dyDescent="0.25">
      <c r="A7704" s="1">
        <v>45139</v>
      </c>
      <c r="B7704" t="s">
        <v>40</v>
      </c>
      <c r="C7704" t="s">
        <v>888</v>
      </c>
      <c r="D7704" s="2">
        <v>14059876.52</v>
      </c>
      <c r="E7704" s="2">
        <v>12326695.83</v>
      </c>
      <c r="F7704" s="2">
        <v>12608179.6</v>
      </c>
    </row>
    <row r="7705" spans="1:6" x14ac:dyDescent="0.25">
      <c r="A7705" s="1">
        <v>45139</v>
      </c>
      <c r="B7705" t="s">
        <v>23</v>
      </c>
      <c r="C7705" t="s">
        <v>915</v>
      </c>
      <c r="D7705" s="2">
        <v>124141700.58</v>
      </c>
      <c r="E7705" s="2">
        <v>70273078.060000002</v>
      </c>
      <c r="F7705" s="2">
        <v>65406436.049999997</v>
      </c>
    </row>
    <row r="7706" spans="1:6" x14ac:dyDescent="0.25">
      <c r="A7706" s="1">
        <v>45139</v>
      </c>
      <c r="B7706" t="s">
        <v>40</v>
      </c>
      <c r="C7706" t="s">
        <v>177</v>
      </c>
      <c r="D7706" s="2">
        <v>265078685.27000001</v>
      </c>
      <c r="E7706" s="2">
        <v>306613659.08999997</v>
      </c>
      <c r="F7706" s="2">
        <v>557829316.04999995</v>
      </c>
    </row>
    <row r="7707" spans="1:6" x14ac:dyDescent="0.25">
      <c r="A7707" s="1">
        <v>45139</v>
      </c>
      <c r="B7707" t="s">
        <v>40</v>
      </c>
      <c r="C7707" t="s">
        <v>924</v>
      </c>
      <c r="D7707" s="2">
        <v>241301962.06999999</v>
      </c>
      <c r="E7707" s="2">
        <v>212441070.91999999</v>
      </c>
      <c r="F7707" s="2">
        <v>1199600933.9300001</v>
      </c>
    </row>
  </sheetData>
  <autoFilter ref="A1:G7707" xr:uid="{45F90F69-96E7-4758-BC29-3D0D18B4734B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2B377-9A0F-4915-A806-6CE7DE0E217D}">
  <sheetPr codeName="Planilha1"/>
  <dimension ref="C7:P18"/>
  <sheetViews>
    <sheetView tabSelected="1" workbookViewId="0">
      <selection activeCell="E19" sqref="E19"/>
    </sheetView>
  </sheetViews>
  <sheetFormatPr defaultRowHeight="15" x14ac:dyDescent="0.25"/>
  <cols>
    <col min="6" max="6" width="24.42578125" customWidth="1"/>
    <col min="7" max="7" width="19.85546875" customWidth="1"/>
    <col min="8" max="8" width="20" customWidth="1"/>
    <col min="9" max="9" width="18.140625" customWidth="1"/>
    <col min="10" max="10" width="10.85546875" customWidth="1"/>
    <col min="16" max="16" width="50.42578125" bestFit="1" customWidth="1"/>
  </cols>
  <sheetData>
    <row r="7" spans="3:16" x14ac:dyDescent="0.25">
      <c r="C7">
        <v>25</v>
      </c>
    </row>
    <row r="11" spans="3:16" x14ac:dyDescent="0.25">
      <c r="P11" t="s">
        <v>8</v>
      </c>
    </row>
    <row r="12" spans="3:16" x14ac:dyDescent="0.25">
      <c r="P12">
        <f>VLOOKUP(P11,'fernando de verdade'!C1:D7707,2,FALSE)</f>
        <v>26060241594.439999</v>
      </c>
    </row>
    <row r="13" spans="3:16" x14ac:dyDescent="0.25">
      <c r="P13" t="s">
        <v>759</v>
      </c>
    </row>
    <row r="14" spans="3:16" x14ac:dyDescent="0.25">
      <c r="P14">
        <f>VLOOKUP(P13,'fernando de verdade'!$C$1:$E$7707,3,FALSE)</f>
        <v>0</v>
      </c>
    </row>
    <row r="15" spans="3:16" x14ac:dyDescent="0.25">
      <c r="P15">
        <f>VLOOKUP(P13,Planilha2!A3:B1178,2,FALSE)</f>
        <v>225368.59</v>
      </c>
    </row>
    <row r="18" spans="5:11" x14ac:dyDescent="0.25">
      <c r="E18" t="s">
        <v>0</v>
      </c>
      <c r="F18" t="s">
        <v>1</v>
      </c>
      <c r="G18" t="s">
        <v>2</v>
      </c>
      <c r="H18" t="s">
        <v>3</v>
      </c>
      <c r="I18" t="s">
        <v>4</v>
      </c>
      <c r="J18" t="s">
        <v>5</v>
      </c>
      <c r="K18" t="s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Drop Down 5">
              <controlPr defaultSize="0" autoLine="0" autoPict="0">
                <anchor moveWithCells="1">
                  <from>
                    <xdr:col>3</xdr:col>
                    <xdr:colOff>228600</xdr:colOff>
                    <xdr:row>3</xdr:row>
                    <xdr:rowOff>28575</xdr:rowOff>
                  </from>
                  <to>
                    <xdr:col>8</xdr:col>
                    <xdr:colOff>371475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10</vt:i4>
      </vt:variant>
    </vt:vector>
  </HeadingPairs>
  <TitlesOfParts>
    <vt:vector size="13" baseType="lpstr">
      <vt:lpstr>Planilha2</vt:lpstr>
      <vt:lpstr>fernando de verdade</vt:lpstr>
      <vt:lpstr>Planilha1</vt:lpstr>
      <vt:lpstr>Ação_Orçamentária</vt:lpstr>
      <vt:lpstr>fonte</vt:lpstr>
      <vt:lpstr>fonte_de</vt:lpstr>
      <vt:lpstr>fonte_de_dados</vt:lpstr>
      <vt:lpstr>jan_23</vt:lpstr>
      <vt:lpstr>Programa_Orçamentário</vt:lpstr>
      <vt:lpstr>Valor_Empenhado</vt:lpstr>
      <vt:lpstr>Valor_Liquidado</vt:lpstr>
      <vt:lpstr>Valor_Pago</vt:lpstr>
      <vt:lpstr>Valor_Restos_a_Pagar_Pagos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2023-08-25T01:19:59Z</dcterms:created>
  <dcterms:modified xsi:type="dcterms:W3CDTF">2023-08-25T23:25:34Z</dcterms:modified>
</cp:coreProperties>
</file>